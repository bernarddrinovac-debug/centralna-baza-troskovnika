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InkAnnotation="0"/>
  <mc:AlternateContent xmlns:mc="http://schemas.openxmlformats.org/markup-compatibility/2006">
    <mc:Choice Requires="x15">
      <x15ac:absPath xmlns:x15ac="http://schemas.microsoft.com/office/spreadsheetml/2010/11/ac" url="C:\Users\danijel\Documents\PONUDE\2025\DV Bukevje\"/>
    </mc:Choice>
  </mc:AlternateContent>
  <xr:revisionPtr revIDLastSave="0" documentId="13_ncr:1_{6D158647-3BF1-4497-8862-E9CBAE7E3407}" xr6:coauthVersionLast="47" xr6:coauthVersionMax="47" xr10:uidLastSave="{00000000-0000-0000-0000-000000000000}"/>
  <bookViews>
    <workbookView xWindow="-108" yWindow="-108" windowWidth="23256" windowHeight="12456" tabRatio="930" activeTab="1" xr2:uid="{00000000-000D-0000-FFFF-FFFF00000000}"/>
  </bookViews>
  <sheets>
    <sheet name="NASL" sheetId="48" r:id="rId1"/>
    <sheet name="REKAP SVEUK" sheetId="35" r:id="rId2"/>
    <sheet name="OPĆI UVJETI" sheetId="49" r:id="rId3"/>
    <sheet name="I PRIPR" sheetId="4" r:id="rId4"/>
    <sheet name="II ZEM" sheetId="6" r:id="rId5"/>
    <sheet name="III OPL_KOLNIK" sheetId="40" r:id="rId6"/>
    <sheet name="IV AB RADOVI" sheetId="8" r:id="rId7"/>
    <sheet name="V ZIDARSKI" sheetId="9" r:id="rId8"/>
    <sheet name="VI IZOLAT" sheetId="10" r:id="rId9"/>
    <sheet name="VII KROV" sheetId="11" r:id="rId10"/>
    <sheet name="VIII FASADA" sheetId="12" r:id="rId11"/>
    <sheet name="IX BRAV" sheetId="13" r:id="rId12"/>
    <sheet name="X ALU BRAVARIJA" sheetId="54" r:id="rId13"/>
    <sheet name="XI POŽARNA BRAVARIJA" sheetId="15" r:id="rId14"/>
    <sheet name="XII STOLARIJA" sheetId="16" r:id="rId15"/>
    <sheet name="XIII LIMAR" sheetId="17" r:id="rId16"/>
    <sheet name="XIV GK" sheetId="18" r:id="rId17"/>
    <sheet name="XV KERAMIKA" sheetId="26" r:id="rId18"/>
    <sheet name="XVI PODOPOL" sheetId="50" r:id="rId19"/>
    <sheet name="XVII SOBOSLIK" sheetId="20" r:id="rId20"/>
    <sheet name="XVIII RAZNI RADOVI" sheetId="23" r:id="rId21"/>
    <sheet name="XX HORTIKULTURA" sheetId="41" r:id="rId22"/>
    <sheet name="XXI DOKUMENT" sheetId="21" r:id="rId23"/>
    <sheet name="REKAP-GOR" sheetId="22" r:id="rId24"/>
    <sheet name="OPREMA" sheetId="42" r:id="rId25"/>
    <sheet name="VIK" sheetId="51" r:id="rId26"/>
    <sheet name="STROJ" sheetId="56" r:id="rId27"/>
    <sheet name="ELEKTRO" sheetId="55" r:id="rId28"/>
    <sheet name="VATRODOJAVA" sheetId="52" r:id="rId29"/>
    <sheet name="SE" sheetId="53" r:id="rId30"/>
  </sheets>
  <externalReferences>
    <externalReference r:id="rId31"/>
    <externalReference r:id="rId32"/>
    <externalReference r:id="rId33"/>
    <externalReference r:id="rId34"/>
    <externalReference r:id="rId35"/>
    <externalReference r:id="rId36"/>
    <externalReference r:id="rId37"/>
    <externalReference r:id="rId38"/>
  </externalReferences>
  <definedNames>
    <definedName name="__xlfn_ANCHORARRAY">NA()</definedName>
    <definedName name="_1Excel_BuiltIn_Print_Area_1" localSheetId="12">#REF!</definedName>
    <definedName name="_1Excel_BuiltIn_Print_Area_1" localSheetId="18">#REF!</definedName>
    <definedName name="_1Excel_BuiltIn_Print_Area_1">#REF!</definedName>
    <definedName name="_rbr">#REF!</definedName>
    <definedName name="_rbr2">#REF!</definedName>
    <definedName name="_Toc322533491" localSheetId="26">STROJ!#REF!</definedName>
    <definedName name="_Toc322533491" localSheetId="25">VIK!#REF!</definedName>
    <definedName name="all" localSheetId="12">#REF!</definedName>
    <definedName name="all" localSheetId="18">#REF!</definedName>
    <definedName name="all">#REF!</definedName>
    <definedName name="aluminijska" localSheetId="12">#REF!</definedName>
    <definedName name="aluminijska" localSheetId="18">#REF!</definedName>
    <definedName name="aluminijska">#REF!</definedName>
    <definedName name="ASD">#REF!</definedName>
    <definedName name="AVD">#REF!</definedName>
    <definedName name="_xlnm.Database">#REF!</definedName>
    <definedName name="BE_Price">#REF!</definedName>
    <definedName name="betonska">#REF!</definedName>
    <definedName name="BETONSKI_I_ARM.BETONSKI_RADOVI">#REF!</definedName>
    <definedName name="BOD" localSheetId="27">ELEKTRO!#REF!</definedName>
    <definedName name="BOD" localSheetId="0">#REF!</definedName>
    <definedName name="BOD" localSheetId="2">#REF!</definedName>
    <definedName name="BOD" localSheetId="26">#REF!</definedName>
    <definedName name="BOD" localSheetId="12">#REF!</definedName>
    <definedName name="BOD" localSheetId="18">#REF!</definedName>
    <definedName name="BOD">#REF!</definedName>
    <definedName name="BODIC" localSheetId="12">#REF!</definedName>
    <definedName name="BODIC" localSheetId="18">#REF!</definedName>
    <definedName name="BODIC">#REF!</definedName>
    <definedName name="BODICA" localSheetId="12">#REF!</definedName>
    <definedName name="BODICA">#REF!</definedName>
    <definedName name="BRAVARIJA_SKLONIŠTA">#REF!</definedName>
    <definedName name="Countr.">#REF!</definedName>
    <definedName name="Countr.no">#REF!</definedName>
    <definedName name="Country">#REF!</definedName>
    <definedName name="CRNA_BRAVARIJA">#REF!</definedName>
    <definedName name="č">#REF!</definedName>
    <definedName name="ČELIČNA_KONSTRUKCIJA">#REF!</definedName>
    <definedName name="D">#REF!</definedName>
    <definedName name="Data_base_result">#REF!</definedName>
    <definedName name="dfgdfgdfgdfgydf">[1]POMOĆNI!$B$56:$B$69</definedName>
    <definedName name="DIMNJACI" localSheetId="12">#REF!</definedName>
    <definedName name="DIMNJACI">#REF!</definedName>
    <definedName name="DIZALA" localSheetId="12">#REF!</definedName>
    <definedName name="DIZALA">#REF!</definedName>
    <definedName name="EODB" localSheetId="12">#REF!</definedName>
    <definedName name="EODB">#REF!</definedName>
    <definedName name="euro">#REF!</definedName>
    <definedName name="euronew">#REF!</definedName>
    <definedName name="EXCEG">#REF!</definedName>
    <definedName name="Excel_BuiltIn_Print_Area_1">#REF!</definedName>
    <definedName name="Excel_BuiltIn_Print_Area_1_1">#REF!</definedName>
    <definedName name="Excel_BuiltIn_Print_Area_2">#REF!</definedName>
    <definedName name="Excel_BuiltIn_Print_Area_3">#REF!</definedName>
    <definedName name="Excel_BuiltIn_Print_Area_4">#REF!</definedName>
    <definedName name="Excel_BuiltIn_Print_Area_5">#REF!</definedName>
    <definedName name="Excel_BuiltIn_Print_Titles">#REF!</definedName>
    <definedName name="Excel_BuiltIn_Print_Titles_1">#REF!</definedName>
    <definedName name="Excel_BuiltIn_Print_Titles_1_1">#REF!</definedName>
    <definedName name="Excel_BuiltIn_Print_Titles_2">#REF!</definedName>
    <definedName name="Excel_BuiltIn_Print_Titles_3">#REF!</definedName>
    <definedName name="Excel_BuiltIn_Print_Titles_4">#REF!</definedName>
    <definedName name="Excel_BuiltIn_Print_Titles_5">#REF!</definedName>
    <definedName name="FASADERSKI_RADOVI">#REF!</definedName>
    <definedName name="fdgdfgdfg">[1]POMOĆNI!$B$64</definedName>
    <definedName name="fgsdfggdfgdf">[1]POMOĆNI!$B$60</definedName>
    <definedName name="fizika_zgrade" localSheetId="12">#REF!</definedName>
    <definedName name="fizika_zgrade">#REF!</definedName>
    <definedName name="gradbena" localSheetId="12">#REF!</definedName>
    <definedName name="gradbena">#REF!</definedName>
    <definedName name="Gradjevina" localSheetId="12">#REF!</definedName>
    <definedName name="Gradjevina">#REF!</definedName>
    <definedName name="H">#REF!</definedName>
    <definedName name="HR">#REF!</definedName>
    <definedName name="I">#REF!</definedName>
    <definedName name="Inew">#REF!</definedName>
    <definedName name="INOX_BRAVARIJA">#REF!</definedName>
    <definedName name="_xlnm.Print_Titles" localSheetId="27">ELEKTRO!$1:$3</definedName>
    <definedName name="_xlnm.Print_Titles" localSheetId="3">'I PRIPR'!#REF!</definedName>
    <definedName name="_xlnm.Print_Titles" localSheetId="4">'II ZEM'!#REF!</definedName>
    <definedName name="_xlnm.Print_Titles" localSheetId="5">'III OPL_KOLNIK'!#REF!</definedName>
    <definedName name="_xlnm.Print_Titles" localSheetId="6">'IV AB RADOVI'!#REF!</definedName>
    <definedName name="_xlnm.Print_Titles" localSheetId="11">'IX BRAV'!#REF!</definedName>
    <definedName name="_xlnm.Print_Titles" localSheetId="23">'REKAP-GOR'!$1:$4</definedName>
    <definedName name="_xlnm.Print_Titles" localSheetId="29">SE!$1:$3</definedName>
    <definedName name="_xlnm.Print_Titles" localSheetId="7">'V ZIDARSKI'!#REF!</definedName>
    <definedName name="_xlnm.Print_Titles" localSheetId="8">'VI IZOLAT'!#REF!</definedName>
    <definedName name="_xlnm.Print_Titles" localSheetId="9">'VII KROV'!$1:$1</definedName>
    <definedName name="_xlnm.Print_Titles" localSheetId="10">'VIII FASADA'!$1:$1</definedName>
    <definedName name="_xlnm.Print_Titles" localSheetId="25">VIK!$1:$1</definedName>
    <definedName name="_xlnm.Print_Titles" localSheetId="12">'X ALU BRAVARIJA'!#REF!</definedName>
    <definedName name="_xlnm.Print_Titles" localSheetId="13">'XI POŽARNA BRAVARIJA'!#REF!</definedName>
    <definedName name="_xlnm.Print_Titles" localSheetId="14">'XII STOLARIJA'!#REF!</definedName>
    <definedName name="_xlnm.Print_Titles" localSheetId="15">'XIII LIMAR'!#REF!</definedName>
    <definedName name="_xlnm.Print_Titles" localSheetId="16">'XIV GK'!#REF!</definedName>
    <definedName name="_xlnm.Print_Titles" localSheetId="17">'XV KERAMIKA'!#REF!</definedName>
    <definedName name="_xlnm.Print_Titles" localSheetId="18">'XVI PODOPOL'!#REF!</definedName>
    <definedName name="_xlnm.Print_Titles" localSheetId="22">'XXI DOKUMENT'!#REF!</definedName>
    <definedName name="IZOLATERSKI_RADOVI">#REF!</definedName>
    <definedName name="jj">'[2]VIIIc.0.E'!#REF!</definedName>
    <definedName name="k" localSheetId="12">#REF!</definedName>
    <definedName name="k" localSheetId="18">#REF!</definedName>
    <definedName name="k">#REF!</definedName>
    <definedName name="KAMENARSKI_RADOVI" localSheetId="12">#REF!</definedName>
    <definedName name="KAMENARSKI_RADOVI" localSheetId="18">#REF!</definedName>
    <definedName name="KAMENARSKI_RADOVI">#REF!</definedName>
    <definedName name="keramicarska" localSheetId="12">#REF!</definedName>
    <definedName name="keramicarska" localSheetId="18">#REF!</definedName>
    <definedName name="keramicarska">#REF!</definedName>
    <definedName name="KERAMIČARSKI_RADOVI">#REF!</definedName>
    <definedName name="kk_1" localSheetId="26">[3]POMOĆNI!$B$76</definedName>
    <definedName name="kk_1" localSheetId="25">[4]POMOĆNI!$B$76</definedName>
    <definedName name="kk_1">[5]POMOĆNI!$B$76</definedName>
    <definedName name="kk1i" localSheetId="26">[3]POMOĆNI!$B$64</definedName>
    <definedName name="kk1i" localSheetId="25">[4]POMOĆNI!$B$64</definedName>
    <definedName name="kk1i">[5]POMOĆNI!$B$64</definedName>
    <definedName name="kk1p" localSheetId="26">[3]POMOĆNI!$B$58</definedName>
    <definedName name="kk1p" localSheetId="25">[4]POMOĆNI!$B$58</definedName>
    <definedName name="kk1p">[5]POMOĆNI!$B$58</definedName>
    <definedName name="kk1v" localSheetId="26">[3]POMOĆNI!$L$57</definedName>
    <definedName name="kk1v" localSheetId="25">[4]POMOĆNI!$L$57</definedName>
    <definedName name="kk1v">[5]POMOĆNI!$L$57</definedName>
    <definedName name="kk2i" localSheetId="26">[3]POMOĆNI!$B$65</definedName>
    <definedName name="kk2i" localSheetId="25">[4]POMOĆNI!$B$65</definedName>
    <definedName name="kk2i">[5]POMOĆNI!$B$65</definedName>
    <definedName name="kk2p" localSheetId="26">[3]POMOĆNI!$B$59</definedName>
    <definedName name="kk2p" localSheetId="25">[4]POMOĆNI!$B$59</definedName>
    <definedName name="kk2p">[5]POMOĆNI!$B$59</definedName>
    <definedName name="kk2v" localSheetId="26">[3]POMOĆNI!$L$58</definedName>
    <definedName name="kk2v" localSheetId="25">[4]POMOĆNI!$L$58</definedName>
    <definedName name="kk2v">[5]POMOĆNI!$L$58</definedName>
    <definedName name="kk3i" localSheetId="26">[3]POMOĆNI!$B$66</definedName>
    <definedName name="kk3i" localSheetId="25">[4]POMOĆNI!$B$66</definedName>
    <definedName name="kk3i">[5]POMOĆNI!$B$66</definedName>
    <definedName name="kk3p" localSheetId="26">[3]POMOĆNI!$B$60</definedName>
    <definedName name="kk3p" localSheetId="25">[4]POMOĆNI!$B$60</definedName>
    <definedName name="kk3p">[5]POMOĆNI!$B$60</definedName>
    <definedName name="kk3v" localSheetId="26">[3]POMOĆNI!$L$59</definedName>
    <definedName name="kk3v" localSheetId="25">[4]POMOĆNI!$L$59</definedName>
    <definedName name="kk3v">[5]POMOĆNI!$L$59</definedName>
    <definedName name="kk4i" localSheetId="26">[3]POMOĆNI!$B$67</definedName>
    <definedName name="kk4i" localSheetId="25">[4]POMOĆNI!$B$67</definedName>
    <definedName name="kk4i">[5]POMOĆNI!$B$67</definedName>
    <definedName name="kk4p" localSheetId="26">[3]POMOĆNI!$B$61</definedName>
    <definedName name="kk4p" localSheetId="25">[4]POMOĆNI!$B$61</definedName>
    <definedName name="kk4p">[5]POMOĆNI!$B$61</definedName>
    <definedName name="kk4v" localSheetId="26">[3]POMOĆNI!$L$60</definedName>
    <definedName name="kk4v" localSheetId="25">[4]POMOĆNI!$L$60</definedName>
    <definedName name="kk4v">[5]POMOĆNI!$L$60</definedName>
    <definedName name="kk5i" localSheetId="26">[3]POMOĆNI!$B$68</definedName>
    <definedName name="kk5i" localSheetId="25">[4]POMOĆNI!$B$68</definedName>
    <definedName name="kk5i">[5]POMOĆNI!$B$68</definedName>
    <definedName name="kk5p" localSheetId="26">[3]POMOĆNI!$B$62</definedName>
    <definedName name="kk5p" localSheetId="25">[4]POMOĆNI!$B$62</definedName>
    <definedName name="kk5p">[5]POMOĆNI!$B$62</definedName>
    <definedName name="kk5v" localSheetId="26">[3]POMOĆNI!$L$61</definedName>
    <definedName name="kk5v" localSheetId="25">[4]POMOĆNI!$L$61</definedName>
    <definedName name="kk5v">[5]POMOĆNI!$L$61</definedName>
    <definedName name="kk6i" localSheetId="26">[3]POMOĆNI!$B$69</definedName>
    <definedName name="kk6i" localSheetId="25">[4]POMOĆNI!$B$69</definedName>
    <definedName name="kk6i">[5]POMOĆNI!$B$69</definedName>
    <definedName name="kk6p" localSheetId="26">[3]POMOĆNI!$B$63</definedName>
    <definedName name="kk6p" localSheetId="25">[4]POMOĆNI!$B$63</definedName>
    <definedName name="kk6p">[5]POMOĆNI!$B$63</definedName>
    <definedName name="kk6v" localSheetId="26">[3]POMOĆNI!$L$62</definedName>
    <definedName name="kk6v" localSheetId="25">[4]POMOĆNI!$L$62</definedName>
    <definedName name="kk6v">[5]POMOĆNI!$L$62</definedName>
    <definedName name="kljucavnicarska" localSheetId="12">#REF!</definedName>
    <definedName name="kljucavnicarska" localSheetId="18">#REF!</definedName>
    <definedName name="kljucavnicarska">#REF!</definedName>
    <definedName name="Kolnik_16.3.">'[6]16. Prometnice'!$G$277</definedName>
    <definedName name="krov" localSheetId="26">[3]POMOĆNI!$B$56:$B$69</definedName>
    <definedName name="krov" localSheetId="25">[4]POMOĆNI!$B$56:$B$69</definedName>
    <definedName name="krov">[5]POMOĆNI!$B$56:$B$69</definedName>
    <definedName name="krov_1" localSheetId="26">[3]POMOĆNI!$L$56:$L$62</definedName>
    <definedName name="krov_1" localSheetId="25">[4]POMOĆNI!$L$56:$L$62</definedName>
    <definedName name="krov_1">[5]POMOĆNI!$L$56:$L$62</definedName>
    <definedName name="krov_2" localSheetId="26">[3]POMOĆNI!$B$76:$B$77</definedName>
    <definedName name="krov_2" localSheetId="25">[4]POMOĆNI!$B$76:$B$77</definedName>
    <definedName name="krov_2">[5]POMOĆNI!$B$76:$B$77</definedName>
    <definedName name="KROVOPOKRIVAČKI_RADOVI" localSheetId="12">#REF!</definedName>
    <definedName name="KROVOPOKRIVAČKI_RADOVI" localSheetId="18">#REF!</definedName>
    <definedName name="KROVOPOKRIVAČKI_RADOVI">#REF!</definedName>
    <definedName name="krovskokleparska" localSheetId="18">#REF!</definedName>
    <definedName name="krovskokleparska">#REF!</definedName>
    <definedName name="Kurs" localSheetId="18">#REF!</definedName>
    <definedName name="Kurs">#REF!</definedName>
    <definedName name="l">#REF!</definedName>
    <definedName name="Langua.">#REF!</definedName>
    <definedName name="Langua.no">#REF!</definedName>
    <definedName name="Language">#REF!</definedName>
    <definedName name="Last_up_date">#REF!</definedName>
    <definedName name="LIMARSKI_RADOVI">#REF!</definedName>
    <definedName name="M">#REF!</definedName>
    <definedName name="mavcnokartonska">#REF!</definedName>
    <definedName name="min">#REF!</definedName>
    <definedName name="minE">#REF!</definedName>
    <definedName name="MMMMMMMM">#REF!</definedName>
    <definedName name="mr">#REF!</definedName>
    <definedName name="NEHRĐAJUĆA_BRAVARIJA">#REF!</definedName>
    <definedName name="Null">#REF!</definedName>
    <definedName name="obrtniska">#REF!</definedName>
    <definedName name="Odvod_16.4.">'[6]16. Prometnice'!$G$329</definedName>
    <definedName name="OSTALI_RADOVI">#REF!</definedName>
    <definedName name="p">#REF!</definedName>
    <definedName name="Partno">#REF!</definedName>
    <definedName name="PILOTI">#REF!</definedName>
    <definedName name="pn">'[2]VIIIc.0.E'!#REF!</definedName>
    <definedName name="PODOVI" localSheetId="12">#REF!</definedName>
    <definedName name="PODOVI" localSheetId="18">#REF!</definedName>
    <definedName name="PODOVI">#REF!</definedName>
    <definedName name="_xlnm.Print_Area" localSheetId="27">ELEKTRO!$A$1:$F$509</definedName>
    <definedName name="_xlnm.Print_Area" localSheetId="4">'II ZEM'!$A$1:$F$52</definedName>
    <definedName name="_xlnm.Print_Area" localSheetId="5">'III OPL_KOLNIK'!$A$1:$F$100</definedName>
    <definedName name="_xlnm.Print_Area" localSheetId="11">'IX BRAV'!$A$1:$F$30</definedName>
    <definedName name="_xlnm.Print_Area" localSheetId="0">NASL!$A$1:$B$42</definedName>
    <definedName name="_xlnm.Print_Area" localSheetId="23">'REKAP-GOR'!$A$1:$E$50</definedName>
    <definedName name="_xlnm.Print_Area" localSheetId="29">SE!$A$1:$F$157</definedName>
    <definedName name="_xlnm.Print_Area" localSheetId="26">STROJ!$A$1:$F$840</definedName>
    <definedName name="_xlnm.Print_Area" localSheetId="9">'VII KROV'!$A$1:$F$15</definedName>
    <definedName name="_xlnm.Print_Area" localSheetId="10">'VIII FASADA'!$A$1:$F$21</definedName>
    <definedName name="_xlnm.Print_Area" localSheetId="25">VIK!$A$1:$F$544</definedName>
    <definedName name="_xlnm.Print_Area" localSheetId="12">'X ALU BRAVARIJA'!$A$1:$F$136</definedName>
    <definedName name="_xlnm.Print_Area" localSheetId="14">'XII STOLARIJA'!$A$1:$F$40</definedName>
    <definedName name="_xlnm.Print_Area" localSheetId="15">'XIII LIMAR'!$A$1:$F$15</definedName>
    <definedName name="_xlnm.Print_Area" localSheetId="18">'XVI PODOPOL'!$A$1:$F$99</definedName>
    <definedName name="_xlnm.Print_Area" localSheetId="20">'XVIII RAZNI RADOVI'!$A$1:$F$9</definedName>
    <definedName name="_xlnm.Print_Area" localSheetId="21">'XX HORTIKULTURA'!$A$1:$F$63</definedName>
    <definedName name="_xlnm.Print_Area" localSheetId="22">'XXI DOKUMENT'!$A$1:$F$17</definedName>
    <definedName name="Ponudjac" localSheetId="12">#REF!</definedName>
    <definedName name="Ponudjac" localSheetId="18">#REF!</definedName>
    <definedName name="Ponudjac">#REF!</definedName>
    <definedName name="pop" localSheetId="12">#REF!</definedName>
    <definedName name="pop" localSheetId="18">#REF!</definedName>
    <definedName name="pop">#REF!</definedName>
    <definedName name="PREGRADNE_STIJENE">#REF!</definedName>
    <definedName name="Price_code">#REF!</definedName>
    <definedName name="Pripr_16.1.">'[6]16. Prometnice'!$G$66</definedName>
    <definedName name="PROTUPOŽARNA_BRAVARIJA" localSheetId="12">#REF!</definedName>
    <definedName name="PROTUPOŽARNA_BRAVARIJA" localSheetId="18">#REF!</definedName>
    <definedName name="PROTUPOŽARNA_BRAVARIJA">#REF!</definedName>
    <definedName name="R_E_K_A_P_I_T_U_L_A_C_I_J_A" localSheetId="12">#REF!</definedName>
    <definedName name="R_E_K_A_P_I_T_U_L_A_C_I_J_A" localSheetId="18">#REF!</definedName>
    <definedName name="R_E_K_A_P_I_T_U_L_A_C_I_J_A">#REF!</definedName>
    <definedName name="rbr" localSheetId="12">#REF!</definedName>
    <definedName name="rbr" localSheetId="18">#REF!</definedName>
    <definedName name="rbr">#REF!</definedName>
    <definedName name="reserve">#REF!</definedName>
    <definedName name="rk_1" localSheetId="26">[3]POMOĆNI!$B$77</definedName>
    <definedName name="rk_1" localSheetId="25">[4]POMOĆNI!$B$77</definedName>
    <definedName name="rk_1">[5]POMOĆNI!$B$77</definedName>
    <definedName name="rk1v" localSheetId="26">[3]POMOĆNI!$L$56</definedName>
    <definedName name="rk1v" localSheetId="25">[4]POMOĆNI!$L$56</definedName>
    <definedName name="rk1v">[5]POMOĆNI!$L$56</definedName>
    <definedName name="rkh" localSheetId="26">[3]POMOĆNI!$B$56</definedName>
    <definedName name="rkh" localSheetId="25">[4]POMOĆNI!$B$56</definedName>
    <definedName name="rkh">[5]POMOĆNI!$B$56</definedName>
    <definedName name="rkv" localSheetId="26">[3]POMOĆNI!$B$57</definedName>
    <definedName name="rkv" localSheetId="25">[4]POMOĆNI!$B$57</definedName>
    <definedName name="rkv">[5]POMOĆNI!$B$57</definedName>
    <definedName name="RTG_BRAVARIJA" localSheetId="12">#REF!</definedName>
    <definedName name="RTG_BRAVARIJA" localSheetId="18">#REF!</definedName>
    <definedName name="RTG_BRAVARIJA">#REF!</definedName>
    <definedName name="RUŠENJA_I_PRILAGODBE_GRAĐEVINSKIH_ELEMENATA_POSTOJEĆIH_GRAĐEVINA" localSheetId="18">#REF!</definedName>
    <definedName name="RUŠENJA_I_PRILAGODBE_GRAĐEVINSKIH_ELEMENATA_POSTOJEĆIH_GRAĐEVINA">#REF!</definedName>
    <definedName name="s" localSheetId="18">#REF!</definedName>
    <definedName name="s">#REF!</definedName>
    <definedName name="sat">#REF!</definedName>
    <definedName name="satE">#REF!</definedName>
    <definedName name="sdfgdfgdf">[1]POMOĆNI!$B$66</definedName>
    <definedName name="sdfgdfgdfg">[1]POMOĆNI!$B$65</definedName>
    <definedName name="Seins" localSheetId="12">#REF!</definedName>
    <definedName name="Seins">#REF!</definedName>
    <definedName name="Sign_16.5.">'[6]16. Prometnice'!$G$408</definedName>
    <definedName name="slikopleskarska" localSheetId="12">#REF!</definedName>
    <definedName name="slikopleskarska">#REF!</definedName>
    <definedName name="sn" localSheetId="12">'[2]VIIIc.0.E'!#REF!</definedName>
    <definedName name="sn">'[2]VIIIc.0.E'!#REF!</definedName>
    <definedName name="SOBOSLIKARSKI_RADOVI" localSheetId="12">#REF!</definedName>
    <definedName name="SOBOSLIKARSKI_RADOVI" localSheetId="18">#REF!</definedName>
    <definedName name="SOBOSLIKARSKI_RADOVI">#REF!</definedName>
    <definedName name="SPUŠTENI_STROPOVI" localSheetId="12">#REF!</definedName>
    <definedName name="SPUŠTENI_STROPOVI" localSheetId="18">#REF!</definedName>
    <definedName name="SPUŠTENI_STROPOVI">#REF!</definedName>
    <definedName name="tesarska" localSheetId="12">#REF!</definedName>
    <definedName name="tesarska" localSheetId="18">#REF!</definedName>
    <definedName name="tesarska">#REF!</definedName>
    <definedName name="tfggfhgfgfhf">[7]POMOĆNI!$B$56</definedName>
    <definedName name="type" localSheetId="12">#REF!</definedName>
    <definedName name="type">#REF!</definedName>
    <definedName name="u" localSheetId="12">#REF!</definedName>
    <definedName name="u">#REF!</definedName>
    <definedName name="UKLANJANJE_OBJEKATA_I_IZGRADNJA_PRIVREMENE_SAOBRAČAJNICE" localSheetId="12">#REF!</definedName>
    <definedName name="UKLANJANJE_OBJEKATA_I_IZGRADNJA_PRIVREMENE_SAOBRAČAJNICE">#REF!</definedName>
    <definedName name="UNUTARNJA_ALUMINIJSKA_BRAVARIJA">#REF!</definedName>
    <definedName name="VANJSKA_ALUMINIJSKA_BRAVARIJA">#REF!</definedName>
    <definedName name="VD">#REF!</definedName>
    <definedName name="VI">#REF!</definedName>
    <definedName name="VP">#REF!</definedName>
    <definedName name="vvv">[8]Preisfindung!#REF!</definedName>
    <definedName name="Wrg" localSheetId="12">#REF!</definedName>
    <definedName name="Wrg" localSheetId="18">#REF!</definedName>
    <definedName name="Wrg">#REF!</definedName>
    <definedName name="Zem_16.2.">'[6]16. Prometnice'!$G$130</definedName>
    <definedName name="zemeljska" localSheetId="12">#REF!</definedName>
    <definedName name="zemeljska" localSheetId="18">#REF!</definedName>
    <definedName name="zemeljska">#REF!</definedName>
    <definedName name="ZEMLJANI_RADOVI" localSheetId="12">#REF!</definedName>
    <definedName name="ZEMLJANI_RADOVI" localSheetId="18">#REF!</definedName>
    <definedName name="ZEMLJANI_RADOVI">#REF!</definedName>
    <definedName name="zidarska">#REF!</definedName>
    <definedName name="ZIDARSKI_RADOV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0" i="42" l="1"/>
  <c r="F387" i="55" l="1"/>
  <c r="F83" i="54"/>
  <c r="F341" i="51" l="1"/>
  <c r="F340" i="51"/>
  <c r="F14" i="16"/>
  <c r="F15" i="16"/>
  <c r="F33" i="9" l="1"/>
  <c r="F161" i="55"/>
  <c r="F160" i="55"/>
  <c r="F828" i="56"/>
  <c r="F838" i="56" l="1"/>
  <c r="F835" i="56"/>
  <c r="F833" i="56"/>
  <c r="F830" i="56"/>
  <c r="F820" i="56"/>
  <c r="F817" i="56"/>
  <c r="F814" i="56"/>
  <c r="F811" i="56"/>
  <c r="F810" i="56"/>
  <c r="F807" i="56"/>
  <c r="F803" i="56"/>
  <c r="F800" i="56"/>
  <c r="F799" i="56"/>
  <c r="F798" i="56"/>
  <c r="F797" i="56"/>
  <c r="F796" i="56"/>
  <c r="F793" i="56"/>
  <c r="F790" i="56"/>
  <c r="F787" i="56"/>
  <c r="F786" i="56"/>
  <c r="F785" i="56"/>
  <c r="F784" i="56"/>
  <c r="F783" i="56"/>
  <c r="F782" i="56"/>
  <c r="F779" i="56"/>
  <c r="F778" i="56"/>
  <c r="F777" i="56"/>
  <c r="F776" i="56"/>
  <c r="F773" i="56"/>
  <c r="F768" i="56"/>
  <c r="F767" i="56"/>
  <c r="F766" i="56"/>
  <c r="F763" i="56"/>
  <c r="F762" i="56"/>
  <c r="F761" i="56"/>
  <c r="F758" i="56"/>
  <c r="F744" i="56"/>
  <c r="F724" i="56"/>
  <c r="F721" i="56"/>
  <c r="F718" i="56"/>
  <c r="F715" i="56"/>
  <c r="F712" i="56"/>
  <c r="F708" i="56"/>
  <c r="F705" i="56"/>
  <c r="F703" i="56"/>
  <c r="F700" i="56"/>
  <c r="F697" i="56"/>
  <c r="F696" i="56"/>
  <c r="F693" i="56"/>
  <c r="F690" i="56"/>
  <c r="F687" i="56"/>
  <c r="F684" i="56"/>
  <c r="F680" i="56"/>
  <c r="F676" i="56"/>
  <c r="F663" i="56"/>
  <c r="F662" i="56"/>
  <c r="F659" i="56"/>
  <c r="F646" i="56"/>
  <c r="F630" i="56"/>
  <c r="F628" i="56"/>
  <c r="F626" i="56"/>
  <c r="F624" i="56"/>
  <c r="F623" i="56"/>
  <c r="F620" i="56"/>
  <c r="F618" i="56"/>
  <c r="F582" i="56"/>
  <c r="F580" i="56"/>
  <c r="F578" i="56"/>
  <c r="F576" i="56"/>
  <c r="F575" i="56"/>
  <c r="F572" i="56"/>
  <c r="F570" i="56"/>
  <c r="F535" i="56"/>
  <c r="F533" i="56"/>
  <c r="F531" i="56"/>
  <c r="F530" i="56"/>
  <c r="F529" i="56"/>
  <c r="F526" i="56"/>
  <c r="F523" i="56"/>
  <c r="F522" i="56"/>
  <c r="F521" i="56"/>
  <c r="F520" i="56"/>
  <c r="F519" i="56"/>
  <c r="F518" i="56"/>
  <c r="F517" i="56"/>
  <c r="F516" i="56"/>
  <c r="F513" i="56"/>
  <c r="F512" i="56"/>
  <c r="F511" i="56"/>
  <c r="F510" i="56"/>
  <c r="F509" i="56"/>
  <c r="F508" i="56"/>
  <c r="F507" i="56"/>
  <c r="F506" i="56"/>
  <c r="F503" i="56"/>
  <c r="F500" i="56"/>
  <c r="F499" i="56"/>
  <c r="F498" i="56"/>
  <c r="F497" i="56"/>
  <c r="F496" i="56"/>
  <c r="F490" i="56"/>
  <c r="F489" i="56"/>
  <c r="F488" i="56"/>
  <c r="F487" i="56"/>
  <c r="F484" i="56"/>
  <c r="F483" i="56"/>
  <c r="F482" i="56"/>
  <c r="F481" i="56"/>
  <c r="F478" i="56"/>
  <c r="F475" i="56"/>
  <c r="F471" i="56"/>
  <c r="F467" i="56"/>
  <c r="F463" i="56"/>
  <c r="F457" i="56"/>
  <c r="F453" i="56"/>
  <c r="F447" i="56"/>
  <c r="F435" i="56"/>
  <c r="F433" i="56"/>
  <c r="F431" i="56"/>
  <c r="F430" i="56"/>
  <c r="F429" i="56"/>
  <c r="F426" i="56"/>
  <c r="F425" i="56"/>
  <c r="F424" i="56"/>
  <c r="F419" i="56"/>
  <c r="F418" i="56"/>
  <c r="F417" i="56"/>
  <c r="F412" i="56"/>
  <c r="F410" i="56"/>
  <c r="F408" i="56"/>
  <c r="F407" i="56"/>
  <c r="F406" i="56"/>
  <c r="F405" i="56"/>
  <c r="F404" i="56"/>
  <c r="F401" i="56"/>
  <c r="F399" i="56"/>
  <c r="F397" i="56"/>
  <c r="F395" i="56"/>
  <c r="F393" i="56"/>
  <c r="F392" i="56"/>
  <c r="F391" i="56"/>
  <c r="F390" i="56"/>
  <c r="F389" i="56"/>
  <c r="F386" i="56"/>
  <c r="F383" i="56"/>
  <c r="F381" i="56"/>
  <c r="F378" i="56"/>
  <c r="F377" i="56"/>
  <c r="F376" i="56"/>
  <c r="F375" i="56"/>
  <c r="F374" i="56"/>
  <c r="F373" i="56"/>
  <c r="F370" i="56"/>
  <c r="F369" i="56"/>
  <c r="F368" i="56"/>
  <c r="F367" i="56"/>
  <c r="F366" i="56"/>
  <c r="F365" i="56"/>
  <c r="F356" i="56"/>
  <c r="F354" i="56"/>
  <c r="F352" i="56"/>
  <c r="F350" i="56"/>
  <c r="F349" i="56"/>
  <c r="F346" i="56"/>
  <c r="F345" i="56"/>
  <c r="F341" i="56"/>
  <c r="F339" i="56"/>
  <c r="F336" i="56"/>
  <c r="F335" i="56"/>
  <c r="F332" i="56"/>
  <c r="F331" i="56"/>
  <c r="F328" i="56"/>
  <c r="F324" i="56"/>
  <c r="F322" i="56"/>
  <c r="F320" i="56"/>
  <c r="F318" i="56"/>
  <c r="F316" i="56"/>
  <c r="F315" i="56"/>
  <c r="F312" i="56"/>
  <c r="F311" i="56"/>
  <c r="F308" i="56"/>
  <c r="F306" i="56"/>
  <c r="F293" i="56"/>
  <c r="F290" i="56"/>
  <c r="F287" i="56"/>
  <c r="F284" i="56"/>
  <c r="F281" i="56"/>
  <c r="F278" i="56"/>
  <c r="F267" i="56"/>
  <c r="F264" i="56"/>
  <c r="F261" i="56"/>
  <c r="F257" i="56"/>
  <c r="F254" i="56"/>
  <c r="F253" i="56"/>
  <c r="F252" i="56"/>
  <c r="F251" i="56"/>
  <c r="F250" i="56"/>
  <c r="F247" i="56"/>
  <c r="F246" i="56"/>
  <c r="F245" i="56"/>
  <c r="F244" i="56"/>
  <c r="F243" i="56"/>
  <c r="F239" i="56"/>
  <c r="F235" i="56"/>
  <c r="F231" i="56"/>
  <c r="F226" i="56"/>
  <c r="F221" i="56"/>
  <c r="F218" i="56"/>
  <c r="F217" i="56"/>
  <c r="F211" i="56"/>
  <c r="F208" i="56"/>
  <c r="F205" i="56"/>
  <c r="F204" i="56"/>
  <c r="F203" i="56"/>
  <c r="F200" i="56"/>
  <c r="F197" i="56"/>
  <c r="F196" i="56"/>
  <c r="F195" i="56"/>
  <c r="F192" i="56"/>
  <c r="F189" i="56"/>
  <c r="F186" i="56"/>
  <c r="F183" i="56"/>
  <c r="F182" i="56"/>
  <c r="F177" i="56"/>
  <c r="F170" i="56"/>
  <c r="F163" i="56"/>
  <c r="F157" i="56"/>
  <c r="F152" i="56"/>
  <c r="F147" i="56"/>
  <c r="F144" i="56"/>
  <c r="F143" i="56"/>
  <c r="F142" i="56"/>
  <c r="F141" i="56"/>
  <c r="F137" i="56"/>
  <c r="F132" i="56"/>
  <c r="F128" i="56"/>
  <c r="F121" i="56"/>
  <c r="F117" i="56"/>
  <c r="F110" i="56"/>
  <c r="F107" i="56"/>
  <c r="F106" i="56"/>
  <c r="F99" i="56"/>
  <c r="F92" i="56"/>
  <c r="F90" i="56"/>
  <c r="F84" i="56"/>
  <c r="F80" i="56"/>
  <c r="B27" i="56"/>
  <c r="B26" i="56"/>
  <c r="B25" i="56"/>
  <c r="B24" i="56"/>
  <c r="B23" i="56"/>
  <c r="B22" i="56"/>
  <c r="B21" i="56"/>
  <c r="B20" i="56"/>
  <c r="B19" i="56"/>
  <c r="F840" i="56" l="1"/>
  <c r="F27" i="56"/>
  <c r="F437" i="56"/>
  <c r="F21" i="56" s="1"/>
  <c r="F585" i="56"/>
  <c r="F23" i="56" s="1"/>
  <c r="F358" i="56"/>
  <c r="F20" i="56" s="1"/>
  <c r="F537" i="56"/>
  <c r="F22" i="56" s="1"/>
  <c r="F726" i="56"/>
  <c r="F25" i="56" s="1"/>
  <c r="F633" i="56"/>
  <c r="F24" i="56" s="1"/>
  <c r="F295" i="56"/>
  <c r="F19" i="56" s="1"/>
  <c r="F822" i="56"/>
  <c r="F26" i="56" s="1"/>
  <c r="F490" i="55"/>
  <c r="F492" i="55" s="1"/>
  <c r="F507" i="55" s="1"/>
  <c r="F485" i="55"/>
  <c r="F483" i="55"/>
  <c r="F481" i="55"/>
  <c r="F479" i="55"/>
  <c r="F477" i="55"/>
  <c r="F475" i="55"/>
  <c r="F471" i="55"/>
  <c r="F469" i="55"/>
  <c r="F467" i="55"/>
  <c r="F465" i="55"/>
  <c r="F460" i="55"/>
  <c r="F458" i="55"/>
  <c r="F456" i="55"/>
  <c r="F454" i="55"/>
  <c r="F452" i="55"/>
  <c r="F450" i="55"/>
  <c r="F448" i="55"/>
  <c r="F446" i="55"/>
  <c r="F444" i="55"/>
  <c r="F442" i="55"/>
  <c r="F440" i="55"/>
  <c r="F435" i="55"/>
  <c r="F433" i="55"/>
  <c r="F429" i="55"/>
  <c r="F427" i="55"/>
  <c r="F423" i="55"/>
  <c r="F410" i="55"/>
  <c r="F408" i="55"/>
  <c r="F401" i="55"/>
  <c r="F399" i="55"/>
  <c r="F395" i="55"/>
  <c r="F393" i="55"/>
  <c r="F391" i="55"/>
  <c r="F383" i="55"/>
  <c r="F326" i="55"/>
  <c r="F324" i="55"/>
  <c r="F322" i="55"/>
  <c r="F320" i="55"/>
  <c r="F318" i="55"/>
  <c r="F316" i="55"/>
  <c r="F314" i="55"/>
  <c r="F312" i="55"/>
  <c r="F310" i="55"/>
  <c r="F308" i="55"/>
  <c r="F306" i="55"/>
  <c r="F304" i="55"/>
  <c r="F302" i="55"/>
  <c r="F300" i="55"/>
  <c r="F298" i="55"/>
  <c r="F296" i="55"/>
  <c r="F294" i="55"/>
  <c r="F292" i="55"/>
  <c r="F290" i="55"/>
  <c r="F288" i="55"/>
  <c r="F286" i="55"/>
  <c r="F284" i="55"/>
  <c r="F282" i="55"/>
  <c r="F280" i="55"/>
  <c r="F278" i="55"/>
  <c r="F276" i="55"/>
  <c r="F274" i="55"/>
  <c r="F272" i="55"/>
  <c r="F270" i="55"/>
  <c r="F268" i="55"/>
  <c r="F266" i="55"/>
  <c r="F264" i="55"/>
  <c r="F257" i="55"/>
  <c r="F255" i="55"/>
  <c r="F253" i="55"/>
  <c r="F251" i="55"/>
  <c r="F249" i="55"/>
  <c r="F247" i="55"/>
  <c r="F245" i="55"/>
  <c r="F243" i="55"/>
  <c r="F241" i="55"/>
  <c r="F239" i="55"/>
  <c r="F237" i="55"/>
  <c r="F235" i="55"/>
  <c r="F233" i="55"/>
  <c r="F231" i="55"/>
  <c r="F229" i="55"/>
  <c r="F227" i="55"/>
  <c r="F225" i="55"/>
  <c r="F223" i="55"/>
  <c r="F221" i="55"/>
  <c r="F219" i="55"/>
  <c r="F217" i="55"/>
  <c r="F215" i="55"/>
  <c r="F213" i="55"/>
  <c r="F211" i="55"/>
  <c r="F209" i="55"/>
  <c r="F205" i="55"/>
  <c r="F203" i="55"/>
  <c r="F201" i="55"/>
  <c r="F199" i="55"/>
  <c r="F197" i="55"/>
  <c r="F193" i="55"/>
  <c r="F191" i="55"/>
  <c r="F189" i="55"/>
  <c r="F187" i="55"/>
  <c r="F185" i="55"/>
  <c r="F183" i="55"/>
  <c r="F181" i="55"/>
  <c r="F179" i="55"/>
  <c r="F177" i="55"/>
  <c r="F175" i="55"/>
  <c r="F173" i="55"/>
  <c r="F171" i="55"/>
  <c r="F169" i="55"/>
  <c r="F167" i="55"/>
  <c r="F165" i="55"/>
  <c r="F163" i="55"/>
  <c r="F157" i="55"/>
  <c r="F155" i="55"/>
  <c r="F153" i="55"/>
  <c r="F151" i="55"/>
  <c r="F149" i="55"/>
  <c r="F147" i="55"/>
  <c r="F145" i="55"/>
  <c r="F143" i="55"/>
  <c r="F141" i="55"/>
  <c r="F139" i="55"/>
  <c r="F135" i="55"/>
  <c r="F133" i="55"/>
  <c r="F131" i="55"/>
  <c r="F127" i="55"/>
  <c r="F116" i="55"/>
  <c r="F75" i="55"/>
  <c r="F12" i="55"/>
  <c r="F10" i="55"/>
  <c r="F8" i="55"/>
  <c r="F6" i="55"/>
  <c r="A136" i="54"/>
  <c r="B27" i="22" s="1"/>
  <c r="B136" i="54"/>
  <c r="C27" i="22" s="1"/>
  <c r="F134" i="54"/>
  <c r="F131" i="54"/>
  <c r="F130" i="54"/>
  <c r="F127" i="54"/>
  <c r="F126" i="54"/>
  <c r="F123" i="54"/>
  <c r="F118" i="54"/>
  <c r="F113" i="54"/>
  <c r="F108" i="54"/>
  <c r="F103" i="54"/>
  <c r="F98" i="54"/>
  <c r="F93" i="54"/>
  <c r="F88" i="54"/>
  <c r="F78" i="54"/>
  <c r="F75" i="54"/>
  <c r="F72" i="54"/>
  <c r="F69" i="54"/>
  <c r="F66" i="54"/>
  <c r="F63" i="54"/>
  <c r="F60" i="54"/>
  <c r="F55" i="54"/>
  <c r="F54" i="54"/>
  <c r="F49" i="54"/>
  <c r="F46" i="54"/>
  <c r="F45" i="54"/>
  <c r="F40" i="54"/>
  <c r="F487" i="55" l="1"/>
  <c r="F505" i="55" s="1"/>
  <c r="F29" i="56"/>
  <c r="F7" i="35" s="1"/>
  <c r="F462" i="55"/>
  <c r="F503" i="55" s="1"/>
  <c r="F437" i="55"/>
  <c r="F501" i="55" s="1"/>
  <c r="F136" i="54"/>
  <c r="E27" i="22" s="1"/>
  <c r="F259" i="55"/>
  <c r="F495" i="55" s="1"/>
  <c r="F403" i="55"/>
  <c r="F499" i="55" s="1"/>
  <c r="F328" i="55"/>
  <c r="F497" i="55" s="1"/>
  <c r="B155" i="53"/>
  <c r="A155" i="53"/>
  <c r="F151" i="53"/>
  <c r="F150" i="53"/>
  <c r="F148" i="53"/>
  <c r="F146" i="53"/>
  <c r="F145" i="53"/>
  <c r="F144" i="53"/>
  <c r="F142" i="53"/>
  <c r="F141" i="53"/>
  <c r="F140" i="53"/>
  <c r="F138" i="53"/>
  <c r="F136" i="53"/>
  <c r="F134" i="53"/>
  <c r="F132" i="53"/>
  <c r="F130" i="53"/>
  <c r="F129" i="53"/>
  <c r="F128" i="53"/>
  <c r="F126" i="53"/>
  <c r="F124" i="53"/>
  <c r="F122" i="53"/>
  <c r="F120" i="53"/>
  <c r="F119" i="53"/>
  <c r="F118" i="53"/>
  <c r="F116" i="53"/>
  <c r="F114" i="53"/>
  <c r="F113" i="53"/>
  <c r="F112" i="53"/>
  <c r="F110" i="53"/>
  <c r="F108" i="53"/>
  <c r="F104" i="53"/>
  <c r="E509" i="55" l="1"/>
  <c r="F8" i="35" s="1"/>
  <c r="F152" i="53"/>
  <c r="F155" i="53" s="1"/>
  <c r="E157" i="53" s="1"/>
  <c r="F10" i="35" l="1"/>
  <c r="F41" i="52"/>
  <c r="F40" i="52"/>
  <c r="F39" i="52"/>
  <c r="F38" i="52"/>
  <c r="F37" i="52"/>
  <c r="F36" i="52"/>
  <c r="F35" i="52"/>
  <c r="F34" i="52"/>
  <c r="F33" i="52"/>
  <c r="F31" i="52"/>
  <c r="F28" i="52"/>
  <c r="F25" i="52"/>
  <c r="F24" i="52"/>
  <c r="F23" i="52"/>
  <c r="F22" i="52"/>
  <c r="F19" i="52"/>
  <c r="F18" i="52"/>
  <c r="F17" i="52"/>
  <c r="F16" i="52"/>
  <c r="F15" i="52"/>
  <c r="F14" i="52"/>
  <c r="F13" i="52"/>
  <c r="F12" i="52"/>
  <c r="F11" i="52"/>
  <c r="F10" i="52"/>
  <c r="F9" i="52"/>
  <c r="F8" i="52"/>
  <c r="F7" i="52"/>
  <c r="F6" i="52"/>
  <c r="F5" i="52"/>
  <c r="F4" i="52"/>
  <c r="F3" i="52"/>
  <c r="F29" i="52" l="1"/>
  <c r="F45" i="52" s="1"/>
  <c r="F20" i="52"/>
  <c r="F44" i="52" s="1"/>
  <c r="F32" i="52"/>
  <c r="F42" i="52" s="1"/>
  <c r="F46" i="52" s="1"/>
  <c r="F47" i="52" l="1"/>
  <c r="F9" i="35" l="1"/>
  <c r="B542" i="51"/>
  <c r="B541" i="51"/>
  <c r="B540" i="51"/>
  <c r="B539" i="51"/>
  <c r="B538" i="51"/>
  <c r="B537" i="51"/>
  <c r="B536" i="51"/>
  <c r="B535" i="51"/>
  <c r="B534" i="51"/>
  <c r="B533" i="51"/>
  <c r="B532" i="51"/>
  <c r="B531" i="51"/>
  <c r="B530" i="51"/>
  <c r="B529" i="51"/>
  <c r="B528" i="51"/>
  <c r="B527" i="51"/>
  <c r="B526" i="51"/>
  <c r="B525" i="51"/>
  <c r="B524" i="51"/>
  <c r="B523" i="51"/>
  <c r="B522" i="51"/>
  <c r="B521" i="51"/>
  <c r="F515" i="51"/>
  <c r="F513" i="51"/>
  <c r="F510" i="51"/>
  <c r="F507" i="51"/>
  <c r="F500" i="51"/>
  <c r="F497" i="51"/>
  <c r="F494" i="51"/>
  <c r="F491" i="51"/>
  <c r="F488" i="51"/>
  <c r="F485" i="51"/>
  <c r="F480" i="51"/>
  <c r="F477" i="51"/>
  <c r="F470" i="51"/>
  <c r="F465" i="51"/>
  <c r="F460" i="51"/>
  <c r="F454" i="51"/>
  <c r="F449" i="51"/>
  <c r="F442" i="51"/>
  <c r="F433" i="51"/>
  <c r="F422" i="51"/>
  <c r="F424" i="51" s="1"/>
  <c r="F540" i="51" s="1"/>
  <c r="F416" i="51"/>
  <c r="F414" i="51"/>
  <c r="F411" i="51"/>
  <c r="F408" i="51"/>
  <c r="F406" i="51"/>
  <c r="F404" i="51"/>
  <c r="F402" i="51"/>
  <c r="F400" i="51"/>
  <c r="F398" i="51"/>
  <c r="F397" i="51"/>
  <c r="F396" i="51"/>
  <c r="F393" i="51"/>
  <c r="F390" i="51"/>
  <c r="F387" i="51"/>
  <c r="F386" i="51"/>
  <c r="F385" i="51"/>
  <c r="F384" i="51"/>
  <c r="F380" i="51"/>
  <c r="F379" i="51"/>
  <c r="F378" i="51"/>
  <c r="F377" i="51"/>
  <c r="F374" i="51"/>
  <c r="F373" i="51"/>
  <c r="F372" i="51"/>
  <c r="F371" i="51"/>
  <c r="F368" i="51"/>
  <c r="F367" i="51"/>
  <c r="F366" i="51"/>
  <c r="F365" i="51"/>
  <c r="F358" i="51"/>
  <c r="F360" i="51" s="1"/>
  <c r="F538" i="51" s="1"/>
  <c r="F349" i="51"/>
  <c r="F351" i="51" s="1"/>
  <c r="F536" i="51" s="1"/>
  <c r="F343" i="51"/>
  <c r="F337" i="51"/>
  <c r="F334" i="51"/>
  <c r="F332" i="51"/>
  <c r="F330" i="51"/>
  <c r="F328" i="51"/>
  <c r="F325" i="51"/>
  <c r="F323" i="51"/>
  <c r="F321" i="51"/>
  <c r="F319" i="51"/>
  <c r="F317" i="51"/>
  <c r="F316" i="51"/>
  <c r="F313" i="51"/>
  <c r="F312" i="51"/>
  <c r="F309" i="51"/>
  <c r="F306" i="51"/>
  <c r="F305" i="51"/>
  <c r="F304" i="51"/>
  <c r="F301" i="51"/>
  <c r="F300" i="51"/>
  <c r="F299" i="51"/>
  <c r="F295" i="51"/>
  <c r="F294" i="51"/>
  <c r="F291" i="51"/>
  <c r="F288" i="51"/>
  <c r="F285" i="51"/>
  <c r="F284" i="51"/>
  <c r="F281" i="51"/>
  <c r="F280" i="51"/>
  <c r="F272" i="51"/>
  <c r="F271" i="51"/>
  <c r="F262" i="51"/>
  <c r="F264" i="51" s="1"/>
  <c r="F532" i="51" s="1"/>
  <c r="F256" i="51"/>
  <c r="F254" i="51"/>
  <c r="F251" i="51"/>
  <c r="F250" i="51"/>
  <c r="F247" i="51"/>
  <c r="F244" i="51"/>
  <c r="F240" i="51"/>
  <c r="F237" i="51"/>
  <c r="F234" i="51"/>
  <c r="F231" i="51"/>
  <c r="F228" i="51"/>
  <c r="F220" i="51"/>
  <c r="F218" i="51"/>
  <c r="F211" i="51"/>
  <c r="F200" i="51"/>
  <c r="F199" i="51"/>
  <c r="F196" i="51"/>
  <c r="F192" i="51"/>
  <c r="F186" i="51"/>
  <c r="F184" i="51"/>
  <c r="F182" i="51"/>
  <c r="F180" i="51"/>
  <c r="F178" i="51"/>
  <c r="F164" i="51"/>
  <c r="F161" i="51"/>
  <c r="F152" i="51"/>
  <c r="F149" i="51"/>
  <c r="F148" i="51"/>
  <c r="F140" i="51"/>
  <c r="F138" i="51"/>
  <c r="F136" i="51"/>
  <c r="F134" i="51"/>
  <c r="F132" i="51"/>
  <c r="F130" i="51"/>
  <c r="F123" i="51"/>
  <c r="F121" i="51"/>
  <c r="F119" i="51"/>
  <c r="F117" i="51"/>
  <c r="F115" i="51"/>
  <c r="F113" i="51"/>
  <c r="F111" i="51"/>
  <c r="F109" i="51"/>
  <c r="F107" i="51"/>
  <c r="F104" i="51"/>
  <c r="F98" i="51"/>
  <c r="F96" i="51"/>
  <c r="F94" i="51"/>
  <c r="F92" i="51"/>
  <c r="F90" i="51"/>
  <c r="F88" i="51"/>
  <c r="F86" i="51"/>
  <c r="F84" i="51"/>
  <c r="F82" i="51"/>
  <c r="F79" i="51"/>
  <c r="F71" i="51"/>
  <c r="F73" i="51" s="1"/>
  <c r="F524" i="51" s="1"/>
  <c r="F65" i="51"/>
  <c r="F63" i="51"/>
  <c r="F61" i="51"/>
  <c r="F59" i="51"/>
  <c r="F42" i="51"/>
  <c r="F39" i="51"/>
  <c r="F36" i="51"/>
  <c r="F30" i="51"/>
  <c r="F28" i="51"/>
  <c r="F26" i="51"/>
  <c r="F24" i="51"/>
  <c r="F22" i="51"/>
  <c r="F20" i="51"/>
  <c r="F18" i="51"/>
  <c r="F16" i="51"/>
  <c r="F13" i="51"/>
  <c r="F8" i="51"/>
  <c r="F6" i="51"/>
  <c r="F517" i="51" l="1"/>
  <c r="F542" i="51" s="1"/>
  <c r="F142" i="51"/>
  <c r="F528" i="51" s="1"/>
  <c r="F502" i="51"/>
  <c r="F541" i="51" s="1"/>
  <c r="F274" i="51"/>
  <c r="F534" i="51" s="1"/>
  <c r="F418" i="51"/>
  <c r="F539" i="51" s="1"/>
  <c r="F154" i="51"/>
  <c r="F529" i="51" s="1"/>
  <c r="F67" i="51"/>
  <c r="F523" i="51" s="1"/>
  <c r="F125" i="51"/>
  <c r="F527" i="51" s="1"/>
  <c r="F258" i="51"/>
  <c r="F531" i="51" s="1"/>
  <c r="F32" i="51"/>
  <c r="F522" i="51" s="1"/>
  <c r="F100" i="51"/>
  <c r="F526" i="51" s="1"/>
  <c r="F222" i="51"/>
  <c r="F530" i="51" s="1"/>
  <c r="F345" i="51"/>
  <c r="F535" i="51" s="1"/>
  <c r="F544" i="51" l="1"/>
  <c r="F354" i="42"/>
  <c r="F342" i="42"/>
  <c r="F341" i="42"/>
  <c r="F336" i="42"/>
  <c r="F327" i="42"/>
  <c r="F325" i="42"/>
  <c r="F320" i="42"/>
  <c r="F319" i="42"/>
  <c r="F318" i="42"/>
  <c r="F315" i="42"/>
  <c r="F303" i="42"/>
  <c r="F302" i="42"/>
  <c r="F301" i="42"/>
  <c r="F300" i="42"/>
  <c r="F296" i="42"/>
  <c r="F295" i="42"/>
  <c r="F243" i="42"/>
  <c r="F242" i="42"/>
  <c r="F241" i="42"/>
  <c r="F237" i="42"/>
  <c r="F236" i="42"/>
  <c r="F232" i="42"/>
  <c r="F231" i="42"/>
  <c r="F230" i="42"/>
  <c r="F229" i="42"/>
  <c r="F228" i="42"/>
  <c r="F227" i="42"/>
  <c r="F226" i="42"/>
  <c r="F225" i="42"/>
  <c r="F224" i="42"/>
  <c r="F223" i="42"/>
  <c r="F222" i="42"/>
  <c r="F221" i="42"/>
  <c r="F220" i="42"/>
  <c r="F219" i="42"/>
  <c r="F218" i="42"/>
  <c r="F217" i="42"/>
  <c r="F216" i="42"/>
  <c r="F215" i="42"/>
  <c r="F214" i="42"/>
  <c r="F213" i="42"/>
  <c r="F212" i="42"/>
  <c r="F211" i="42"/>
  <c r="F210" i="42"/>
  <c r="F209" i="42"/>
  <c r="F208" i="42"/>
  <c r="F207" i="42"/>
  <c r="F206" i="42"/>
  <c r="F205" i="42"/>
  <c r="F204" i="42"/>
  <c r="F203" i="42"/>
  <c r="F202" i="42"/>
  <c r="F201" i="42"/>
  <c r="F200" i="42"/>
  <c r="F199" i="42"/>
  <c r="F198" i="42"/>
  <c r="F197" i="42"/>
  <c r="F196" i="42"/>
  <c r="F195" i="42"/>
  <c r="F194" i="42"/>
  <c r="F193" i="42"/>
  <c r="F192" i="42"/>
  <c r="F191" i="42"/>
  <c r="F190" i="42"/>
  <c r="F189" i="42"/>
  <c r="F188" i="42"/>
  <c r="F6" i="35" l="1"/>
  <c r="F238" i="42"/>
  <c r="F244" i="42"/>
  <c r="F233" i="42"/>
  <c r="F61" i="42" l="1"/>
  <c r="F60" i="42"/>
  <c r="F59" i="42"/>
  <c r="F32" i="42"/>
  <c r="B39" i="22"/>
  <c r="A17" i="15"/>
  <c r="B29" i="22" s="1"/>
  <c r="A17" i="21"/>
  <c r="B47" i="22" s="1"/>
  <c r="F6" i="21"/>
  <c r="A63" i="41"/>
  <c r="B45" i="22" s="1"/>
  <c r="A9" i="23"/>
  <c r="B43" i="22" s="1"/>
  <c r="A18" i="20"/>
  <c r="B41" i="22" s="1"/>
  <c r="A99" i="50"/>
  <c r="B99" i="50"/>
  <c r="C39" i="22" s="1"/>
  <c r="F97" i="50"/>
  <c r="F73" i="50"/>
  <c r="F60" i="50"/>
  <c r="F99" i="50" l="1"/>
  <c r="E39" i="22" s="1"/>
  <c r="A20" i="26" l="1"/>
  <c r="B37" i="22" s="1"/>
  <c r="A45" i="18"/>
  <c r="B35" i="22" s="1"/>
  <c r="A21" i="12"/>
  <c r="B23" i="22" s="1"/>
  <c r="A15" i="17"/>
  <c r="B33" i="22" s="1"/>
  <c r="A40" i="16"/>
  <c r="B31" i="22" s="1"/>
  <c r="F12" i="13"/>
  <c r="A30" i="13"/>
  <c r="B25" i="22" s="1"/>
  <c r="F9" i="12"/>
  <c r="F11" i="11"/>
  <c r="A15" i="11"/>
  <c r="B21" i="22" s="1"/>
  <c r="A36" i="10"/>
  <c r="B19" i="22" s="1"/>
  <c r="F19" i="9"/>
  <c r="F10" i="9"/>
  <c r="F6" i="9"/>
  <c r="A39" i="9"/>
  <c r="B17" i="22" s="1"/>
  <c r="F48" i="8" l="1"/>
  <c r="F47" i="8"/>
  <c r="F31" i="8" l="1"/>
  <c r="F32" i="8"/>
  <c r="F17" i="8"/>
  <c r="F16" i="8"/>
  <c r="F7" i="8"/>
  <c r="F61" i="8" l="1"/>
  <c r="F62" i="8"/>
  <c r="A74" i="8"/>
  <c r="B15" i="22" s="1"/>
  <c r="F16" i="40"/>
  <c r="F15" i="40"/>
  <c r="F14" i="40"/>
  <c r="F13" i="40"/>
  <c r="A100" i="40"/>
  <c r="B13" i="22" s="1"/>
  <c r="F42" i="6"/>
  <c r="F24" i="6"/>
  <c r="F23" i="6"/>
  <c r="A52" i="6"/>
  <c r="B11" i="22" s="1"/>
  <c r="A41" i="4"/>
  <c r="B9" i="22" s="1"/>
  <c r="F60" i="41" l="1"/>
  <c r="F349" i="42"/>
  <c r="F348" i="42"/>
  <c r="F347" i="42"/>
  <c r="F346" i="42"/>
  <c r="F339" i="42"/>
  <c r="F338" i="42"/>
  <c r="F337" i="42"/>
  <c r="F335" i="42"/>
  <c r="F334" i="42"/>
  <c r="F329" i="42" l="1"/>
  <c r="F326" i="42"/>
  <c r="F40" i="42" l="1"/>
  <c r="F39" i="42"/>
  <c r="F42" i="42"/>
  <c r="F41" i="42"/>
  <c r="F38" i="42"/>
  <c r="F37" i="42"/>
  <c r="F36" i="42"/>
  <c r="F35" i="42"/>
  <c r="F34" i="42"/>
  <c r="F33" i="42"/>
  <c r="F31" i="42"/>
  <c r="F43" i="42" l="1"/>
  <c r="F28" i="16" l="1"/>
  <c r="F25" i="16"/>
  <c r="F22" i="16"/>
  <c r="F21" i="16"/>
  <c r="F13" i="16"/>
  <c r="F12" i="16"/>
  <c r="F9" i="16"/>
  <c r="F24" i="13"/>
  <c r="F379" i="42" l="1"/>
  <c r="F378" i="42"/>
  <c r="F377" i="42"/>
  <c r="F376" i="42"/>
  <c r="F375" i="42"/>
  <c r="F374" i="42"/>
  <c r="F373" i="42"/>
  <c r="F372" i="42"/>
  <c r="F371" i="42"/>
  <c r="F370" i="42"/>
  <c r="F369" i="42"/>
  <c r="F368" i="42"/>
  <c r="F367" i="42"/>
  <c r="B390" i="42"/>
  <c r="F381" i="42" l="1"/>
  <c r="F390" i="42" s="1"/>
  <c r="F151" i="42" l="1"/>
  <c r="F97" i="42"/>
  <c r="F63" i="42" l="1"/>
  <c r="F53" i="42"/>
  <c r="F64" i="42"/>
  <c r="B389" i="42"/>
  <c r="B388" i="42"/>
  <c r="B387" i="42"/>
  <c r="F68" i="42" l="1"/>
  <c r="F67" i="42"/>
  <c r="F65" i="42"/>
  <c r="F66" i="42"/>
  <c r="F62" i="42"/>
  <c r="F184" i="42"/>
  <c r="F185" i="42" s="1"/>
  <c r="F180" i="42"/>
  <c r="F179" i="42"/>
  <c r="F178" i="42"/>
  <c r="F174" i="42"/>
  <c r="F173" i="42"/>
  <c r="F172" i="42"/>
  <c r="F171" i="42"/>
  <c r="F170" i="42"/>
  <c r="F169" i="42"/>
  <c r="F168" i="42"/>
  <c r="F167" i="42"/>
  <c r="F166" i="42"/>
  <c r="F165" i="42"/>
  <c r="F164" i="42"/>
  <c r="F163" i="42"/>
  <c r="F162" i="42"/>
  <c r="F161" i="42"/>
  <c r="F160" i="42"/>
  <c r="F159" i="42"/>
  <c r="F158" i="42"/>
  <c r="F157" i="42"/>
  <c r="F156" i="42"/>
  <c r="F155" i="42"/>
  <c r="F154" i="42"/>
  <c r="F153" i="42"/>
  <c r="F152" i="42"/>
  <c r="F150" i="42"/>
  <c r="F149" i="42"/>
  <c r="F148" i="42"/>
  <c r="F147" i="42"/>
  <c r="F146" i="42"/>
  <c r="F145" i="42"/>
  <c r="F144" i="42"/>
  <c r="F143" i="42"/>
  <c r="F142" i="42"/>
  <c r="F141" i="42"/>
  <c r="F140" i="42"/>
  <c r="F139" i="42"/>
  <c r="F138" i="42"/>
  <c r="F137" i="42"/>
  <c r="F136" i="42"/>
  <c r="F132" i="42"/>
  <c r="F131" i="42"/>
  <c r="F130" i="42"/>
  <c r="F125" i="42"/>
  <c r="F124" i="42"/>
  <c r="F123" i="42"/>
  <c r="F122" i="42"/>
  <c r="F121" i="42"/>
  <c r="F120" i="42"/>
  <c r="F119" i="42"/>
  <c r="F118" i="42"/>
  <c r="F117" i="42"/>
  <c r="F116" i="42"/>
  <c r="F115" i="42"/>
  <c r="F114" i="42"/>
  <c r="F113" i="42"/>
  <c r="F112" i="42"/>
  <c r="F111" i="42"/>
  <c r="F110" i="42"/>
  <c r="F109" i="42"/>
  <c r="F108" i="42"/>
  <c r="F107" i="42"/>
  <c r="F106" i="42"/>
  <c r="F105" i="42"/>
  <c r="F104" i="42"/>
  <c r="F103" i="42"/>
  <c r="F102" i="42"/>
  <c r="F101" i="42"/>
  <c r="F100" i="42"/>
  <c r="F99" i="42"/>
  <c r="F98" i="42"/>
  <c r="F96" i="42"/>
  <c r="F95" i="42"/>
  <c r="F94" i="42"/>
  <c r="F93" i="42"/>
  <c r="F92" i="42"/>
  <c r="F91" i="42"/>
  <c r="F90" i="42"/>
  <c r="F89" i="42"/>
  <c r="F88" i="42"/>
  <c r="F87" i="42"/>
  <c r="F86" i="42"/>
  <c r="F85" i="42"/>
  <c r="F84" i="42"/>
  <c r="F83" i="42"/>
  <c r="F82" i="42"/>
  <c r="F330" i="42"/>
  <c r="F317" i="42"/>
  <c r="F316" i="42"/>
  <c r="F311" i="42"/>
  <c r="F310" i="42"/>
  <c r="F309" i="42"/>
  <c r="F308" i="42"/>
  <c r="F307" i="42"/>
  <c r="F291" i="42"/>
  <c r="F290" i="42"/>
  <c r="F253" i="42"/>
  <c r="F252" i="42"/>
  <c r="F251" i="42"/>
  <c r="F74" i="42"/>
  <c r="F73" i="42"/>
  <c r="F72" i="42"/>
  <c r="F55" i="42"/>
  <c r="F54" i="42"/>
  <c r="F52" i="42"/>
  <c r="F51" i="42"/>
  <c r="F50" i="42"/>
  <c r="F49" i="42"/>
  <c r="F48" i="42"/>
  <c r="F47" i="42"/>
  <c r="F46" i="42"/>
  <c r="F68" i="8"/>
  <c r="F67" i="8"/>
  <c r="F8" i="26"/>
  <c r="F38" i="16"/>
  <c r="F36" i="16"/>
  <c r="F39" i="4"/>
  <c r="F69" i="42" l="1"/>
  <c r="F356" i="42"/>
  <c r="F75" i="42"/>
  <c r="F133" i="42"/>
  <c r="F175" i="42"/>
  <c r="F181" i="42"/>
  <c r="F254" i="42"/>
  <c r="F126" i="42"/>
  <c r="F246" i="42" s="1"/>
  <c r="F56" i="42"/>
  <c r="F388" i="42" l="1"/>
  <c r="F77" i="42"/>
  <c r="F387" i="42" s="1"/>
  <c r="F358" i="42"/>
  <c r="F389" i="42" s="1"/>
  <c r="F392" i="42" l="1"/>
  <c r="F5" i="35" s="1"/>
  <c r="F20" i="13"/>
  <c r="F22" i="10" l="1"/>
  <c r="F63" i="8"/>
  <c r="F60" i="8"/>
  <c r="F9" i="40"/>
  <c r="F49" i="41"/>
  <c r="F48" i="41"/>
  <c r="F47" i="41"/>
  <c r="F44" i="41"/>
  <c r="F43" i="41"/>
  <c r="F42" i="41"/>
  <c r="F39" i="41"/>
  <c r="F36" i="41"/>
  <c r="F35" i="41"/>
  <c r="F34" i="41"/>
  <c r="F33" i="41"/>
  <c r="F32" i="41"/>
  <c r="F31" i="41"/>
  <c r="F30" i="41"/>
  <c r="F21" i="41"/>
  <c r="F17" i="41"/>
  <c r="F13" i="41"/>
  <c r="C45" i="22"/>
  <c r="B63" i="41"/>
  <c r="F9" i="41"/>
  <c r="F80" i="40"/>
  <c r="F63" i="41" l="1"/>
  <c r="E45" i="22" s="1"/>
  <c r="F28" i="13" l="1"/>
  <c r="F8" i="12" l="1"/>
  <c r="F18" i="26"/>
  <c r="F15" i="26"/>
  <c r="F13" i="26"/>
  <c r="F28" i="18"/>
  <c r="F37" i="16"/>
  <c r="F14" i="10"/>
  <c r="F18" i="9"/>
  <c r="F98" i="40"/>
  <c r="F97" i="40"/>
  <c r="F91" i="40"/>
  <c r="F90" i="40"/>
  <c r="F86" i="40"/>
  <c r="F85" i="40"/>
  <c r="F84" i="40"/>
  <c r="C11" i="22" l="1"/>
  <c r="C13" i="22"/>
  <c r="F74" i="40"/>
  <c r="F49" i="40"/>
  <c r="F32" i="40"/>
  <c r="F28" i="40"/>
  <c r="F21" i="40"/>
  <c r="F20" i="40"/>
  <c r="F8" i="40"/>
  <c r="F7" i="40"/>
  <c r="F6" i="40"/>
  <c r="F34" i="6"/>
  <c r="F29" i="6"/>
  <c r="F28" i="6"/>
  <c r="F22" i="6"/>
  <c r="F100" i="40" l="1"/>
  <c r="E13" i="22" s="1"/>
  <c r="F37" i="9" l="1"/>
  <c r="F32" i="9" l="1"/>
  <c r="F28" i="9"/>
  <c r="F56" i="8"/>
  <c r="F16" i="20"/>
  <c r="F17" i="26"/>
  <c r="F14" i="26"/>
  <c r="C19" i="22"/>
  <c r="C37" i="22"/>
  <c r="B20" i="26"/>
  <c r="F12" i="26"/>
  <c r="F7" i="26"/>
  <c r="F40" i="18"/>
  <c r="F41" i="18"/>
  <c r="F35" i="16"/>
  <c r="C9" i="22"/>
  <c r="C43" i="22"/>
  <c r="F10" i="21"/>
  <c r="F14" i="21"/>
  <c r="B17" i="21"/>
  <c r="C47" i="22" s="1"/>
  <c r="F6" i="23"/>
  <c r="F9" i="23" s="1"/>
  <c r="E43" i="22" s="1"/>
  <c r="B9" i="23"/>
  <c r="F11" i="20"/>
  <c r="F15" i="20"/>
  <c r="B18" i="20"/>
  <c r="C41" i="22" s="1"/>
  <c r="F8" i="18"/>
  <c r="F22" i="18"/>
  <c r="F23" i="18"/>
  <c r="F39" i="18"/>
  <c r="B45" i="18"/>
  <c r="C35" i="22" s="1"/>
  <c r="F8" i="17"/>
  <c r="F12" i="17"/>
  <c r="B15" i="17"/>
  <c r="C33" i="22" s="1"/>
  <c r="F18" i="16"/>
  <c r="F31" i="16"/>
  <c r="B40" i="16"/>
  <c r="C31" i="22" s="1"/>
  <c r="F14" i="15"/>
  <c r="B17" i="15"/>
  <c r="C29" i="22" s="1"/>
  <c r="F11" i="13"/>
  <c r="F16" i="13"/>
  <c r="B30" i="13"/>
  <c r="C25" i="22" s="1"/>
  <c r="F7" i="12"/>
  <c r="F14" i="12"/>
  <c r="F19" i="12"/>
  <c r="B21" i="12"/>
  <c r="C23" i="22" s="1"/>
  <c r="F10" i="11"/>
  <c r="F12" i="11"/>
  <c r="F13" i="11"/>
  <c r="B15" i="11"/>
  <c r="C21" i="22" s="1"/>
  <c r="F6" i="10"/>
  <c r="F12" i="10"/>
  <c r="F13" i="10"/>
  <c r="F21" i="10"/>
  <c r="F26" i="10"/>
  <c r="F30" i="10"/>
  <c r="F34" i="10"/>
  <c r="B36" i="10"/>
  <c r="F17" i="9"/>
  <c r="F24" i="9"/>
  <c r="B39" i="9"/>
  <c r="C17" i="22" s="1"/>
  <c r="F6" i="8"/>
  <c r="F11" i="8"/>
  <c r="F12" i="8"/>
  <c r="F24" i="8"/>
  <c r="F25" i="8"/>
  <c r="F26" i="8"/>
  <c r="F36" i="8"/>
  <c r="F37" i="8"/>
  <c r="F42" i="8"/>
  <c r="F43" i="8"/>
  <c r="F52" i="8"/>
  <c r="F72" i="8"/>
  <c r="B74" i="8"/>
  <c r="C15" i="22" s="1"/>
  <c r="F20" i="6"/>
  <c r="F21" i="6"/>
  <c r="F33" i="6"/>
  <c r="F38" i="6"/>
  <c r="F46" i="6"/>
  <c r="F50" i="6"/>
  <c r="F35" i="4"/>
  <c r="F41" i="4" s="1"/>
  <c r="F52" i="6" l="1"/>
  <c r="E11" i="22" s="1"/>
  <c r="F17" i="21"/>
  <c r="E47" i="22" s="1"/>
  <c r="F39" i="9"/>
  <c r="E17" i="22" s="1"/>
  <c r="E9" i="22"/>
  <c r="F18" i="20"/>
  <c r="E41" i="22" s="1"/>
  <c r="F20" i="26"/>
  <c r="E37" i="22" s="1"/>
  <c r="F15" i="17"/>
  <c r="E33" i="22" s="1"/>
  <c r="F21" i="12"/>
  <c r="E23" i="22" s="1"/>
  <c r="F15" i="11"/>
  <c r="E21" i="22" s="1"/>
  <c r="F36" i="10"/>
  <c r="E19" i="22" s="1"/>
  <c r="F40" i="16"/>
  <c r="E31" i="22" s="1"/>
  <c r="F17" i="15"/>
  <c r="E29" i="22" s="1"/>
  <c r="F45" i="18"/>
  <c r="E35" i="22" s="1"/>
  <c r="F30" i="13"/>
  <c r="E25" i="22" s="1"/>
  <c r="F74" i="8"/>
  <c r="E15" i="22" s="1"/>
  <c r="E50" i="22" l="1"/>
  <c r="F4" i="35" s="1"/>
  <c r="F15" i="35" l="1"/>
  <c r="F16" i="35" s="1"/>
  <c r="F17" i="35" s="1"/>
</calcChain>
</file>

<file path=xl/sharedStrings.xml><?xml version="1.0" encoding="utf-8"?>
<sst xmlns="http://schemas.openxmlformats.org/spreadsheetml/2006/main" count="4583" uniqueCount="2473">
  <si>
    <t xml:space="preserve"> </t>
  </si>
  <si>
    <t>I</t>
  </si>
  <si>
    <t xml:space="preserve"> PRIPREMNI  RADOVI I UREĐENJE GRADILIŠTA</t>
  </si>
  <si>
    <t>OPĆI NAPUTCI</t>
  </si>
  <si>
    <t>Radove treba izvesti točno prema opisu troškovnika, a u stavkama gdje nije objašnjen način rada i posebne osobine finalnog produkta, izvođač je dužan pridržavati se uobičajenog načina rada, uvažavajući odredbe važećih standarda, uz obvezu izvedbe kvalitetnog proizvoda.</t>
  </si>
  <si>
    <t>Osim toga, izvođač je obvezan pridržavati se uputa projektanta/nadzora u svim pitanjima koja se odnose na izbor i obradu materijala i način izvedbe pojedinih detalja, ukoliko to nije već detaljno opisano troškovnikom, a naročito u slučajevima kada se zahtjeva izvedba van propisanih standarda.
Sav materijal za izgradnju mora biti kvalitetan i mora odgovarati opisu troškovnika i postojećim građevinskim propisima.
U slučaju da opis pojedine stavke nije dovoljno jasan, mjerodavna je samo uputa i tumačenje projektanta/nadzora.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t>
  </si>
  <si>
    <t xml:space="preserve">  </t>
  </si>
  <si>
    <t>POSEBNI NAPUTCI ZA UREĐENJE GRADILIŠTA</t>
  </si>
  <si>
    <t>1.</t>
  </si>
  <si>
    <t>Prethodne odredbe i odobrenje gradnje</t>
  </si>
  <si>
    <t>Investitor stavlja, sukladno projektnoj dokumentaciji i pravomoćnoj građevnoj dozvoli, glavnom izvođaču radova bez naknade privremeno na raspolaganje teren za uređenje gradilišta u potrebnom obimu ili shodno lokalnim uvjetima.</t>
  </si>
  <si>
    <t>2.</t>
  </si>
  <si>
    <t>3.</t>
  </si>
  <si>
    <t>Odstranjivanje otpada</t>
  </si>
  <si>
    <t>Vlastiti preostali materijal i materijal od rušenja treba izvođač besplatno ukloniti. Moraju se poštivati odnosni propisi o zbrinjavanju posebnog otpada. Ukopavanje ili spaljivanje na gradilištu je zabranjeno. Zbrinjavanje otpada, mase od rušenja ili građevinskog otpada obuhvaća ponovno iskorištavanje sukladno propisima odnosno potrebnim mjerama skupljanja, transporta, obrade i skladištenja prema propisima i nalozima organa.</t>
  </si>
  <si>
    <t>Investitor može zahtijevati dokaz o urednom zbrinjavanju otpada.</t>
  </si>
  <si>
    <t>4.</t>
  </si>
  <si>
    <t>Spoj s drugim cjelinama</t>
  </si>
  <si>
    <t>5.</t>
  </si>
  <si>
    <t>Opći podaci o izvedbi</t>
  </si>
  <si>
    <t>Na zahtjev treba prije uređenja gradilišta napraviti plan uređenja gradilišta i predočiti Investitoru na odobrenje. Pri tom treba uzeti u obzir da se ne sprečavaju eventualni radovi izmjere, posebice iskolčavanja i provjere granica ulica, puteva i građevine. U nacrtu uređenja treba uzeti u obzir i skladištenje zemljane mase. Površine, skladišne površine, slobodne površine i slično, koje će se koristiti za uređenje gradilišta, trebaju se umetnuti u nacrt uređenja gradilišta s podatkom svrhe korištenja. Uređenje gradilišta na tratini ili humusu nije dopušteno. Prije uređenja gradilišta treba izvođač utvrditi stanje učvršćenja pločnika i kolnika, koji graniče s građevinskom parcelom kao i susjedne površine gradilišta, u prisustvu vlasnika. O tome treba voditi zapisnik i obje ga strane moraju potvrditi. Uređenje gradilišta treba izvršiti tako da se vodovi napajanja i odvođenja za građevinske mjere mogu položiti pravodobno i bez smetnji.</t>
  </si>
  <si>
    <t>Postojeći graničnici (kamenje) i oznake izmjera moraju se osigurati s početkom radova u sklopu uređenja gradilišta do pospremanja uređenja gradilišta. Prije početka radova mora se izvođač informirati o prolazu vodova, kablove itd. (nadzemno i podzemno). Potrebna premještanja mora izvođač pravodobno zatražiti. U slučaju dvojbe dat će izvođač nalogodavcu uputu, po potrebi će se provesti utvrđivanje.</t>
  </si>
  <si>
    <t>Kod micanja uređenja gradilišta treba paziti:
- Investitora treba informirati o namjeravanom micanju uređenja gradilišta ili bitnih dijelova istog
- Dijelove, koji više nisu potrebni, treba brzo maknuti
- Nakon skidanja uređenja gradilišta treba teren, koji je za isto bio korišten odnosno korištene građevinske uređaje i građevine vratiti u prvobitno stanje, ako nije drugačije utanačeno.</t>
  </si>
  <si>
    <t>6.</t>
  </si>
  <si>
    <t>Posebni zahtjevi za korištenje</t>
  </si>
  <si>
    <t>Izvođač mora postavit zahtjeve kod nadležnih organa za uređenje i uklanjanje postrojenja bez Sudjelovanja nalogodavca. Struja, koju uzimaju druge tvrtke, Zaračunat će se njima direktno.</t>
  </si>
  <si>
    <t>UREĐENJE GRADILIŠTA, KOMPLETNA POZICIJA</t>
  </si>
  <si>
    <t>Uređenje gradilišta Glavna pozicija</t>
  </si>
  <si>
    <t>Urediti, održavati za dogovoren rok trajanja radova kao i uređivati gradilište i ponovno uspostavljanje terena u prijašnje stanje uključujući uklanjanje  nečistoće, sa sljedećim radovima, koji moraju biti uračunati u paušalnu cijenu:
- mjesto za skladištenje i rad
- uređaj za signalizaciju prometa uključujući rad na osiguranju prometa
- rasvjeta gradilišta
- građevinska struja, građevinska voda, građevinska otpadna voda uklj. razvod i priključni vod
- komunikacijski uređaj
- dnevni boravak i stanovanje uklj. sanitarni uređaj (prostor), 
- skladišni prostor, radionica, spremište, natkriveni prostor
- ograda gradnje, zaštitni zid, zaštitni krov
- strojevi, uređaji
Za cijelo vrijeme gradnje prema vremenskom planu projekta.
Cijena uključuje ishođenje dozvole za zauzimanje javne površine uz objekat u površini prema rješenju nadležnog tijela vlasti.
Gradilište mora biti uređeno sukladno odredbama Zakona o zaštiti na radu sukladno elaboratu uređenja gradilišta.</t>
  </si>
  <si>
    <t>Glavna pozicija</t>
  </si>
  <si>
    <t>kompl</t>
  </si>
  <si>
    <t>kom</t>
  </si>
  <si>
    <t>7.</t>
  </si>
  <si>
    <t>m1</t>
  </si>
  <si>
    <t>8.</t>
  </si>
  <si>
    <t>9.</t>
  </si>
  <si>
    <t>m2</t>
  </si>
  <si>
    <t xml:space="preserve">UREĐENJE RADILIŠTA I PRIPREMNI RADOVI </t>
  </si>
  <si>
    <t>UKUPNO</t>
  </si>
  <si>
    <t>II</t>
  </si>
  <si>
    <t>m3</t>
  </si>
  <si>
    <t>zidovi</t>
  </si>
  <si>
    <t>III</t>
  </si>
  <si>
    <t>ZEMLJANI RADOVI</t>
  </si>
  <si>
    <t>POSEBNI NAPUTCI ZA ZEMLJANE RADOVE</t>
  </si>
  <si>
    <t>S cijenama nije pokriveno:
- radovi držanja vode, ukoliko se ne radi o uklanjanju padalina
- vrijeme zastoja pri prekidu zbog pronalaženja zaostalih streljiva i povijesno značajnih iskapanja</t>
  </si>
  <si>
    <t>Obračun po m3 u zbijenom stanju</t>
  </si>
  <si>
    <t>Obračun po m3</t>
  </si>
  <si>
    <t>Odvoz iskopanog materijala</t>
  </si>
  <si>
    <t xml:space="preserve">ZEMLJANI RADOVI </t>
  </si>
  <si>
    <t>V</t>
  </si>
  <si>
    <t>BETONSKI I ARMIRANOBETONSKI RADOVI</t>
  </si>
  <si>
    <t xml:space="preserve">beton  C25/30           </t>
  </si>
  <si>
    <t>kg</t>
  </si>
  <si>
    <t>U oplati izvesti prodore za rešetke za ozračivanje - detalji u strojarskom projektu.</t>
  </si>
  <si>
    <t>Podložni beton</t>
  </si>
  <si>
    <t>Dobava materijala, transport i betoniranje podložne betonske podloge C12/15 debljine 10 cm ispod   temeljnih ploča i drugih elemenata  na mjestu denivelacije i drugih lokacija u i oko objekta. U cijenu je uključena dobava i ugradba betona, njega betona, sve prema pravilima struke.</t>
  </si>
  <si>
    <t>Obračun po m3 ugrađenog betona</t>
  </si>
  <si>
    <t>VI</t>
  </si>
  <si>
    <t>ZIDARSKI RADOVI</t>
  </si>
  <si>
    <t>Cementni estrih s plivajućim podom</t>
  </si>
  <si>
    <t>Dobava i ugradba aluminijskih pragova</t>
  </si>
  <si>
    <t>Dobava i ugradba aluminijskih pragova od kutnog profila L 30 x 30 mm na mjestima gdje je razlika u podu po visini ili vrsti materijala. U jediničnoj cijeni učvršćenje aluminijskog kutnog profila za drveni ili aluminijski dovratnik. Obračun po komadu ugrađenog praga i po m1ugrađenog profila na razdjeljivanim površinama.</t>
  </si>
  <si>
    <t>prag dužine do 1 m</t>
  </si>
  <si>
    <t>VII</t>
  </si>
  <si>
    <t>IZOLATERSKI RADOVI</t>
  </si>
  <si>
    <t>m²</t>
  </si>
  <si>
    <t>Za sve ostalo prema uputama proizvođača</t>
  </si>
  <si>
    <t>Obračun po m2 izvedene hidroizolacije</t>
  </si>
  <si>
    <t>Obračun po m2 izvedene toplinske izolacije</t>
  </si>
  <si>
    <t>VIII</t>
  </si>
  <si>
    <t>Ravni krov</t>
  </si>
  <si>
    <t>IX</t>
  </si>
  <si>
    <t>FASADERSKI RADOVI</t>
  </si>
  <si>
    <t>Donji dio fasade - sokl</t>
  </si>
  <si>
    <t xml:space="preserve">Obračun po m2.postavljene i pripremljene podloge. </t>
  </si>
  <si>
    <t>Fasadna skela</t>
  </si>
  <si>
    <t xml:space="preserve"> Dobava, izrada i postava lake fasadne skele od cijevnih profila i  mosnica, zajedno sa svim potrebnim ukrućenjima vezanim  za objekt, potrebnom ogradom, prilazima i radnim podovima. U  jediničnu cijenu ulazi  montaža  i demontaža sa sortiranjem  i transportom. Obračun  po m2 izvedene skele. (vertikalna projekcija)</t>
  </si>
  <si>
    <t>fasadna skela</t>
  </si>
  <si>
    <t>X</t>
  </si>
  <si>
    <t>BRAVARSKI RADOVI</t>
  </si>
  <si>
    <t>U cijeni kompletan spojni i pričvrsni pribor uključivo zaobljenja u unutarnjim i vanjskim kutevima - koljena , prelazi i sl. Ostali detalji prema izvedbenoj dokumentaciji i uputama glavnog projektanta.</t>
  </si>
  <si>
    <t>NAPOMENA: Shema prema izvedbenom projektu.</t>
  </si>
  <si>
    <t>UKUPNO:</t>
  </si>
  <si>
    <t>XI</t>
  </si>
  <si>
    <t xml:space="preserve">Opći opis vrijedi za sve stavke  </t>
  </si>
  <si>
    <t xml:space="preserve">Opšave i izolacijske radove (npr. RAL ugradnja) na priključcima stavki na nosivu konstrukciju uključiti u ponudu.
Izradu, obradu, proračun debljine i ugradnju stakla izvršiti u skladu s Tehničkim propisom za staklene konstrukcije (NN 053/2017). </t>
  </si>
  <si>
    <t>Prozori i fixne stijene</t>
  </si>
  <si>
    <t>Ulazna vrata</t>
  </si>
  <si>
    <t>Vrata su opremljena pantima, bravom, cilindrom, kvakom, hidrauličnim prigušivačem s gornje strane, osim ako u stavkama nije posebno navedeno.</t>
  </si>
  <si>
    <t>Površinska zaštita</t>
  </si>
  <si>
    <t>Ugradnja</t>
  </si>
  <si>
    <t xml:space="preserve">U cijeni stavke uključiti komplet sav potreban rad i materijal prema opisu u troškovniku, kao i sve dodatne radove i materijale potrebne da se izradi kompletna fasada kao oblikovna i funkcionalna cjelina. Svi spojni limovi, opšavi, tolinske izolacije, hidroizolacije i parne brane koje se prema pravilima struke ugrađuju, sastavni su dio ove stavke. </t>
  </si>
  <si>
    <t xml:space="preserve">Ostakljenje </t>
  </si>
  <si>
    <t>Kod svih vrata jediničnom cijenom obuhvatiti i gumeni podni odbojnik za zaustavljanje vrata. Ovi tehnički uvjeti nadopunjavaju se opisom pojedinih stavki troškovnika i programom kontrole i osiguranja kvalitete. Izvoditelj radova mora atestom dokazati da profili i staklo zadovoljavaju tražene uvjete, pogotovo u pogledu topinske provodljivosti.</t>
  </si>
  <si>
    <t>Sve izraditi prema shemama bravarije. Obračun po komadu izrađene i ugrađene  bravarije, komplet sa svim priborom, okovima, bravama, staklom, brtvama, spojnim elementima i ostalim potrebnim za ugradbu  bravarije do potpune funkcionalnosti.</t>
  </si>
  <si>
    <t xml:space="preserve">Sva vrata i prozori  moraju biti kvalitetno izrađeni i ugrađeni, tako da imaju zadovoljavajuća svojstva sa stajališta zrakopropusnosti, vodonepropusnosti, zvučne izolacije i toplinske prohodnosti. </t>
  </si>
  <si>
    <t>XII</t>
  </si>
  <si>
    <t>POŽARNA BRAVARIJA</t>
  </si>
  <si>
    <t>Okov vrata, sistemski okov, panti, brava, kvaka obostrano. Jedino ako pojedinom stavkom nije drugačije definirano.</t>
  </si>
  <si>
    <t xml:space="preserve">U cijeni stavke uključiti komplet sav potreban rad i materijal prema opisu u troškovniku, kao i sve dodatne radove i materijale potrebne da se izradi kompletna stavka kao oblikovna i funkcionalna cjelina. Svi spojni limovi, opšavi, i potrebite izolacije, koje se prema pravilima struke ugrađuju, sastavni su dio ove stavke. </t>
  </si>
  <si>
    <t>XIII</t>
  </si>
  <si>
    <t>STOLARSKI RADOVI</t>
  </si>
  <si>
    <t>Sve mjere kontrolirati u naravi!</t>
  </si>
  <si>
    <t>Izvođač je dužan napraviti radioničku razradu svih rješenja iz ovog projekta i dati ih na odobrenje glavnom projektantu.  Svi radovi sadrže dobavu potrebnog materijala, izradu i montažu do potpune gotovosti.</t>
  </si>
  <si>
    <t>S1</t>
  </si>
  <si>
    <t>S3</t>
  </si>
  <si>
    <t>XIV</t>
  </si>
  <si>
    <t>LIMARSKI RADOVI</t>
  </si>
  <si>
    <t xml:space="preserve">Opšavi razni </t>
  </si>
  <si>
    <t xml:space="preserve">Obračun po m1  </t>
  </si>
  <si>
    <t>Opšavi razni - obračun po m2 postavljene limene obloge</t>
  </si>
  <si>
    <t xml:space="preserve">Obračun po m2- potporni zid, odušak ventilacije,...  </t>
  </si>
  <si>
    <t>XV</t>
  </si>
  <si>
    <t>GIPSKARTONSKI RADOVI</t>
  </si>
  <si>
    <t>U cijeni stavke ugradnja tipskih revizionih otvora.</t>
  </si>
  <si>
    <t xml:space="preserve"> Obloge  su nenosive, a izvode se od jednostruke metalne potkonstrukcije iz CW 75 mm i UW 75 mm profila, koja je jednostrano dvostruko obložene GK običnim pločama debljine 2 x 1.25 cm s ispunom kamene vune 40 kg/m3 debljine 8cm. U cijeni stavke je uračunata izvedba svih spojeva ploča međusobno, kao i na svim sudarima sa zidovima i stropovima.</t>
  </si>
  <si>
    <t>Na katu u parapetu na galeriji se horizontalna površina izvodi od cementnih ploča 2x1,25 na istom profilu kao što je gore opisano.</t>
  </si>
  <si>
    <t>U sanitarijama je potrebno u nosivoj konstrukciji pregrade ugraditi tipske nosive elemnte za ovjes sanitarija (uključena u jediničnu cijenu) za pričvršćenje sanitarnih elemenata - elementi za igradnju u sklopu troškovnika instalacija vodovoda i kanalizacije.</t>
  </si>
  <si>
    <t>Stijene se izvode u punoj visini etaže do 4 m, tako da gips-kartonske ploče i zvučna izolacija idu do vrha. U cijenu treba uračunati eventualno pojačanje potkonstrukcije zbog visine</t>
  </si>
  <si>
    <t>Svi sudari i uglovni spojevi izrađuju se standardnim Al završnim profilima i zapunjavaju akrilnim kitom čitavom duljinom istih, svi spojevi bandažirani, kitani i brušeni.</t>
  </si>
  <si>
    <t>U cijeni stavke je uračunata izvedba svih spojeva ploča međusobno, kao i na svim sudarima sa zidovima i stropovima.</t>
  </si>
  <si>
    <t xml:space="preserve">U cijenu stavke je uključen sav rad, transport, materijal, sitna spojna sredstva i potrebna radna skela.  </t>
  </si>
  <si>
    <t>Rad izvesti u svemu prema uputama proizvođača.</t>
  </si>
  <si>
    <t>Površinska obrada - spremno za soboslikarske radove</t>
  </si>
  <si>
    <t>Obračun po m2 gotove obloge</t>
  </si>
  <si>
    <t>Stijene se izvode u punoj visini etaže, tako da gips-kartonske ploče i zvučna izolacija idu do vrha. U cijenu treba uračunati eventualno pojačanje potkonstrukcije zbog visine.</t>
  </si>
  <si>
    <t>Stavka uključuje nosivu potkonstrukciju u kompletnoj visini prostora .</t>
  </si>
  <si>
    <t xml:space="preserve">U cijenu stavke je uključen sav rad, transport, materijal, sitna spojna sredstva i potrebna radna skela. </t>
  </si>
  <si>
    <t>Obračun po m2 gotovog zida</t>
  </si>
  <si>
    <t>XVI</t>
  </si>
  <si>
    <t>PODOPOLAGAČKI RADOVI</t>
  </si>
  <si>
    <t>Zidne obloge - unutarnje oblaganje WC-a i kupaone</t>
  </si>
  <si>
    <t>Podne obloge</t>
  </si>
  <si>
    <t>XVII</t>
  </si>
  <si>
    <t>SOBOSLIKARSKI I LIČILAČKI RADOVI</t>
  </si>
  <si>
    <t>Obračun po m² stvarno obojene površine.</t>
  </si>
  <si>
    <t>a) popravak neravnina</t>
  </si>
  <si>
    <t xml:space="preserve">b) gletanje </t>
  </si>
  <si>
    <t>c) bojanje</t>
  </si>
  <si>
    <t>Bojenje zidova i stropova od gipskartonskih ploča</t>
  </si>
  <si>
    <t>Red. br.</t>
  </si>
  <si>
    <t>Količina</t>
  </si>
  <si>
    <t>REKAPITULACIJA</t>
  </si>
  <si>
    <t>Dobava i postava vatrogasnih aparata. Postavljaju se prema uputama u elaboratu zaštite od požara.</t>
  </si>
  <si>
    <t>XIX</t>
  </si>
  <si>
    <t>DOKUMENTACIJA</t>
  </si>
  <si>
    <t>Izrada snimka izvedenog stanja</t>
  </si>
  <si>
    <t>obračun za sve projekte kompletno</t>
  </si>
  <si>
    <t>Izrada energetskog certifikata</t>
  </si>
  <si>
    <t>Izrada energetskog certifikata prema važećim propisima u vrijeme završetka radova na građevini.</t>
  </si>
  <si>
    <t xml:space="preserve">REKAPITULACIJA A. GRAĐEVINSKI RADOVI </t>
  </si>
  <si>
    <t>UKUPNO A. GRAĐEVINSKI RADOVI:</t>
  </si>
  <si>
    <t xml:space="preserve">Preklapanje svih izolacionih folija (najmanje 100 mm) izvesti na objektu uz mehaničko učvršćenje i potrebnu toplinsku izolaciju. </t>
  </si>
  <si>
    <t>Dobava materijala i izvedba raznih  opšava iz  pocinčanog lima debljine 0,55 mm.  Cijene uključuje opšavni lim različite razvijene širine,  sav spojni i pričvrsni pribor  neophodan za njegovo funkcioniranje.  Savijanje i profilacija prema detaljima iz glavnog projekta.
RAL 7016</t>
  </si>
  <si>
    <t xml:space="preserve">Izrada, dobava i ugradnja OZ prozora i fiksnih stijena u visokoizolativnom prozorskom sistemu od aluminijskih profila s prekidom toplinskog mosta i povišenim izolativnim svojstvima. Ugradbena dubina doprozornika iznosi 75 mm, krila 85 mm. Vidljiva širina profila doprozornika s vanjske strane iznosi 69 mm, s unutarnje strane 44 mm. Povišena toplinska izolativnost sistema se postiže na slijedeći način :
- u profilu, između izolatora su ugrađeni umeci od PE pjene s 
  dobrim izolativnim  svojstvima  (λ=0.031 W/mK), koji prekidaju 
  toplinske tokove 
- PVC profili za prekid toplinskog mosta profila štoka (izolatori) su trokomorni.  
- vanjska i unutarnja brtva stakla specijalno su konstruirane tako da prekidaju toplinske tokove uokolo ruba stakla - imaju produžetke. Konture i površina profila su ravne, bez zaobljenja i skošenja površina. </t>
  </si>
  <si>
    <t xml:space="preserve">Tehničke osobine 
Nazivna vrijednost toplinske provodljivosti (λD )  0,034  -  0,038  W(m·K)  HRN EN 13164  ili jednakovrijedno ___________________________
Tlačno opterećenje kod 10 % deformacije 0,30 CS(10\Y)300  N/mm 2  HRN EN 826  ili jednakovrijedno ________________________
Dugotrajno upijanje vlage (cijele ploče)  ≤ 0,7 WL(T)0,7  %  HRN EN 12087  ili jednakovrijedno  ______________________________
Difuzijsko upijanje vlage (cijele ploče)  WD(V)3   HRN EN 12088  ili jednakovrijedno ___________________________
Otpornost protiv naizmjeničnog smrzavanja– odmrzavanja (maksimalno upijanje vlage) 
 ≤ 1,0 FT2  %  HRN EN 12087  ili jednakovrijedno ___________________________
Dimenzijska promjena pri 90 % relativnoj vlažnosti zraka i 70 °C  ≤ 5 DS(TH)  %  HRN EN 1604  ili jednakovrijedno ____________________________
Dimenzijska promjena pri opterećenju 0,04 N/mm 2 i 70 °C  ≤ 5 DLT(2)5  %  HRN EN 1605  ili jednakovrijedno ___________________________
Požarna otpornost po EN (euro klasifikacija)  E   HRN EN 13501-1  ili jednakovrijedno  ______________________________
Difuzijska otpornost vodenoj pari (μ) 80-250   HRN EN 12086  ili jednakovrijedno ___________________________
Kapilarnost  0    
Granične temperature upotrebe  -50 do + 70 °C  °C </t>
  </si>
  <si>
    <t>Fasadni ETICS sustav</t>
  </si>
  <si>
    <t xml:space="preserve">Dobava materijala i izvođenje topl. izol. fasadnog sustava sa termoizolacijskim pločama od  ploča KAMENE VUNE  specifične mase 100-110 kg/m3, λ=0,035  proizvedenog za fasadne sustave, sa  tankoslojnom silikonskom završnom, fasadnom žbukom granulacije do  3 mm, koja se nanosi na toplinsku izolaciju. Na zidove se izvodi    ljepljenjem spec.ljepilom na zidove. Termoizolacijske ploče se dodatno sidre sa 8-9 komada sidra po m2. Sidra moraju biti otporna na koroziju. Bušenje rupa i sidrenje izvoditi nakon ljepljenja ploča. 
Na učvršćene izol. ploče se nanosi prvi zaštitni sloj spec. mortom-ljepilom debljine 2-3 mm, po čitavoj površini. U takav svježi sloj morta se utiskuje staklena mrežica. 
Drugi zaštitni sloj spec. morta-ljepila se nanosi nakon 24 sata, također u debljini 2-3 mm uz završno zaglađivanje. Stavka uključuje i obradu svih uglova,   špaleta  i  sokla   limenim i plast. kutnim   profilima   kao  zaštite   od mehaničkog  oštećenja.
- nakon min. 5-7 dana sušenja, premazivanje impregnacijskim premazom i nanošenje završnog sloja , minimalne debljine zrna od 1,5 mm ( max do 3 mm ).  
</t>
  </si>
  <si>
    <t xml:space="preserve">Tehničke osobine 
Nazivna vrijednost toplinske provodljivosti (λD )  0,034  -  0,038  W(m·K)  HRN EN 13164  ili jednakovrijedan proizvod ___________________________
Tlačno opterećenje kod 10 % deformacije 0,30 CS(10\Y)300  N/mm 2  HRN EN 826  ili jednakovrijedan proizvod _________________________
Dugotrajno upijanje vlage (cijele ploče)  ≤ 0,7 WL(T)0,7  %  HRN EN 12087  ili jednakovrijedan proizvod ______________________________
Difuzijsko upijanje vlage (cijele ploče)  WD(V)3   HRN EN 12088  ili jednakovrijedan proizvod _____________________________
Otpornost protiv naizmjeničnog smrzavanja– odmrzavanja (maksimalno upijanje vlage) 
 ≤ 1,0 FT2  %  HRN EN 12087  ili jednakovrijedan proizvod ____________________
Dimenzijska promjena pri 90 % relativnoj vlažnosti zraka i 70 °C  ≤ 5 DS(TH)  %  HRN EN 1604  ili jednakovrijedan proizvod ________________________
Dimenzijska promjena pri opterećenju 0,04 N/mm 2 i 70 °C  ≤ 5 DLT(2)5  %  HRN EN 1605  ili jednakovrijedan proizvod _______________________________
Požarna otpornost po EN (euro klasifikacija)  E   HRN EN 13501-1  ili jednakovrijedan proizvod ____________________________-
Difuzijska otpornost vodenoj pari (μ) 80-250   HRN EN 12086  ili jednakovrijedan proizvod _____________________________
Kapilarnost  0    
Granične temperature upotrebe  -50 do + 70 °C  °C </t>
  </si>
  <si>
    <t>Obračun po kom ugrađene i isporučene pozicije.</t>
  </si>
  <si>
    <t xml:space="preserve">Aluminijski profili su plastificirani u skladu s tehničkim smjernicama Qualicoat ili jednakovrijedno _________________. Boja je iz RAL palete, RAL 7016. Izvoditelj radova obavezan je prije početka plastifikacije aluminijskih profila podnijeti projektantima na uvid i odobrenje uzorke aluminijskih profila plastificirane prema njihovom izboru. </t>
  </si>
  <si>
    <t>Kod zemljanih radova i zatrpavanja izvođač je dužan u skladu s pravilima struke  ugraditi prikladan odnosno odgovarajući materijal - zemlju ili kamen, ovisno o specifičnim okolnostima terena.  Ako postoje opravdane sumnje u sposobnost sabijanja, izvođač je dužan o navedenom obavijestiti Investitora ili njegovog voditelja gradnje.</t>
  </si>
  <si>
    <t>Izvođač je dužan prije zatrpavanja jarkova provjeriti da u prostoru, koji treba zatrpati, nema građevinskog otpada, smeća i sl., Ako se nakon provjere utvrdi da u prostoru postoji građevinski otpad, smeće i sl.  izvođač je dužan o navedenom  odmah izvijestiti Nalogodavca.</t>
  </si>
  <si>
    <t>Količine iskopanih materijala veće od projektiranih ili količine neodobrene od nadzornog inženjera, tj. nastale pogreškom izvođača, ne plaćaju se.</t>
  </si>
  <si>
    <t>Cijenama je pokriveno između ostalog:
- poteškoće zbog mokrog iskopanog materijala
- poteškoće, koje su uvjetovane godišnjim dobom ili nepovoljnim vremenom i s kojima se normalno mora računati
- uklanjanje normalnih padalina
- mjere zaštite od normalnih padalina
- prebacivanje strojeva i uređaja na području gradilišta, ukoliko za to nije zadužen Nalogodavac
- osiguranje prometa i tekuće čišćenje korištenih javnih ulica i puteva, ukoliko su prouzročene zemljanim radovima i ukoliko se izričito ne radi o Posebnim odredbama
- zaštita od prašine pri transportima
- međuskladištenje na zahtjev Izvođača</t>
  </si>
  <si>
    <t>Već postojeće okolčavanje, graničnike, fiksne točke, oznake visina itd. za zgradu ili za vođenje cesta i puteva, mora izvođač 
osigurati prije početka radova.
Ako je potrebno, izvođač i investitor će zajednički izvršiti mjerenje postojećeg terena prije izvedbe radova  u pogledu položaja i visine i rezultat utvrditi zapisnički.
Buseni trave i iskopan gornji sloj skladištit će se prema dogovoru s Investitorom na prikladnom mjestu i na prikladnu površinu. 
Ako se pri iskapanju naiđe na svojstva tla, koja odstupaju od opisa radova, ili nastupe okolnosti, zbog kojih se propisani radovi iskapanja ne mogu provesti. izvođač je dužan o navedenom bez odgađanja obavijestiti investitora. Ovisno o konkretnim okolnostima, investitor i izvođač će se dogovoriti o načinu daljnjeg postupanja.</t>
  </si>
  <si>
    <t xml:space="preserve">Ako se na relativno nepropusnom tlu - ili na kamenim slojevima pojave podzemne ili procjedne vode, treba odmah izvijestiti nadzornog inženjera. Treba izbjegavati omekšavanje dna temelja.
</t>
  </si>
  <si>
    <t xml:space="preserve">Prije zatrpavanja ili zasipanja materijala, koji je dobiven pri kopanju na gradilištu (reciklirani materijal) odnosno  materijala, koji je nabavio Izvođač, potrebno je ishoditi odobrenje Investora za njegovo korištenje. </t>
  </si>
  <si>
    <t xml:space="preserve">Glazuru , minimalne čvrstoće na tlak od 25 N/mm2 ,rabicirati pocinčanim, punktiranim pletivom Φ 5 mm sa oknima max 10x10 cm ( ili polikarbonatnim vlaknima). </t>
  </si>
  <si>
    <t xml:space="preserve">Aluminijski i čelični profili su plastificirani u boji  RAL 7016. Izvoditelj radova obavezan je prije početka plastifikacije aluminijskih profila podnijeti projektantima na uvid i odobrenje uzorke aluminijskih profila plastificirane prema njihovom izboru. 
</t>
  </si>
  <si>
    <t xml:space="preserve">Vratne stijene izrađene su od aluminijskih ili čeličnih profila (ovisno o stavci), u klasi protupožarnosti EI30, EI 60 I EI 90, ugradbene dubine 104 mm, u odgovarajućoj klasi protupožarnosti. Protupožarni paneli se izrađuju od čeličnog lima sa ispunom. U prostor između stakla i profila ugrađena je ekspandirajuća protupožarna traka debljine 2 mm, koja u slučaju povećanja temperature nabubri i zabrtvi taj prostor.
Žlijeb za okov je multifunkcionalan i omogućava ugradnju svih vrsta automatskih, sigurnosnih i antipanik mehanizama, omogućava brzu i jednostavnu ugradnju okova i brtvenih traka te u brzu i jednostavnu ugradnju stavke u zidarski otvor. Preko žlijeba na krilu i štoku lijepi se brtvena traka prema uputi proizvođača. 
Protupožarnost prema EU normi obuhvaća zaštitu od plamena, dima i prolaza topline u roku od 30 min, i to za:
- fiksna ostakljenja,  EI30:   HRN DIN 4102-13 ili jednakovrijedno ______________________
- otvarajući elementi,  EI30:   HRN DIN 4102-5 ili jednakovrijedno___________________________
</t>
  </si>
  <si>
    <t>Potrebna dokumentacija koju će izvođač radova priložiti u cilju dokazivanja svojstava dijelova sistema i gotovih stavki određenih projektom i ovim troškovnikom (osim potrebnih karakteristika svakog sistema posebno):
-  Izjava o svojstvima, u skladu sa Zakonom o građevinskim 
   proizvodima (NN 76/13, 30/14) i klasifikacijskom normom
   HRN EN 14351-1 (prozori i vrata) ili jednakovrijedno _____________________
-  Iskaz tolerancija mjera i oblika za aluminijske prozorske profile, u 
   skladu s HRN EN 12020-2:2001 ili jednakovrijedno ______________________.
-  Dokaz o sigurnosti od ispadanja i izbijanja  stakla iz okvira 
   prozora, u skladu s EN 13049, EN 12600 i smjernicama TRAV ili jednakovrijedno _______________________
-  Proračune koeficijenta prolaza topline profila Uf i ukupnog 
   koeficijenta prolaza topline Ucw, u skladu s EN ISO 10077-2 ili jednakovrijedno ________________________
-  Statički proračuni profila i stakla prema potrebi</t>
  </si>
  <si>
    <t xml:space="preserve">Debljina prednje i stražnje stijenke profila iznosi 1.6-1.8 mm. Okov je sistemski. Okov je skriven, tj. integriran u prostor između krila i doprozornika. Tražena klasa antikorozivnosti okova je klasa, 5 prema HRN EN 1670 ili jednakovrijedno _______________________________; okov je namijenjen za modularnu i brzu ugradnju, bez dodatne prerade profila (bušenje i ostalo).          
</t>
  </si>
  <si>
    <t xml:space="preserve">Karakteristike prozorskog sistema prema HRN EN 14351 ili jednakovrijedn _______________________________:
-kvaliteta materijala           HRN EN 573  EN AW – 6060, T66  ili jednakovrijedno_______________________,  
-zrakopropusnost              HRN EN 12207  klasa 4 ili jednakovrijedno      ________________________
-vodonepropusnost            HRN EN 12208   klasa E750 ili jednakovrijedno     ___________________________ 
-proračun Uf koeficijenta    DIN EN ISO 10077-2   Uf=0.9-1.6 
 W/m2K  ili jednakovrijedno ___________________________; 
-otpornost na udar vjetra    HRN EN 12210   klasa C4/B4 ili jednakovrijedno ______________________________       </t>
  </si>
  <si>
    <t>Karakteristike okova  prema  HRN EN 14351  ili jednakovrijedno ____________________________             -otpornost na uzastopno otvaranje i zatvaranje, HRN EN 
  12400/1191   prozor-klasa 2, (10 000 ciklusa); balkonska vrata-klasa 3, (20 000   ciklusa) ili jednakovrijedno _______________________
- otpornost na koroziju, HRN DIN 1670 klasa 5 (480h u slanom  aerosolu)  ili jednakovrijedno __________________________
- protuprovalnost,        HRN ENV 1627   RC1, RC2, do RC3  ili jednakovrijedno _____________________            
- sigurnost korištenja, HRN EN 14351-1  ili jednakovrijedno ____________________________-          ispunjena
- sila rukovanja,          HRN EN 12046-1/13115 klasa 2, (30N) ili jedankovrijedno  ___________________________</t>
  </si>
  <si>
    <t xml:space="preserve">Karakteristike sistema ulaznih vrata prema HRN EN 14351  ili jedankovrijedno ___________________________
- kvaliteta materijala,         HRN EN 573  EN AW 6060, T66 ili jedankovrijedno ______________________-             
- otpornost na udar vjetra,  HRN EN 12210   klasa C5  ili jedankovrijedno _______________________     
- vodonepropusnost,          HRN EN 12208 klasa 5A   ili jedankovrijedno ________________________      
- zrakopropusnost,            HRN EN 12207  klasa 2 ili jedankovrijedno ____________________         </t>
  </si>
  <si>
    <t xml:space="preserve">PANIK OKOV na evakuacijskim vratima, puna panika, prema HRN EN 1125  ili jednakovrijedno _____________________
- funkcija "B" - s vanjske strane kvaka, s unutarnje potisna letva; 
  vrata su prohodna u oba smjera dok su otključana, zaključana su 
  prohodna samo u smjeru evakuacije. 
- funkcija "E" - s vanjske strane rukohvat, s unutarnje potisna
  letva; vrata su u smjeru evakuacije prohodna uvijek, u smjeru 
  suprotnom od evakuacije su prohodna samo pomoću ključa. 
Djelomična panika, HRN EN 179 ili jednakovrijedno _________________________, - sve isto, samo iznutra kvaka umjesto potisne letve.  </t>
  </si>
  <si>
    <t>U jediničnu cijenu ukalkulirati iskop u prirodno sraslom stanju bez obzira na kategoriju zemljišta, utovar iskopanog materijala u prevozno sredstvo te odvoz iskopanog materijala na privremenu gradilišnu deponiju ili nasip u krugu autokampa. U jediničnoj cijeni također je sadržano čišćenje pokosa od labilnih blokova i rastresitog materijala, planiranje iskopanih susjednih površina te izvođač nema pravo zahtjevati bilo kakvu naknadu za taj rad.
Stavka uključuje strojni iskop.</t>
  </si>
  <si>
    <t>Nasipavanje zemlje na neizgrađenom dijelu parcele</t>
  </si>
  <si>
    <t xml:space="preserve">Izrada razdjelnog sloja </t>
  </si>
  <si>
    <t xml:space="preserve">Dobava i ugradnja geotekstila na spoju između prirodnog tla i nasipa , mase &gt;300 g/m2,  kao sloja čistoće na planumu min preklop 20 cm.
Obračun prema tlocrtnoj površini , bez dodataka na preklop. </t>
  </si>
  <si>
    <t>oplata</t>
  </si>
  <si>
    <t xml:space="preserve">Armirano betonski zidovi </t>
  </si>
  <si>
    <t>U cijenu je uključena dobava i ugradba betona, njega betona, te dobava i postava oplate,  uključujuću skidanje i čišćenje oplate, dobava i ugradnja armature, te po m1 oplate visine 20 i 25 cm za rubove. Izvođač je dužan u potpunosti izvoditi glatke i ravne betone u skladu sa HRN  ili jednakovrijedno ___________________.</t>
  </si>
  <si>
    <t>Izvoditi radne reške rezanjem u 2/3 debljine sloja. Izvoditi ih da ni jedna dimenzije polja estriha nije veća od 10 m te ih izvoditi ispod svih vratiju. ( U slučaju uskih i dugih prosotrija postaviti radne reške svakih 10 m, tj, ravnomjerno ih rasporediti po duljoj stranici tog prostora). Izvedba radnih reški na način da je max površina plivajućeg poda unutar radnih reški 30 m2.</t>
  </si>
  <si>
    <t>Dobava i postava sloja izolacije protiv udarnog zvuka: pjenaste folije od ekspandiranog ekstrudiranog polistirena, na armirano betonsku ploču. Izolacija se postavlja u dva sloja, s izmaknutim preklopima, ukupne debljine 1+1 cm. Sve prodore vertikalnih instalacijskih cijevi kroz međukatnu konstrukciju i plivajući pod treba izolirati omatanjem zvučnoizolacijskom folijom kako bi se spriječio izravan dodir cijevi i tvrdog cementnog estriha ili betona. Zvučna izolacija polaže se s preklopima po punoj površini podne ploče (min. 10 cm), a uza zid se povija do visine postavljanja rubne trake EPS-a. U stavku uključen sav potrebni rad, osnovni i pomoćni materijal.</t>
  </si>
  <si>
    <t xml:space="preserve">Izolacija od udarnog zvuka s EPS-T </t>
  </si>
  <si>
    <t>Dobava materijala i izvedba geotekstila 300g/m2 kao razdjelni sloj između AB podne ploče i temoizolacije podova na tlu. Obračun po m2.</t>
  </si>
  <si>
    <t>Geotekstil</t>
  </si>
  <si>
    <t>KROV</t>
  </si>
  <si>
    <t>Čepasta folija</t>
  </si>
  <si>
    <t>Zaštita vertikalne hidroizolacije zidova i XPSa plastičnom zaštitnom folijom (čepasta folija) s kvržicama u rolama. Kvržice visine 7-8 mm. Stazu učvrstiti tipskim čavlićima s odgovarajućim podlošcima. Širina preklopa staze 10 cm. Po m2.</t>
  </si>
  <si>
    <t xml:space="preserve">ANTIKOROZIVNA ZAŠTITA ČELIČNIH KONSTRUKCIJA  OBUHVAĆA slj. faze:
 Priprema čelika za antikorozivnu zaštitu:
 * čiščenje 
 * odmašćivanje, otprašivanje
 * pjeskarenje do stupnja čistoće 2,5 s prethodnom zaštitom sredstvima za ispiranje i primerom ili vruće pocinčavanje. 
 * zaštita temeljnim adekvatnim premaznim sredstvima 
 - prvi sloj deblj. min 40 µ.
 - drugi sloj deblj. min 40µ.
 * zaštita kvalitetnim pokrovnim premaznim sredstvima u boji RAL 7016.
 - prvi sloj deblj. min 40 µ.
 - drugi sloj deblj. min 40 µ.
 * Kod vidljivih, izloženih ČN konstrukcija pokrovni premazi trebaju biti visokokvalitetni poliuretanski </t>
  </si>
  <si>
    <t xml:space="preserve"> U cijeni je vanjska prozorska KAMENA  klupčica. Klupčica je debljine 3 cm i širine kao prozor + 4 cm. Dubina klupčice je 18 cm. Kamen je granit tamno sive boje.</t>
  </si>
  <si>
    <t>U cijeni je unutarnja drvena klupčice završno bajcana i lakirana u bijelo - RAL 9016. Debljina klupčice je 2 cm, a dubina 20 cm. Širina klupčice je širina širina otvora + 4 cm.</t>
  </si>
  <si>
    <t>kom L</t>
  </si>
  <si>
    <t>kom D</t>
  </si>
  <si>
    <t>Pregrade sanitarija</t>
  </si>
  <si>
    <t>Dobava materijala i montaža obloge zidova po kojima su vođene instalacije iz vodootpornih gips-kartonskih</t>
  </si>
  <si>
    <t>Pregradni zidovi</t>
  </si>
  <si>
    <t>Stijene su nenosive, a izvode se od jednostruke metalne potkonstrukcije (zidovi do 12,5 cm debljine) i dvostruke potkonstrukcije (zidovi deblji od 12,5 cm) iz CW i UW 50 i 75 profila, koja je  dvostruko obložene gipskartonskim pločama debljine 2 x 1.25 cm. U stavci su obrađeni i zidovi s vlagootpornim pločama. Ispuna je kamena vuna 40 kg/m3 debljine 5 cm. U cijeni stavke je uračunata izvedba svih spojeva ploča međusobno, kao i na svim sudarima sa zidovima i stropovima.</t>
  </si>
  <si>
    <t>KERAMIČARSKI RADOVI</t>
  </si>
  <si>
    <t>Dobava materijala i oblaganje podova protukliznim keramičkim pločicama (klasa protukiznosti R11) I klase veličine 40/40 cm postavljenim na ljepilo, a polaganje ortogonalno. Pločice su imitacija betona. Izbor pločica kao i sve detalje sheme polaganja prije izvedbe radova usaglasiti s projektantom. Pod se izvodi u padu prema podnom sifonu u svim prostorijama gdje su sifoni ugrađeni. Obračun po m2 izvedenog opločenja bez obzira na veličinu prostorije. Sve ostalo kao st XVI.1.</t>
  </si>
  <si>
    <t>Otirač</t>
  </si>
  <si>
    <t>Bojenje stropova i zidova i stubišta s gletanjem</t>
  </si>
  <si>
    <t>stropovi</t>
  </si>
  <si>
    <t>S6+ / 43A</t>
  </si>
  <si>
    <t>Čelične ljestve</t>
  </si>
  <si>
    <t>Beton za pad</t>
  </si>
  <si>
    <t>Dobava materijala i izvedba DONJEG DIJELA pročelja-sokl v=cca 30 cm.  Podloga je ploča iz XPSa kao fasadna ploča debljine 14 ( 1 cm manje od fasadne ploče), λ ≤ 0,035 W/mK, tlačna čvrstoća ≤ 300 kPa. Naslanja se na donju čvrstu betonsku podlogu ( na istu podlogu se mora nasloniti i završna obloga iz kamena). Izvoditi prema uputstvima proizvođača. Završni sloj je vodoodbojna žbuka kao teraplast prebojana sa silikonskom bojom u tonu RGB 245, 231, 180</t>
  </si>
  <si>
    <t>Šljunak</t>
  </si>
  <si>
    <t>Dobava oblutaka granulacije 30-50 mm. Sloj oblutaka je predviđen na ravnom krovu u debljini od 5,0 cm. U stavku uključen sav potreban materijal i pribor. Obračun po m3 izvedene šljunčane površine.</t>
  </si>
  <si>
    <t>kpl</t>
  </si>
  <si>
    <t>m</t>
  </si>
  <si>
    <t>Jed. mj.</t>
  </si>
  <si>
    <t>Opis stavke</t>
  </si>
  <si>
    <t>Izrada tehničke dokumentacije izvedenog stanja koju potpisuju izvođač i nadzor i predaja investitoru u 3 uvezana primjerka. Uz papirnatu verziju, predaje se i jedan primjerak u elektroničkom obliku/CD (standardni formati datoteka .doc .xls i .dwg)</t>
  </si>
  <si>
    <t>3</t>
  </si>
  <si>
    <t>OPLATA</t>
  </si>
  <si>
    <t>RAD</t>
  </si>
  <si>
    <t>MATERIJAL</t>
  </si>
  <si>
    <t>Dobava i postava stalka za kišobran, metalne kontrukcije, promjera 23cm, h=50cm</t>
  </si>
  <si>
    <t>Monitor najmanje sljedećih karakteristika 24" FullHD 60 Hz</t>
  </si>
  <si>
    <t>Računalo sljedećih karakteristika; procesor 4-erojezgreni radnog takta minimalno 3.60 GHz, 16 GB DDR4 RAM, zasebna grafička kartica sa 2GB RAM, 1TB SSD M.2, DVD RW,  Windows 10 Pro operativni sustav</t>
  </si>
  <si>
    <t>1.3.1</t>
  </si>
  <si>
    <t>1.1.10</t>
  </si>
  <si>
    <t>1.2.4</t>
  </si>
  <si>
    <t>1.2.3</t>
  </si>
  <si>
    <t>1.2.2</t>
  </si>
  <si>
    <t>1.2.1</t>
  </si>
  <si>
    <t>1.1.</t>
  </si>
  <si>
    <t>1.1.9</t>
  </si>
  <si>
    <t>1.1.8</t>
  </si>
  <si>
    <t>1.1.7</t>
  </si>
  <si>
    <t>1.1.6</t>
  </si>
  <si>
    <t>1.1.5</t>
  </si>
  <si>
    <t>1.1.4</t>
  </si>
  <si>
    <t>1.1.3</t>
  </si>
  <si>
    <t>1.1.2</t>
  </si>
  <si>
    <t>1.1.1</t>
  </si>
  <si>
    <t>Uredski radni stolovi za osoblje:</t>
  </si>
  <si>
    <t>OPĆI UVIJETI:</t>
  </si>
  <si>
    <r>
      <t>Bojenje stropova i zidova u svim prostorijama. Bojenje izvesti gotovom tvorničkom disperzivnom bojom i to: 1) popravak manjih neravnina, 2) gletanje svih površina glet masom  3) trostruki premaz bojom  u bijelom tonu. Jediničnom cijenom obuhvatiti sav materijal, rad, alat, skelu, transporte, razne zaštite i si.</t>
    </r>
    <r>
      <rPr>
        <u/>
        <sz val="9"/>
        <rFont val="Arial"/>
        <family val="2"/>
      </rPr>
      <t>IMPREGNIRANJE SVIH POVRŠINA KOJE SE LIČE JE U CIJENI</t>
    </r>
  </si>
  <si>
    <r>
      <t xml:space="preserve">Bojenje zidova i stropova od GK ploča u svim prostorijama gdje nisu ugrađene keramičke pločice. Bojenje izvesti gotovom tvorničkom disperzivnom bojom   prema niže navedenoj recepturi i to: 1) impregniranje svih površina koje se liče, 2) trostruki premaz bojom u bijeloj boji.  Jediničnom cijenom obuhvatiti sav materijal, rad, alat, skelu, transporte, razne zaštite i sl. </t>
    </r>
    <r>
      <rPr>
        <u/>
        <sz val="9"/>
        <rFont val="Arial"/>
        <family val="2"/>
      </rPr>
      <t>IMPREGNIRANJE SVIH POVRŠINA KOJE SE LIČE JE U CIJENI.</t>
    </r>
  </si>
  <si>
    <r>
      <t xml:space="preserve">Dobava materijala i montaža obloge stropa iz  gips-kartonskih ploča sa ovješenjem do 70 cm. Obloge  su nenosive, a izvode se od jednostruke metalne potkonstrukcije iz CD i UD profila, koja je su obložene gipskartonskim pločama pločama debljine 1.25 cm bez ispune kamene vune. U cijeni stavke je uračunata izvedba svih spojeva ploča međusobno, kao i na svim sudarima sa zidovima i stropovima. Svi sudari i uglovni spojevi izrađuju se standardnim Al završnim profilima i zapunjavaju akrilnim kitom čitavom duljinom istih, svi spojevi bandažirani, kitani i brušeni.U cijenu stavke je uključen sav rad, transport, materijal, sitna spojna sredstva i potrebna radna skela.  Rad izvesti u svemu prema uputama proizvođača. </t>
    </r>
    <r>
      <rPr>
        <b/>
        <u/>
        <sz val="9"/>
        <rFont val="Arial"/>
        <family val="2"/>
      </rPr>
      <t>U stavku uključiti i cijenu dobave i postave PE folije koju je potrebno postaviti na metalnu konstrukciju prije postave GK ploča</t>
    </r>
  </si>
  <si>
    <r>
      <t xml:space="preserve">Karakteristike traženog  sistema:
</t>
    </r>
    <r>
      <rPr>
        <sz val="9"/>
        <rFont val="Arial"/>
        <family val="2"/>
      </rPr>
      <t xml:space="preserve">- tražena vatrootpornost 30 min., klasa EI (bivše F i T)
- kvaliteta materijala, DIN EN 573:   EN AW – 6060 ili jednakovrijedno _____________________________
</t>
    </r>
  </si>
  <si>
    <r>
      <t xml:space="preserve">Ispuna:
</t>
    </r>
    <r>
      <rPr>
        <sz val="9"/>
        <rFont val="Arial"/>
        <family val="2"/>
      </rPr>
      <t>Panel u klasi EI60 I EI90 ili staklo EI60 I EI90. Debljina i vrsta ispune detaljno opisana u svakoj poziciji zasebno.</t>
    </r>
  </si>
  <si>
    <r>
      <t xml:space="preserve">Gornju površinu zagladiti   do  crnog  sjaja  strojnom obradom. Izvesti rubne reške koje trajno razdvajaju glazuru i zidove, a načinjene su od polistirena debljine min 1 cm. </t>
    </r>
    <r>
      <rPr>
        <u/>
        <sz val="9"/>
        <rFont val="Arial"/>
        <family val="2"/>
      </rPr>
      <t xml:space="preserve">Obračun  po  m2 izvedene  glazure  zajedno sa PVC folijom i  "rabic" pletivom </t>
    </r>
  </si>
  <si>
    <r>
      <t xml:space="preserve">Investitor stavlja na raspolaganje teren, koji je potreban za zemljane radove, s izuzetkom deponije za otpad.  </t>
    </r>
    <r>
      <rPr>
        <b/>
        <u/>
        <sz val="9"/>
        <rFont val="Arial"/>
        <family val="2"/>
      </rPr>
      <t>Izvođač se prije izvođenja radova mora informirati o točnom smještaju prepreka, kao vodova, kablova, kanala, oznaka i sl.</t>
    </r>
  </si>
  <si>
    <r>
      <t>Obračun po m3 odvezene zemlje</t>
    </r>
    <r>
      <rPr>
        <b/>
        <sz val="9"/>
        <rFont val="Arial"/>
        <family val="2"/>
      </rPr>
      <t xml:space="preserve"> u sraslom stanju</t>
    </r>
  </si>
  <si>
    <t>U Posebnim tehničkim ugovornim uvjetima utvrdit će se kako će pojedini izvođači koristiti dijelove uređenja gradilišta u odnosu na građevinski pothvat. Građevinske puteve koristit će svi sudionici izgradnje besplatno.</t>
  </si>
  <si>
    <t>10.</t>
  </si>
  <si>
    <t>Dobava, izrada, siječenje, savijanje, postava i vezivanje armature kvalitete prema statičkom računu i nacrtima savijanja armature.  Obračun po kg ugrađene armature. Čelik B500B.</t>
  </si>
  <si>
    <t>Iskop zemlje  C kategorije i skidanje humusa na neizgrađenom dijelu parcele</t>
  </si>
  <si>
    <r>
      <t>Dobava i postava hidroizolacije  sa  TPO sintetičkom hidroizolacijskom folijom kao, debljine 1.5mm, mase 1,5 kg/m2 (EN 1849-2 ili jednakovrijedno), paropropusnost 150.000 u (EN 1931 ili jednakovrijedno), vlačne čvrstoće ≥ 9 N/mm2 (EN 12311-2 ili jednakovrijedno), izduženja ≥ 550% (EN 12311-2 ili jednakovrijedno), UV otporna, otporna na prodiranje korijenja (EN 13948 - test FLL ili jednakovrijedno), otpornost na trganje ≥ 150 N (EN 12310-1 ili jednakovrijedno), pregibljivost pri niskim temperaturama ≤</t>
    </r>
    <r>
      <rPr>
        <sz val="8.1"/>
        <rFont val="Arial"/>
        <family val="2"/>
      </rPr>
      <t xml:space="preserve"> -40°C</t>
    </r>
    <r>
      <rPr>
        <sz val="9"/>
        <rFont val="Arial"/>
        <family val="2"/>
      </rPr>
      <t xml:space="preserve"> sa  signalnim slojem koja se vari strojevima s toplim zrakom, uz preklop od 10cm. Folija je slobodno položena, učvršćena pri rubovima objekta specijalnim tiplama za beton. TPO hidroizolacija se podiže uz nadozid visine 76 cm te se pričvršćuje na gornjoj plohi nadozida. U stavkz uključen sloj geotekstila 300g/m2; služi kao razdjelni sloj između TPO i šljunka. Sav materijal, pomoćni materijal, ugradna i pričvrsna sredstva odrediti prema uputama proizvođača i pravilima struke. U stavku uključen sav potrebni rad, materijal i pomoćni materijal.</t>
    </r>
  </si>
  <si>
    <r>
      <t xml:space="preserve">Ugradnja vratnih,  i prozorskih sistema:
</t>
    </r>
    <r>
      <rPr>
        <sz val="9"/>
        <rFont val="Arial"/>
        <family val="2"/>
      </rPr>
      <t xml:space="preserve">Okviri se fiksiraju u nosivu konstrukciju direktno preko sidrenih vijaka kroz profile štoka. Broj pričvršćenja i njihov raspored i dimenzioniranje su sistemski rješeni.
Detalji učvršćenja – gornji, donji, bočni, sa drugim sistemom- sistemski su rješeni; koristiti pur-pjenu protupožarne klase B1. Priključke na zidanu podlogu i porobeton izvoditi prema DIN 1053 ili jednakovrijedno, na beton prema DIN 1045 ili jednakovrijedno, na gips-karton prema DIN 4102 ili jednakovrijedno, na zid sa nosivom drvenom/čeličnom konstrukcijom prema DIN 4102 ili jednakovrijedno. </t>
    </r>
  </si>
  <si>
    <t>Izrada arhitektonske snimka izvedenog stanja u 3 primjerka</t>
  </si>
  <si>
    <t>GRAĐEVINSKO OBRTNIČKI RADOVI</t>
  </si>
  <si>
    <t>OPREMA</t>
  </si>
  <si>
    <t>STROJARSKI</t>
  </si>
  <si>
    <t>VODOVOD I ODVODNJA</t>
  </si>
  <si>
    <t>ELEKTROTEHNIČKI</t>
  </si>
  <si>
    <t>VATRODOJAVA</t>
  </si>
  <si>
    <t>PDV 25%</t>
  </si>
  <si>
    <t>UKUPNO S PDV-OM</t>
  </si>
  <si>
    <t>11.</t>
  </si>
  <si>
    <t>12.</t>
  </si>
  <si>
    <t>13.</t>
  </si>
  <si>
    <t>IV</t>
  </si>
  <si>
    <t>XX</t>
  </si>
  <si>
    <t>Iskop u  tlu C ( Pod materijalom C kategorije podrazumijevaju se svi materijali koje nije potrebno minirati, nego se mogu kopati izravno, upotrebom pogodnih strojeva. Ovdje bi spadali vezani zemljani materijali: sve gline visoke do niske plastičnosti, prašinasto tlo; kao i nevezani materijali: pijesci, pjeskoviti šljunci, prirodne kamene drobine i slični materijali. )  ktg. dubine  prema projektu za potrebe pripreme i izvedbe pristupnih rampi na prilazu i ulazu u objekt . Iskopani materijal zbrinuti, uklj. pristojbu za deponiju, ili deponirati za ponovnu ugradnju u potrebnom obimu za zatrpavanje a sve u dogovoru sa nadzornim inžinjerom.
Deponij se može nalaziti u krugu radijusa maksimalno 30 km</t>
  </si>
  <si>
    <t>Izrada tamponskog sloja ( sloj ispod objekta )</t>
  </si>
  <si>
    <t>Dobava, doprema, nabijanje i ugradnja tamponskog sloja šljunka granulacije 0-32 mm, debljine 30cm, ispod poda objekta, a između nadtemeljnih greda. Slojeve šljunka u debljini od 15 cm zbiti do zbijenosti  Ms=60MN/m2. U cijenu uključeno i planiranje na projektiranu kotu. Nasipavanjem oblikovati posteljicu za temeljnu ploču sa svim zadebljanjima - vidjeti plan oplate.
Obračun po m3 izvedenog tampona u zbijenom
stanju. Ispitivanje zbijenosti u cijeni stavke.</t>
  </si>
  <si>
    <t>Uređenje temeljnog tla mehaničkim zbijanjem</t>
  </si>
  <si>
    <t>Rad obuhvaća sve aktivnosti potrebne za osposobljavanje temeljnog tla za izradu nasipa ili mršavog betona iznad njega, a obuhvaća mehaničko zbijanje na Ms≥30 MN/m2, planiranje i postizanje optimalne vlažnosti vlaženjem ili sušenjem.
Uređuje se temeljno tlo ispod trakastih temelja, podnih ploča građevina, kolnih i kolnopješačkih površina.
Rad obuhvaća planiranje temeljnog tla na projektom predviđene kote s točnošću ±2,00cm, privremeno rješenje odvodnje temeljnog tla i drenažnog jarka.
Obračunato po m2 uređenog temeljnog tla / posteljice, za izradu razdjelnog sloja i nasipa/tamponskog sloja iznad njega.</t>
  </si>
  <si>
    <t>PJEŠAČKO KOLNIČKA KONSTRUKCIJA</t>
  </si>
  <si>
    <t>Iskopani materijal mora načelno odvesti Izvođač na deponiju po svom izboru, radijusa maksimalno 30 km. Iskopan materijal, koji je potreban za ponovno punjenje, skladištit će se privremeno  u dogovoru s Nalogodavcem, ukoliko ne može ostati na mjestu ugradnje.
Ako Nalogodavac kao privremeno skladištenje ili deponiju odredi odlagalište, onda je to obvezatno za predaju ponude. U okviru izvođenja gradnje može se dogovoriti nešto drugo.</t>
  </si>
  <si>
    <t>Izvedba kolničkih rubnjaka 18/24 i pješačkih rubnjaka 10/22</t>
  </si>
  <si>
    <t>Ova stavka obuhvaća:
*dobavu gotovih betonskih rubnjaka iz betona C 40/50 te razvoz rubnjaka po gradilištu,
*pripremu podloge, čišćenje, otkop ili nasipavanje sa nabijanjem kod podloge od kamena, 
* izrada i ugradnja betona C 12/15  vel. temelja 20/30 cm, za rubnjak 10/22 i veličine 30/40 za rubnjak 18/24 - podloge i zaloge,
*polaganje rubnjaka u beton po pravcu i niveleti sa razmakom (spojnicom) do 0,50 cm,
*svi prijevozi i prijenosti betona i pomoćnog materijala,
*zalijevanje spojnica cementnim mortom omjera 1:2,
*njega betona,
*ispitivanje kvalitete rubnjaka sa pribavljanjem atesta.
Izvedba radova, obračun radova i kontrola kvalitete prema OTU 3-04.7.1. ili jednakovrijedno.
Rubnjake koji se izvode u radiusu izvesti od komada proizvedenih u projektiranom radiusu.
Obračun  po m1 ugrađenog rubnjaka uzdignuto i upušteno do potpune pogonske gotovosti.</t>
  </si>
  <si>
    <t>OPĆA NAPOMENA ZA IZRADU SVIH VRSTA ASFALTERSKIH RADOVA</t>
  </si>
  <si>
    <t>U cijenu mora biti uračunato:
a) sva potrebna odsijecanja asfalta kao i prskanja podloge
b) tekuća i kontrolna ispitivanja, te pribavljanje atesta od ovlaštenog poduzeća.</t>
  </si>
  <si>
    <t>Izvedba AC 32 base, BIT 50/70 AG6 M 2E, debljine  d=8cm</t>
  </si>
  <si>
    <t>Izvedbi donjeg nosivog sloja može se prići nakon ispitanog i po nadzornom inženjeru preuzetom donjem nosivom sloju.
Ova stavka obuhvaća:
 - dobavu i dopremu asfaltne mješavine d=8cm
 - čišćenje i prskanje podloge za AC 32 base
 - razastiranje, valjanje i njega AC 32 base.
Obuhvaćen je sav materijal, rad i alat na izradi sloja kao i sva potrebna tekuća i kontrolna ispitivanja s izradom atesta za dokaz kvalitete ugrađenog sloja.
Asfaltiranje se vrši strojno i ručno.
Obračunato  po m2 ugrađenog sloja, sve do potpune pogonske gotovosti.</t>
  </si>
  <si>
    <t>Izvedba završnog sloja kolnika od asfaltbetona  AC 11 surf, BIT50/70, AG3 M 3E, debljine d= 4 cm</t>
  </si>
  <si>
    <t>Izradi ovog sloja može se prići nakon propisno izvedenog i po nadzornom inženjeru preuzetom AC base.
Ova stavka obuhvaća:
 - dobavu i dopremu asfaltne mješavine,
- čišćenje i prskanje podloge za asfaltbeton,
 - razastiranje, valjanje i njega asfaltbetona.
Obuhvaćen je sav materijal, rad i alat na izradi sloja kao i sva potrebna tekuća i kontrolna ispitivanja s izradom atesta za dokaz kvalitete ugrađenog sloja.
Asfaltiranje se vrši strojno i ručno.
Obračunato  po m2 ugrađenog sloja, debljine d=4cm,  sve do potpune pogonske gotovosti.</t>
  </si>
  <si>
    <t>Izvedba travne rešetke s ispunom supstratom</t>
  </si>
  <si>
    <t>Dobava i ugradnja travnih rešetki od recikliranog polietilena HDPE, dimenzija 620x620x100mm za parkirališta teretnih vozila i protupožarne puteve, atestiranih za vatrogasni pristup (100 kN/osovina). Površina po kom: 0,403 m2/kom.</t>
  </si>
  <si>
    <t>Stavka obuhvaća izradu, dobavu potrebnih materijala i ugradnju svih slojeva završne podne obloge travnim rešetkama na nosivi sloj drobljenog kamenog materijala.</t>
  </si>
  <si>
    <t>Postava travnih rešetki se vrši na dobro uvaljani sloj pijeska za poravnanje granulacije 0/4mm debljine sloja 5 cm i geotekstil 300g/m2. Uključeno u jediničnu cijenu stavke.</t>
  </si>
  <si>
    <t>Elementi travne rešetke se polažu s minimalnom širinom reške uz dilataciju od 1cm do rubnjaka.</t>
  </si>
  <si>
    <t>Izrezivanje rubnih elemenata radi upasivanja do izvedenog rubnjaka i sl. uključeno je u cijenu.</t>
  </si>
  <si>
    <t>Travne rešetke se pune supstratom, mješavinom kvalitetne vrtne zemlje i mješavinom komposta i treseta (mješavina 50% kvalitetna vrtna zemlja, 25% kompost, 25% treset). Zemlja u travnim rešetkama se nabija mlazom minivoša.</t>
  </si>
  <si>
    <t>Kada nivo zemlje padne za 2cm, sije otporna travna mješavina (1 kg za 15 m2), te se dodaje sporootpuštajuće gnojivo kao npr. tip Osmocote Maintenance ili jednakovrijedan proizvod, doza prema uputi proizvođača.</t>
  </si>
  <si>
    <t>Nakon toga se sjeme prekrije u sloju 2 cm sa supstratom, mješavinom kvalitetne vrtne zemlje te mješavinom komposta i treseta (mješavina 50% kvalitetna vrtna zemlja, 25% kompost, 25% treset)</t>
  </si>
  <si>
    <t>U cijenu uključeni materijal i radovi.</t>
  </si>
  <si>
    <t>Sastav travne mješavine za travne rešetke:</t>
  </si>
  <si>
    <t>Poa pratensis 40%, Festuca nigrescens 30%, Festuca ovina 15%, Festuca rubra ssp.rubra 15%</t>
  </si>
  <si>
    <t>Tijekom klijanja, trava se treba redovno navodnjavati. Preko netom posijane trave tijekom klijanja ne smije se voziti.</t>
  </si>
  <si>
    <t>Posijana trava se treba ostaviti mirovati do četvrtog košenja te da se redovito održava košenjem, upotpunjavanjem, zalijevanjem i ukoliko je potrebno, gnojenjem.</t>
  </si>
  <si>
    <t>Sve uključeno u jediničnu cijenu stavke.</t>
  </si>
  <si>
    <t>Obračunato  po m2 do potpune gotovosti.</t>
  </si>
  <si>
    <t>PREDGOTOVLJENI BETONSKI OPLOČNICI - opločenje pješačkih puteva</t>
  </si>
  <si>
    <t>NAPOMENE ZA SVE RADOVE OPLOČENJA OD PREDGOTOVLJENIH BETONSKIH OPLOČNIKA:</t>
  </si>
  <si>
    <t>Izvedena površina opločenja prefabriciranim betonskim opločnicima treba zadovoljiti nosivost i čvrstoću za promet vatrogasnim vozilom prema važećim propisima. Ms = 100 MN/m2</t>
  </si>
  <si>
    <t>Ploče trebaju biti izrađene tehnologijom vibroprešanih betona sa završnim slojem pjeskarene površinske obrade, impregnirane hidrofobnom impregnacijom radi lakšeg čišćenja i minimalne vodoupojnosti. Zaštita impregnacijom treba reducirati cvjetanje vapnenca i dati jači intenzitet boja. Sve uključeno u jediničnu cijenu stavki.</t>
  </si>
  <si>
    <t xml:space="preserve">Zapunjavanje reški se vrši nakon isušivanja podložnog sloja na kojem su postavljene kocke. </t>
  </si>
  <si>
    <t>Opločenje pješačkih površina predgotovljenim betonskim opločnicima.</t>
  </si>
  <si>
    <t>Iskop tla te izrada nosivog sloja od zrnatog kamenog materijala obuhvaćeni su zasebnim stavkama ovog troškovnika.</t>
  </si>
  <si>
    <t>Postava betonskih opločnika se vrši na sloj pijeska granulacije 2,0-4,0mm i cementa u omjeru 1:4 debljine sloja 5 cm.</t>
  </si>
  <si>
    <t>Elementi se polažu s prosječnom širinom reške od cca 5 mm. Izrezivanje rubnih elemenata radi upasivanja do izvedenog rubnjaka i sl. uključeno je u cijenu.</t>
  </si>
  <si>
    <t>Ova stavka obuhvaća slijedeće radove:</t>
  </si>
  <si>
    <t>_izradu predgotovljenih betonskih opločnika</t>
  </si>
  <si>
    <t>_dopremu betonskih opločnika sa svim prijenosima i prijevozima</t>
  </si>
  <si>
    <t>_dobavu i razastiranje sloja pijeska i cementa sa svim prijenosima, omjer 4:1</t>
  </si>
  <si>
    <t>_postavljanje betonskih opločnika s vibriranjem</t>
  </si>
  <si>
    <t>_pjeskarenje reški izvedene površine s vibriranjem</t>
  </si>
  <si>
    <t>_pribavljanje dokaza o sukladnosti</t>
  </si>
  <si>
    <t>Uključena izvedba skošenja opločenja za izvedbu rampi pješačkih prijelaza prema visinski točno pozicioniranom rubnjaku u dimenzijama prema projektu. Uključeno u jedinične cijene stavki.</t>
  </si>
  <si>
    <t>Obračun po m2 kompletno dovršenog opločenja.</t>
  </si>
  <si>
    <t>Vatrogasni aparati</t>
  </si>
  <si>
    <t>Prometni znakovi</t>
  </si>
  <si>
    <t>Dobava i ugradnja prometnih znakova: dobaviti znakove standardne proizvodnje i obrade, propisanih boja i zaštite, sa stupom za postavu, završno obrađene sa svim potrebnim za ugradnju. Ugraditi na projektom predviđena mjesta. Obračun po komadu ugrađenog prometnog znaka.</t>
  </si>
  <si>
    <t>Oznake na kolniku</t>
  </si>
  <si>
    <t xml:space="preserve">Dobava materijala i iscrtavanje oznaka na kolniku. Materijal koji se koristi za označavanje na kolniku treba biti trajan i ne smije mijenjati boju. Koeficijent trenja treba biti približno jednak kao kod kolnika,sa maksimalnim odstupanjem + 5% kod suhog i + 10% kod mokrog kolnika. Izvedba oznaka na kolniku u svemu prema projektu prometnog rješenja, opisu iz tehničkih uvjeta kao i Pravilniku o prometnim znakovima i signalizaciji na cestama, uključivo sav potreban rad i materijal. Obračun po m2 iscrtane površine, ili po komadu posebne oznake.
</t>
  </si>
  <si>
    <t>Taktilne površine na nogostupu</t>
  </si>
  <si>
    <t xml:space="preserve">Dobava, dostava i montaža taktilnih površina vođenja slijepih i slabovidnih osoba. Trake površine  u sklopu asfaltne pristupne plohe. Sastoje se od taktilnih crta za vođenja i taktilnih polja upozorenja. Taktilna površina izvodi se od pojedinačnih elemenata-vodilica i čepova. Pojedinačni elementi izdignuti su od površine maksimalno 5mm izrađeni su od inoxa i protuklizne smjese. Na podlogu od asfalta pričvršćuje se zabušivanjem (sidrenjem). Taktilne površine izvode se tako da se vodilice i čepovi slažu u liniju od 4 kom. Boja protuklizne smjese u kontrastu s podlogom.
</t>
  </si>
  <si>
    <t>Potrebna količina pojedinačnih vodilica po mt je 12 kom. Potrebna količina pojedinačnih čepova po polju (40x40 cm) je 16 kom.</t>
  </si>
  <si>
    <t>obračun po mt (40cm x 1m) za crtu vođenja i kom za polje upozorenja (40x40 cm)</t>
  </si>
  <si>
    <t>Dobava materijala, transport i betoniranje podložne lagano armirane betonske podloge C20/25 sa izvedenim nagibom za odvod oborinske vode prema projektu. Padove usmjeriti prema izljevnim mjestima - vodolovnim grlima. U cijenu je uključena dobava i ugradba betona, njega betona, sve prema pravilima struke.</t>
  </si>
  <si>
    <r>
      <t>Dobava i ugradba plivajućeg cementnog estriha (2200 kg/m</t>
    </r>
    <r>
      <rPr>
        <vertAlign val="superscript"/>
        <sz val="9"/>
        <rFont val="Arial"/>
        <family val="2"/>
      </rPr>
      <t>3</t>
    </r>
    <r>
      <rPr>
        <sz val="9"/>
        <rFont val="Arial"/>
        <family val="2"/>
      </rPr>
      <t>), debljine 4-7,5 cm u slojevima poda prizemlja i kata armiranog rabitz pletivom. Na spoju sa zidovima ugraditi traku elasticificiranog polistirena (eEPS), debljine d=2cm, visine od podložne toplinske /zvučne izolacije, do 1cm iznad razine završenog i poravnatog estriha. U stavku je uključena i nabava materijala i postavljanje zaštitne PE folije, koja se postavlja na podložnu toplinsku/zvučnu izolaciju, te podiže uz rubnu traku EPS-a, a sve prije ugradnje estriha. Obračun po m2 izvedenog estriha.</t>
    </r>
  </si>
  <si>
    <t>Zatvaranje naknadno izvedenih šliceva.</t>
  </si>
  <si>
    <t>Zatvaranje naknadno izvedenih šliceva izvedbom grube i fine žbuke i rabiciranjem spoja sa okolnom površinom što ulazi u cijenu. Širina rabica cca 20 cm. Izvodi se nakon položene instalacije ili druge ugrađene opreme.</t>
  </si>
  <si>
    <t>Zatvaranje prodora u zidu i podu</t>
  </si>
  <si>
    <t>Dvokomponentni visokoelastični cementni mort za hidroizolaciju + armirna alkalno-otporna mrežica od staklenih vlakana. Izvodi se na podove i na zidove do visine od 2,2 m.
Izvedba hidroizolacijskog sustava dvokomponentnim visoko fleksibilnim cementnim mortom.                                               . Hidroizolacija mora zadovoljiti normu EN 14891 ili jednakovrijedno  _________________________                                                                          te premostiti pokotinu ≥ 0,75 mm pri temperaturama od -20°C i +23°C. Izvedba u 2 sloja ukupne debljine min. 2 mm, s tim da se u prvi sloj utisne mrežica od alkalno otpornih staklenih vlakana.  Na mjestima dilatacijskih fuga, spojeva između vodoravnih i okomitih površina te odvoda, potrebno je ugraditi gumiranu poliestersku traku s alkalno otpornim filcem, kutne elemente i manžete. Trake se međusobno lijepe super ljepilom za spajanje PVC cijevi. Ljepilo nakon sušenja mora biti otporno na hladnu i vruću vodu. Otpornost na smrzavanje do -15°C, a otpornost na grijanje +100°C.</t>
  </si>
  <si>
    <t>Izvedba tekuće hidroizolacije poda i zidova u sanitarijama i vanjskih površina podova</t>
  </si>
  <si>
    <t xml:space="preserve">Dobava i postava ostalog pribora (kutni i okapni profili, špaletni elementi ploča debljine 2 cm,..). Sve radove izvesti prema uputama  proizvođača komponenti sustava.   Završna obrada fasade u  boji po izboru projektanta. Obračun po m2 izvedenog pročelja do pune gotovosti, uključivo silikonska žbuka, izolacijske ploče, mortovi-ljepila, staklena mrežica, kutnici, okapnici i sidra te sav ostali potrebni pribor. </t>
  </si>
  <si>
    <t>ST 1_staklo tip B</t>
  </si>
  <si>
    <t>14.</t>
  </si>
  <si>
    <t>15.</t>
  </si>
  <si>
    <t>ST P1</t>
  </si>
  <si>
    <t>U cijenu uključena izrada radioničke dokumentacije.</t>
  </si>
  <si>
    <t>S2</t>
  </si>
  <si>
    <t>S4</t>
  </si>
  <si>
    <t>vrata 70x200 cm</t>
  </si>
  <si>
    <t>Vatrootporne pregradne stijene</t>
  </si>
  <si>
    <t>Obračun po m2 gotove stijene REI90</t>
  </si>
  <si>
    <t xml:space="preserve">ORMARIĆ POKRETNI S 3 LADICE I BRAVICOM izrađen iz iverala 18 mm,obrubljen ABS trakom debljine 3 mm, prihvatnici metalni 96 mm </t>
  </si>
  <si>
    <t>RADNI STOLAC sa mehanizmom za regulaciju visine i nagib naslona sa rukonaslonom, baza crom, tapecirani u tkaninu</t>
  </si>
  <si>
    <t>TABURE pravokutni dim. 80x40xh40 cm na drvenoj podkonstrukciji, ispunjena poliuretanskom pjenom PT-2541, presvučena eko-kožom, debljine 0,9 mm, sastava pamuk, PE i PVC, težine 500g/m2,  postojanosti boje 8, visoke otpornosti na trljanje, rastezanjE i trganje, perive vodom i neutralnim sredstvima za pranje, u raznim bojama.</t>
  </si>
  <si>
    <r>
      <t xml:space="preserve">Dozvoljena odstupanja od karakterisitka i dimenzija </t>
    </r>
    <r>
      <rPr>
        <b/>
        <sz val="9"/>
        <rFont val="Calibri"/>
        <family val="2"/>
        <charset val="238"/>
      </rPr>
      <t>±</t>
    </r>
    <r>
      <rPr>
        <b/>
        <sz val="9"/>
        <rFont val="Arial"/>
        <family val="2"/>
      </rPr>
      <t>10%.</t>
    </r>
  </si>
  <si>
    <t>GUMENA PODLOGA DJEČJEG IGRALIŠTA</t>
  </si>
  <si>
    <t>Gumena podloga igrališta</t>
  </si>
  <si>
    <t>HORTIKULTURA</t>
  </si>
  <si>
    <t>XXI</t>
  </si>
  <si>
    <t>NAPOMENE UZ SVE STAVKE:</t>
  </si>
  <si>
    <t>U stavci uključen kompletan glavni i pomoćni, materijal i rad.</t>
  </si>
  <si>
    <t>Nabava i ugradnja humusa - plodna zemlja</t>
  </si>
  <si>
    <t>Nabava, dovoz, razastiranje i grubo planiranje plodne zemlje bez primjesa korova i kamenja u sloju od 20cm. Količina bez dodatka za slijeganje.</t>
  </si>
  <si>
    <t>Obračun po m3.</t>
  </si>
  <si>
    <t>Sadnja stablašica</t>
  </si>
  <si>
    <t xml:space="preserve">Iskop jama za sadnju stablašica 1x1x1 m (odnosno prilagođene dimenzijama korijenove grude). Rahljenje dna jame i gnojenje s 70lit. stajnjaka po jami. Zatrpavanje jame dobrom vrtnim zemljom do polovice bez nabijanja, te sadnja sadnice. Učvršćivanje sadnice s tri kvaliteteno obrađena kolca dužine 2.5m, vezivanje jutenom trakom. Formiranje zdijelice i zalijevanje. </t>
  </si>
  <si>
    <t>Obračun po komadu.</t>
  </si>
  <si>
    <t>Sadnja sezonskog cvijeća</t>
  </si>
  <si>
    <t>Sadnja sezonskog cvijeća: iskop sadne jame dimenzija 15x15x15 cm, sadnja kontejnirane sadnice, zatrpavanje plodnom smjesom, gnojenje organskim gnojivom 100 g/m2, jednokratno zalijevanje.</t>
  </si>
  <si>
    <t>Biljni materijal</t>
  </si>
  <si>
    <t>Stavka uključuje nabavu biljaka prema navedenoj veličini i kvaliteti, dopremu na teren, te garanciju na posađene biljke od godinu dana. Sav biljni materijal mora imati certifikat koji potvrđuje njihovo porijeklo i vrstu, te zdravstveno stanje.</t>
  </si>
  <si>
    <t>Sadnice moraju biti školovane, zaštićenog korijena kontejnerima ili baliranjem. Biljni materijal mora odgovarati vrstama i kultivarima traženim ovim troškovnikom. U slučaju da postoji opravdan razlog eventualne zamjene za drugu vrstu ili kultivar, ili drugu veličinu, promjena mora biti u pismenom suglasju s projektantom, projektantskim nadzorom, nadzornim inženjerom i predstavnikom investitora, prema pravilima struke.</t>
  </si>
  <si>
    <t>Uspješna sadnja ovakvog biljnog materijala je moguća u agroroku (15.10.-1.4.)</t>
  </si>
  <si>
    <t>STABLAŠICE:</t>
  </si>
  <si>
    <t>GRMLJE:</t>
  </si>
  <si>
    <t>SEZONSKO CVIJEĆE - LJETNICE:</t>
  </si>
  <si>
    <t>Impatiens ´New Guinea´ - VODENIKA, hibrid ´Nova Gvineja´ (tamnoružičasta)</t>
  </si>
  <si>
    <t>Begonia semperflorens - LJETNA BEGONIJA (bijeli cvijet, zeleni list)</t>
  </si>
  <si>
    <t>Begonia semperflorens - LJETNA BEGONIJA (bijeli cvijet, taman list)</t>
  </si>
  <si>
    <t>SEZONSKO CVIJEĆE - PROLJETNICE:</t>
  </si>
  <si>
    <t>Bellis perennis ´Deep Rose´ - TRATINČICA UKRASNA (tamnoružičasta)</t>
  </si>
  <si>
    <t>Bellis perennis ´White´ - TRATINČICA UKRASNA (bijela)</t>
  </si>
  <si>
    <t>Viola cornuta - MAČUHICA SITNOCVJETNA (ljubičastoplava)</t>
  </si>
  <si>
    <t>Temelji i parapet ograde</t>
  </si>
  <si>
    <t>Klizna vrata na kolnom ulazu</t>
  </si>
  <si>
    <t>Zaokretna vrata na pješačkom ulazu</t>
  </si>
  <si>
    <t>boja RAL 7016</t>
  </si>
  <si>
    <t>Zaštitna ograda oko vrtića</t>
  </si>
  <si>
    <t>Ispitivanje temeljnog tla</t>
  </si>
  <si>
    <t>Izrada geomehaničkog elaborata i ispitivanje nosivosti temeljnog tla.</t>
  </si>
  <si>
    <t>16.</t>
  </si>
  <si>
    <t>17.</t>
  </si>
  <si>
    <t>18.</t>
  </si>
  <si>
    <t>19.</t>
  </si>
  <si>
    <t>Nasipavanje plodne zemlje iz iskopa na neizgrađenom dijelu parcele. Prilikom nasipavanje potrebno je izvesti grubo planiranje terena. Količina je iskazana u zbijenom stanju zemlje.</t>
  </si>
  <si>
    <t>20.</t>
  </si>
  <si>
    <t>21.</t>
  </si>
  <si>
    <t>22.</t>
  </si>
  <si>
    <t>VANJSKA ALUMINIJSKA BRAVARIJA</t>
  </si>
  <si>
    <t>UNUTARNJA ALUMINIJSKA BRAVARIJA</t>
  </si>
  <si>
    <t>ALUMINIJSKA STOLARIJA</t>
  </si>
  <si>
    <t>23.</t>
  </si>
  <si>
    <t>24.</t>
  </si>
  <si>
    <t>25.</t>
  </si>
  <si>
    <t>26.</t>
  </si>
  <si>
    <t>27.</t>
  </si>
  <si>
    <t>28.</t>
  </si>
  <si>
    <t>29.</t>
  </si>
  <si>
    <t>ZIDARSKI OTVOR jednokrilnih punih vrata 90*210cm + KVAKA I BRAVA S CILINDROM</t>
  </si>
  <si>
    <t>S5</t>
  </si>
  <si>
    <t>ZIDARSKI OTVOR jednokrilnih punih vrata 110*210cm + KVAKA I BRAVA S CILINDROM</t>
  </si>
  <si>
    <t>S7</t>
  </si>
  <si>
    <t>fiksna pregradna stijena visine 215 cm</t>
  </si>
  <si>
    <t>Podna ploča dječjeg igrališta</t>
  </si>
  <si>
    <t>NORMATIVI I PROPISI</t>
  </si>
  <si>
    <t>Prilikom izvedbe podopolagačkih  radova te za korištenje i ispitivanje materijala opisanih u troškovniku izvođač radova mora se pridržavati  uvjeta i opisa iz projektne dokumentacije kao i važećih propisa i normi na koje tehnički propisi i norme upućuju</t>
  </si>
  <si>
    <t xml:space="preserve">Tehnički uvjeti za izvođenje radova pri polaganju podnih obloga - HRN U.FS.017/78 ili jednakovrijedno, Elastične, tekstilne i laminatne podne obloge - bitne značajke HRN EN 14041:2018 ili jednakovrijedno, EN 14041:2004+AC:2006 ili jednakovrijedno. </t>
  </si>
  <si>
    <t>KVALITETA IZVEDBE RADOVA</t>
  </si>
  <si>
    <t xml:space="preserve">Oblaganje podnim oblogama mogu izvoditi samo stručno osposobljene osobe ovlaštene od proizvođača obloge.  </t>
  </si>
  <si>
    <t>Izvođač radova dužan je prije početka radova pripremiti podlogu, kontrolirati vlažnost podloge, horizontalnost i ispravnost izvedene podloge za postavu svih podnih obloga i iste.  Također je potrebno provjeriti uvjete u prostoriji kao i sve ostale uvjete koje traži izvođač pojedinih radova.</t>
  </si>
  <si>
    <t xml:space="preserve">Kontrola podloge u skladu s HRN EN 13318:2001 ili jednakovrijedno.
</t>
  </si>
  <si>
    <t xml:space="preserve"> - Materijali za in situ podove (estrihe) i in situ podovi (estrisi) - Definicije (EN 13318:2000)  ili jednakovrijedno.</t>
  </si>
  <si>
    <t>- EN 13813:2002 - Svojstva i zahtjevi ili jednakovrijedno.</t>
  </si>
  <si>
    <t>Vlažnost podloge, odnosno maksimalna dopuštena zaostala vlaga u podlozi ne smije biti veća od 4% po CM-u za estrihe i betone.</t>
  </si>
  <si>
    <t>Bitni uvjeti podloge su ravnost, kompaktnost kroz cijeli presjek, sazrelost, prionjivost na beton od 1.2 MPa te minimalno C25 tvrdoća podloge. Podloga pravilno dilatirana i u odgovarajućoj debljini sukladno uputi proizvođača.</t>
  </si>
  <si>
    <t>Podloga mora postići dovoljnu nosivost, biti stabilna, čvrsta, suha,  bez labavih dijelova, prašine, ulja, masnoća, tragova guma i drugih supstanci koje djeluju razdvajajuće. Labaviji slojevi i nakupine suspenzije moraju se ukloniti.</t>
  </si>
  <si>
    <t>Ukoliko je podloga neispravna, u smislu bilo kojeg zahtjeva,  mora se izvesti nova, odnosno u dogovoru sa nadzornim inženjerom sanirati, što ide na teret izvođača građevinskih radova. Ukoliko se pod položi na neispravnu podlogu te dođe do bilo kakvog oštećenja sanaciju podloge i poda snosi izvođač podoplogačkih radova.</t>
  </si>
  <si>
    <t>Ako nije u troškovniku drugačije naznačeno, prijelaz iz prostorije u prostoriju istog nivoa učiniti kontinuirano bez prekida i praga.</t>
  </si>
  <si>
    <t>Na spoju različitih podnih obloga ugraditi razdjelni profil prema projektnom detalju.</t>
  </si>
  <si>
    <t>Kad se podne obloge polažu na grijane podne površine, grijanje treba raditi 10 dana prije početka polaganja. Prije početka polaganja grijanje treba isključiti; zimi grijanje treba smanjiti na pola snage (temperatura poda 20°C). 72 sata nakon dovršetka polaganja podnih obloga, grijanje se može pustiti u rad punom snagom.</t>
  </si>
  <si>
    <t>Materijal</t>
  </si>
  <si>
    <t>Materijal za izradu obloga poda mora zadovoljavati uvjete požarnih otpornosti, imati visoku otpornost na mehanička oštećenja, jednostavan za održavanje, antistatičan, mora upijati zvuk i imati dobar koeficijent provodljivosti topline te biti protuklizan u skladu sa zahtjevima projekta ovisno o namjeni.</t>
  </si>
  <si>
    <t>Materijal za izvedbu sokla mora biti isti kao i materijal za izvedbu podne površine, osim ako troškovničkom stavkom nije definirano drugačije.</t>
  </si>
  <si>
    <t>Ljepila moraju biti takva da se njima postiže čvrsta i trajna veza ne smiju štetno utjecati na podlogu, oblogu ni zdravlje ljudi koji s njima rade.</t>
  </si>
  <si>
    <t>Masa za izravnavanje neravnina podloge ili za dobivanje neutralnog međusloja, u slučaju da se ljepilo ne podnosi sa podlogom, mora se čvrsto i trajno vezati za podlogu i mora biti prionjiva za ljepila.</t>
  </si>
  <si>
    <t>Podloga treba postići svoju izjednačujuću vlažnost i za vrijeme korištenja mora biti zaštićena od utjecaja vlage.</t>
  </si>
  <si>
    <t xml:space="preserve">Izvođač je dužan dati uzorke podne obloge na odobrenje projektantu i nadzornom inžinjeru. </t>
  </si>
  <si>
    <t>Prije početka polaganja podne obloge izvođač je dužan dostaviti sheme polaganja. Postotak otpadnog materijala ne obračunava se posebno već ga je Izvođač dužan ukalkulirati u jediničnu cijenu.</t>
  </si>
  <si>
    <t>RAZNI RADOVI</t>
  </si>
  <si>
    <t>1.2.5</t>
  </si>
  <si>
    <t>1.2.6</t>
  </si>
  <si>
    <t>1.2.7</t>
  </si>
  <si>
    <t>1.2.8</t>
  </si>
  <si>
    <t>1.2.9</t>
  </si>
  <si>
    <t xml:space="preserve">KOMUNIKACIJA </t>
  </si>
  <si>
    <t>KOMUNIKACIJA UKUPNO:</t>
  </si>
  <si>
    <t>PRAONICA RUBLJA</t>
  </si>
  <si>
    <t>PERILICA RUBLJA_x000D_
Inverter motor_x000D_
A+++ -10% energetski razred_x000D_
Kapacitet pranja: 11 kg_x000D_
Centrifuga: 1400 okr / min_x000D_
Veliki LCD kontrolni zaslon _x000D_(kontrole i upute na hrvatskom jeziku)
Min. 12 programa pranja uključujući nježno pranje 20°, pranje sportske odjeće i obuće, pranje s pretpranjem na 60° i 90/95°, brzi program na 40° u trajanju od 40 min. 
Dodatne funkcije: pretpranje, noćno pranje, dodatno ispiranje, brzo pranje_x000D_
Odjeljak za tekući deterdžent_x000D_
Mogućnost odgode početka rada do 24 sata_x000D_
Prikaz preostalog vremena programa_x000D_
Kontrola neravnoteže bubnja_x000D_
Automatsko podešavanje količine vode s obzirom na količinu rublja_x000D_
Mogućnost podešavanja temperature pranja_x000D_
Mogućnost podešavanja broja okretaja centrifuge_x000D_
Mogućnost zaključavanja postavljenih funkcija - Child Lock_x000D_
Zaštita od izlijevanja vode_x000D_
Razina buke: max. 55 / 76 dB(A)
Potrošnja el. energije: max. 233 kWh / godišnje
Jamstvo: min. 5 godina
dim. cca: 60/60/85 cm</t>
  </si>
  <si>
    <t>SUŠILICA RUBLJA kondenzacijska sa toplinskom pumpom_x000D_
A+++ razred energetske učinkovitosti_x000D_
Kapacitet pranja: 8 kg_x000D_
min. 12 programa sušenja_x000D_
Mogućnost odgode početka rada do 24 sata_x000D_
Funkcija automatskog isključivanja_x000D_
Automatsko senzorsko sušenje_x000D_
LCD kontrolni zaslon (kontrole i upute na hrvatskom jeziku)
Pokazivač za čišćenje filtera_x000D_
Pokazivač napunjenosti kondenzacijske posude_x000D_
Osvjetljenje unutrašnjosti bubnja_x000D_
Inoks bubanj_x000D_
Mogućnost zaključavanja postavljenih funkcija_x000D_
Jamstvo: 5 godina
dim. cca 60/60/85 cm</t>
  </si>
  <si>
    <t>METALNI OTVORENI REGAL sa punim policama
dim. 100x50x200 cm</t>
  </si>
  <si>
    <t>PRAONICA RUBLJA UKUPNO:</t>
  </si>
  <si>
    <t>DISTRIBUCIJSKA KUHINJA</t>
  </si>
  <si>
    <t>OPĆI UVJETI OPREMANJA KUHINJSKOM OPREMOM</t>
  </si>
  <si>
    <t>Jedinične cijene obavezno moraju sadržavati:</t>
  </si>
  <si>
    <t>ad.1)</t>
  </si>
  <si>
    <t>Izvodi priključaka kuhinjske opreme (topla i hladna voda, odvodi, parovodi, plinska instalacija, elektro instalacija i instalacija ventilacije), biti će izvedeni i dobavljači ih se moraju pridržavati ili prije izvedbe priložiti teh. dokumentaciju za njihovu prilagodbu.</t>
  </si>
  <si>
    <t>ad.2)</t>
  </si>
  <si>
    <t>Dobavljač je dužan upoznati se s izvedenim stanjem kada se objekt izvede i priložiti potvrdu da će eventualne prilagodbe na opremi ili priključcima na objektu biti sadržaj jedinične cijene.</t>
  </si>
  <si>
    <t xml:space="preserve">ad.3) </t>
  </si>
  <si>
    <t xml:space="preserve">Spojevi na uređaje ne smiju se izvesti tako da ometaju čišćenje podova već jedinične cijene moraju sadržavati potrebne prilagodbe ili na opremi ili na objektu. </t>
  </si>
  <si>
    <t>ad.4)</t>
  </si>
  <si>
    <t>U slučaju da se spojevi izvedu suprotno navedenom pod ad.2, nadzorni organ  ispravit će ih na teret dobavljača.</t>
  </si>
  <si>
    <t>ad.5)</t>
  </si>
  <si>
    <t>Projektom predviđena profesionalna ugostiteljska oprema izrađena od inoxa na gornjim radnim plohama neutralnih radnih stolova mora biti debljine 1 mm ili više, a na gornjim plohama termičkih elementa 1,5 mm ili više, kvalitete po DIN normi W.NR 1. 4301. I sva ostala oprema završno obrađena inoxom mora zadovoljavati rečenu normu, što je izvoditelj dužan dokazati gradilišnim ispitivanjem.</t>
  </si>
  <si>
    <t>ad.6)</t>
  </si>
  <si>
    <t>Električni termički kuhinjski uređaji moraju zadovoljavati :
Pravilnika o električnoj opremi namijenjenoj za uporabu unutar određenih naponskih granica 
(N.N. 28/16)
Pravilnika o elektromagnetnoj kompatibilnosti (N.N. 43/16)
i primijenjenim normama za kućanske i slične električne aparate:
HRN EN 60335-1:2012 Opći zahtjevi
HRN EN 60335-2-12:2005 Posebni zahtjevi za tople ploče i slične aparate
HRN EN 60335-2-13:2011 Posebni zahtjevi za friteze, tave za prženje i slične aparate
HRN EN 60335-2-14:2008 Posebni zahtjevi za kuhinjske strojeve
HRN EN 60335-2-36:2006 Posebni zahtjevi ugostiteljskih štednjaka, pećnica, kuhala i grijaćih ploča  
HRN EN 60335-2-37:2006 Posebni zahtjevi ugostiteljskih električnih friteza
HRN EN 60335-2-42:2006 Posebni zahtjevi za ugostiteljske električne pećnice s puhalom, parne tlačne pećnice i konvekcijske parne pećnice
kao i zahtjevima slijedećih europskih smjernica:
_2006/95/EEC     Niskonaponska smjernica
_2004/108/EEC   Smjernica o elektromagnetnoj kompatibilnosti</t>
  </si>
  <si>
    <t>ad.7)</t>
  </si>
  <si>
    <t>Plinski termički kuhinjski uređaji moraju zadovoljavati : 
Pravilnika za plinske aparate (N.N. 91/13) 
i primijenjenim normama za plinske uređaje za velike kuhinje:
HRN EN 203-1:2014 Opća sigurnosna pravila
HRN EN 203-2-9:2008 Posebni zahtjevi - Kuhala sa toplim pločama i roštilji
HRN EN 203-2-10:2008 Specifični zahtjevi -- Roštilji
HRN EN 203-2-1:2015 Specifični zahtjevi -- Otvoreni plamenici i wok plamenici
HRN EN 203-2-2:2008 Posebni zahtjevi -- Pećnice
HRN EN 203-2-11:2008 Posebni zahtjevi -- Kuhala za tjesteninu
HRN EN 203-2-3:2015 Specifični zahtjevi -- Kotlovi 
HRN EN 203-2-4:2008 Posebni zahtjev -- Friteze
HRN EN 203-2-8:2008 Posebni zahtjevi -- Nagibne tave i specijalne tave
kao i zahtjevima slijedećih europskih smjernica:
_Direktiva 209/142/EZ Europskog parlamenta i Vijeća od 30 studenog 2009.  o aparatima   na plinovita goriva</t>
  </si>
  <si>
    <t>ad.8)</t>
  </si>
  <si>
    <t>Kotlovi moraju imati duplikator od inoxa.</t>
  </si>
  <si>
    <t>ad.9)</t>
  </si>
  <si>
    <t>Radni stolovi moraju u radnoj plohi imati podlogu od vodootporne panel ploče</t>
  </si>
  <si>
    <t>ad.10)</t>
  </si>
  <si>
    <t>Sudoperi i ocijedni stolovi moraju imati izdignute rubove gornjih ploha za zaštitu od prelijevanja a sudoperi sifone i prednju masku.</t>
  </si>
  <si>
    <t xml:space="preserve">ad.11) </t>
  </si>
  <si>
    <t>Svi neutralni elementi (radni stolovi) moraju imati donju policu i zaštitu zida min. visine 8 cm. Sva neutralna oprema mora biti s fiksnim spojevima ( varena) radi čvrstoće i nosivosti.</t>
  </si>
  <si>
    <t>ad.12)</t>
  </si>
  <si>
    <t>Sva oprema mora biti sukladna zahtjevima  slijedećih europskih smjernica:
_Uredba br. 1935/2004 o materijalima i proizvodima koji dolaze u dodir s hranom
_Uredba br. 2023/2006 o dobroj proizvođačkoj praksi za materijale i proizvode koji svojom namjenom dolaze u dodir s hranom</t>
  </si>
  <si>
    <t xml:space="preserve">ad.13) </t>
  </si>
  <si>
    <t>Uz ponudu se moraju priložiti dokazi o gore navedenom te prospekte i tehničku dokumentaciju ponuđene opreme.</t>
  </si>
  <si>
    <t>ad.14)</t>
  </si>
  <si>
    <t>Uz isporučenu opremu se osim gore navedenih atesta i hrvatskih certifikata predočenih u ponudi moraju priložiti i upute za upotrebu na hrvatskom jeziku, garantne listove i ateste sa stanovišta zaštite na radu.</t>
  </si>
  <si>
    <t xml:space="preserve">ad.15) </t>
  </si>
  <si>
    <t>Ponuditelji su dužni na zahtjev naručitelja predočiti uzorke ili omogućiti prezentaciju bilo koje stavke troškovnika.</t>
  </si>
  <si>
    <t>ad.16)</t>
  </si>
  <si>
    <t>Zidne slavine su u troškovniku instalacija vode i kanalizacije osim na mjestima gdje su predviđene profesionalne slavine s tuš miješalicom.</t>
  </si>
  <si>
    <t>ad.17)</t>
  </si>
  <si>
    <t>Istovrsne strojeve različitih kapaciteta (rashladni elementi, strojevi za pranje suđa, i parnokonvekcijske peći,) nuditi od istog proizvođača radi lakše uporabe i servisiranja.</t>
  </si>
  <si>
    <t xml:space="preserve">ad.18) </t>
  </si>
  <si>
    <t>Svi rashladni uređaji moraju se moći zaključavati.</t>
  </si>
  <si>
    <t>ad.19)</t>
  </si>
  <si>
    <t>Prije izrade i isporuke opreme obavezna izmjera na objektu i usklađivanje.</t>
  </si>
  <si>
    <t xml:space="preserve">ad.20) </t>
  </si>
  <si>
    <t>Nakon montaže opreme ishoditi atest o njenoj funkcionalnosti na izvedenoj instalaciji.</t>
  </si>
  <si>
    <t>NAPOMENA :</t>
  </si>
  <si>
    <t>Prije izrade opreme po narudžbi (spec.) obavezna izmjera na objektu.</t>
  </si>
  <si>
    <t>Sheme i radioničke nacrte daje dobavljač opreme.</t>
  </si>
  <si>
    <t>Zidne slavine su u instalaterskom troškovniku a sifoni sudopera dio opreme.</t>
  </si>
  <si>
    <t>GARDEROBA I SANITARIJE OSOBLJA</t>
  </si>
  <si>
    <t>Garderobna klupa dim. 65x40x40 cm tip: spec. Izrada prema izmjeri i uzimanju šablone na objektu</t>
  </si>
  <si>
    <t>IZDAVANJE JELA</t>
  </si>
  <si>
    <t>2.1.1</t>
  </si>
  <si>
    <t>2.1.2</t>
  </si>
  <si>
    <t>2.1.3</t>
  </si>
  <si>
    <t>2.1.4</t>
  </si>
  <si>
    <t>2.1.5</t>
  </si>
  <si>
    <t>PROSTIRKA za ležaljku iz st. 4</t>
  </si>
  <si>
    <t>2.1.6</t>
  </si>
  <si>
    <t>PLAHTA za ležaljku iz st. 4.</t>
  </si>
  <si>
    <t>2.1.7</t>
  </si>
  <si>
    <t>2.1.8</t>
  </si>
  <si>
    <t>2.1.9</t>
  </si>
  <si>
    <t>NOSAČ ZA LEŽALJKU iz st. 4, dim. 138x55x13 cm, metalna plastificirana konstrukcija, na kotačićima</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</si>
  <si>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</si>
  <si>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</si>
  <si>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</si>
  <si>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</si>
  <si>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</si>
  <si>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</si>
  <si>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</si>
  <si>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</si>
  <si>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</si>
  <si>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</si>
  <si>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</si>
  <si>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</si>
  <si>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</si>
  <si>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</si>
  <si>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</si>
  <si>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</si>
  <si>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</si>
  <si>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</si>
  <si>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</si>
  <si>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</si>
  <si>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</si>
  <si>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</si>
  <si>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</si>
  <si>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</si>
  <si>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</si>
  <si>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gar</t>
  </si>
  <si>
    <t>2.1.35</t>
  </si>
  <si>
    <t>2.1.36</t>
  </si>
  <si>
    <t>2.1.37</t>
  </si>
  <si>
    <t>2.1.38</t>
  </si>
  <si>
    <t>2.1.39</t>
  </si>
  <si>
    <t>2.1.40</t>
  </si>
  <si>
    <t>2.1.41</t>
  </si>
  <si>
    <t>2.1.42</t>
  </si>
  <si>
    <t>2.1.43</t>
  </si>
  <si>
    <t>2.1.44</t>
  </si>
  <si>
    <t>2.2.1</t>
  </si>
  <si>
    <t>2.2.2</t>
  </si>
  <si>
    <t>6</t>
  </si>
  <si>
    <t>2.3.1</t>
  </si>
  <si>
    <t>2.3.2</t>
  </si>
  <si>
    <t>2.3.3</t>
  </si>
  <si>
    <t>PROSTIRKA za ležaljku iz st. 4.</t>
  </si>
  <si>
    <t>NOSAČ ZA LEŽALJKU iz st. 4dim. 138x55x13 cm, metalna plastificirana konstrukcija, na kotačićima</t>
  </si>
  <si>
    <t>2.4.1</t>
  </si>
  <si>
    <t>2.4.2</t>
  </si>
  <si>
    <t>2.4.3</t>
  </si>
  <si>
    <t>SANITARIJE VRTIĆ</t>
  </si>
  <si>
    <t>2.5.1</t>
  </si>
  <si>
    <t>SANITARIJE VRTIĆ UKUPNO:</t>
  </si>
  <si>
    <t>ODGAJATELJI</t>
  </si>
  <si>
    <t>POSUDA ZA OTPATKE sa gumenim okvirom, perforirani promjer 30 cm, h=30 cm
šifra u nacrtu: 8.5</t>
  </si>
  <si>
    <t>ODGAJATELJI UKUPNO:</t>
  </si>
  <si>
    <t>REKAPITULACIJA RADOVA OPREMANJA INTERIJERA:</t>
  </si>
  <si>
    <t>RADOVI OPREMANJA INTERIJERA UKUPNO:</t>
  </si>
  <si>
    <t>HRN EN 1729-1:2016 ili jednakovrijedno</t>
  </si>
  <si>
    <t>HRN EN 1729-1:2016/Ispr.1:2016 ili jednakovrijedno</t>
  </si>
  <si>
    <t>HRN EN 1729-2:2016 ili jednakovrijedno</t>
  </si>
  <si>
    <t>HRN EN 527-1:2011 ili jednakovrijedno</t>
  </si>
  <si>
    <t>HRN EN 527-2:2016 ili jednakovrijedno</t>
  </si>
  <si>
    <t>HRN EN 527-1:2003 ili jednakovrijedno</t>
  </si>
  <si>
    <t>HRI CEN/TR 14073-1:2008 ili jednakovrijedno</t>
  </si>
  <si>
    <t>HRN EN 14073-2:2008 ili jednakovrijedno</t>
  </si>
  <si>
    <t>HRN EN 14073-3:2008 ili jednakovrijedno</t>
  </si>
  <si>
    <t>HRN EN 14074:2008 ili jednakovrijedno</t>
  </si>
  <si>
    <t>HRN EN 71-1:2015: HRN EN 71-1:2015/Ispr.1:2016 ili jednakovrijedno</t>
  </si>
  <si>
    <t>HRN EN 71-2:2014 ili jednakovrijedno</t>
  </si>
  <si>
    <t>HRN EN 71-3:2017 ili jednakovrijedno</t>
  </si>
  <si>
    <t>ADMINISTRACIJA</t>
  </si>
  <si>
    <t>1.5</t>
  </si>
  <si>
    <t>ADMINISTRACIJA UKUPNO:</t>
  </si>
  <si>
    <t>VRTIĆKE JEDINICE</t>
  </si>
  <si>
    <t>2.2</t>
  </si>
  <si>
    <t>2.1</t>
  </si>
  <si>
    <t>2.3</t>
  </si>
  <si>
    <t>2.4</t>
  </si>
  <si>
    <t>2.5</t>
  </si>
  <si>
    <t>VRTIĆKE JEDINICE UKUPNO:</t>
  </si>
  <si>
    <t>GOSPODARSTVO</t>
  </si>
  <si>
    <t>3.1.</t>
  </si>
  <si>
    <t>3.1.1</t>
  </si>
  <si>
    <t>3.1.2</t>
  </si>
  <si>
    <t>3.1.3</t>
  </si>
  <si>
    <t>3.1</t>
  </si>
  <si>
    <t>3.2</t>
  </si>
  <si>
    <t>3.2.1</t>
  </si>
  <si>
    <t>3.2.2</t>
  </si>
  <si>
    <t>3.2.3</t>
  </si>
  <si>
    <t>3.2.4</t>
  </si>
  <si>
    <t>3.2.5</t>
  </si>
  <si>
    <t>3.2.6</t>
  </si>
  <si>
    <t>3.2.7</t>
  </si>
  <si>
    <t>3.2.8</t>
  </si>
  <si>
    <t>3.2.9</t>
  </si>
  <si>
    <t>3.2.10</t>
  </si>
  <si>
    <t>3.2.11</t>
  </si>
  <si>
    <t>3.2.12</t>
  </si>
  <si>
    <t>3.2.13</t>
  </si>
  <si>
    <t>3.2.14</t>
  </si>
  <si>
    <t>3.2.15</t>
  </si>
  <si>
    <t>3.2.16</t>
  </si>
  <si>
    <t>3.2.17</t>
  </si>
  <si>
    <t>3.2.18</t>
  </si>
  <si>
    <t>3.2.19</t>
  </si>
  <si>
    <t>3.2.21</t>
  </si>
  <si>
    <t>3.2.22</t>
  </si>
  <si>
    <t>3.2.23</t>
  </si>
  <si>
    <t>3.2.24</t>
  </si>
  <si>
    <t>3.2.25</t>
  </si>
  <si>
    <t>3.2.26</t>
  </si>
  <si>
    <t>3.2.27</t>
  </si>
  <si>
    <t>3.2.28</t>
  </si>
  <si>
    <t>3.2.29</t>
  </si>
  <si>
    <t>3.2.30</t>
  </si>
  <si>
    <t>3.2.31</t>
  </si>
  <si>
    <t>3.2.32</t>
  </si>
  <si>
    <t>3.2.33</t>
  </si>
  <si>
    <t>3.2.35</t>
  </si>
  <si>
    <t>KUHINJA UKUPNO</t>
  </si>
  <si>
    <t>GOSPODARSTVO UKUPNO:</t>
  </si>
  <si>
    <r>
      <t>Stolice i stolovi</t>
    </r>
    <r>
      <rPr>
        <sz val="9"/>
        <rFont val="Arial"/>
        <family val="2"/>
        <charset val="238"/>
      </rPr>
      <t xml:space="preserve"> za predškolsku i školsku razinu moraju biti usklađeni sa zahtjevima norma:</t>
    </r>
  </si>
  <si>
    <r>
      <t xml:space="preserve">Svi ormari </t>
    </r>
    <r>
      <rPr>
        <sz val="9"/>
        <rFont val="Arial"/>
        <family val="2"/>
        <charset val="238"/>
      </rPr>
      <t>trebaju biti sukladni normi HRN EN 16121:2017 ili jednakovrijedno</t>
    </r>
  </si>
  <si>
    <r>
      <t>Ostali stolovi</t>
    </r>
    <r>
      <rPr>
        <sz val="9"/>
        <rFont val="Arial"/>
        <family val="2"/>
        <charset val="238"/>
      </rPr>
      <t xml:space="preserve"> norma HRN EN 15372:2016 ili jednakovrijedno</t>
    </r>
  </si>
  <si>
    <r>
      <t>Stolice konferencijske i za osoblje</t>
    </r>
    <r>
      <rPr>
        <sz val="9"/>
        <rFont val="Arial"/>
        <family val="2"/>
        <charset val="238"/>
      </rPr>
      <t xml:space="preserve"> HRN EN 16139:2013; HRN EN 16139:2013/Ispr.1:2013 ili jednakovrijedno</t>
    </r>
  </si>
  <si>
    <r>
      <t>Didaktika i igraonica norma</t>
    </r>
    <r>
      <rPr>
        <sz val="9"/>
        <rFont val="Arial"/>
        <family val="2"/>
        <charset val="238"/>
      </rPr>
      <t xml:space="preserve">: </t>
    </r>
  </si>
  <si>
    <r>
      <t>Namještaj za prematanje</t>
    </r>
    <r>
      <rPr>
        <sz val="9"/>
        <rFont val="Arial"/>
        <family val="2"/>
        <charset val="238"/>
      </rPr>
      <t xml:space="preserve"> HRN EN 12221-1:2013 i HRN EN 12221-2:2013 ili jednakovrijedno</t>
    </r>
  </si>
  <si>
    <t>SOBA ZA IZOLACIJU</t>
  </si>
  <si>
    <t>ORMAR sa policama i punim vratima u donjem dijelu i punim vratima u gornjem djelu, izrađen iz iverala 18 mm, prihvatnici metalni 96 mm, postavljen je na 4 kvadratne nogice sive boje
dim.80x40x200cm</t>
  </si>
  <si>
    <t>POSUDA ZA OTPATKE sa gumenim okvirom, perforirani promjer 30 cm, h=40 cm</t>
  </si>
  <si>
    <t>KREVET dimenzija 80x200 cm, okvir izrađen od iverala debljine 18 mm. Ucijenu uključena anatomska podnica i madrac od pjene.</t>
  </si>
  <si>
    <t>SOBA ZA IZOLACIJU UKUPNO:</t>
  </si>
  <si>
    <t>Garderobni ormar dvodjelni sa bravicom, u gornjem dijelu polica, ispod prečka za vješalice. Izrađen iz iverala 18 mm. Ormar ima otvore za zračenje fi 40 mm i metalne ringove, prihvatnik metalni 96 mm. Ormar ima metalne kvadratne nogice 40/40x100 mm, dim. 30x50xh=180 + 10 cm nogice.</t>
  </si>
  <si>
    <t>ORMAR SA POLICAMA I PUNIM VRATIMA, izrađen iz iverala 18 mm bijele boje, prihvatnici metalni 96 mm, postavljen je na 4 kvadratne nogice sive boje, dim.80x40x200 cm</t>
  </si>
  <si>
    <t>Konferencijska stolica sa sjedalom tapeciranim u eko-kožu u boji po izboru te naslonom u crnoj mreži. Postolje stolice kromirana skija, rukonasloni kromirani sa štitnicima od crne plastike.</t>
  </si>
  <si>
    <t>1.2.10</t>
  </si>
  <si>
    <t>OGLASNI ORMARIĆ sa staklenim vratima, bravicom i ključem i skrivenim okovom, u metalnom plastificiranom okviru, pozadina pluto, dim. 100x100 cm.</t>
  </si>
  <si>
    <t xml:space="preserve">LEŽALJKA, od vatrootporne tkanine, okvir od čelika, sa čvrstim zaobljenim uglovima u boji prema boji tkanine. Kreveti se mogu slagati jedan u drugi zahvaljujući utorima za noge na uglovima. Dim. 138x55x13 cm. </t>
  </si>
  <si>
    <t>FOTELJA okvirne dim 40x60x60 cm visina sjedenja 32 cm</t>
  </si>
  <si>
    <t>DVOSJED okvirne dim 80x60x60 cm visina sjedenja 32 cm</t>
  </si>
  <si>
    <t>KUTNA FOTELJA 60x60x60 cm</t>
  </si>
  <si>
    <t>KOCKASTI TABURE 60x60x32 cm</t>
  </si>
  <si>
    <t xml:space="preserve">ZIDNI PANO MAGNETNI u alu okviru, dim. 80x120 cm </t>
  </si>
  <si>
    <t>ZIDNI PANO PLUTO u alu okviru, dim. 80x120 cm</t>
  </si>
  <si>
    <t>HOKLICA h=31 cm, sjedište okruglo promjera 30 cm sa 4 noge otpresak šper.</t>
  </si>
  <si>
    <t>ORMAR S POLICAMA izrađen iz iverala 18 mm bijele boje, u donjem dijelu otvorene police do visine 120 cm  sa pretincima ukupno 15 pretinaca. U gornjem dijelu ormara visine 60 cm 1 polica i vrata. Ormari imaju sokl od 10 cm. U pretince se stavljaju drvene kutije za didaktiku, dim. 90x50x180 cm</t>
  </si>
  <si>
    <t>ORMAR izrađen iz iverala 18 mm bijele boje sa otvorenim policama, u donjem i gornjem dijelu visine 60 cm vrata unutar kojih se nalazi po 1 polica. Sokl ormara 10 cm. Između gornjih i donjih ormara nalazi se otvoreni dio s 1 policom. Dim. 90x50x180 cm</t>
  </si>
  <si>
    <t>KUHINJA TRADICIONALNA izrađena iz masivnog drveta d=20 mm, u čijem sastavu u donjem dijelu je: štednjak sa pećnicom, sudoper sa ormarićem, otvorena polica, a u gornjem djelu police sa 2 ladice i mikrovalna pećnica, dim. 120x40x115 cm</t>
  </si>
  <si>
    <t>STRUNJAČA ispunjena spužvom obučena u umjetnu kožu boja po izboru,  dim. 150x150x4 cm</t>
  </si>
  <si>
    <t>Ogledalo u drvenom okviru izrađen od brezinog iverala dim.60x120 cm</t>
  </si>
  <si>
    <t>Drveni krevetić za lutku sa posteljinom, dimenzije: 58x30x33 cm, izrađen od jelovine .</t>
  </si>
  <si>
    <t xml:space="preserve">Drvena kolijevka za lutku s baldahinom i posteljinom. Dim.: 56x37x79 cm, izrađena od jelovine </t>
  </si>
  <si>
    <t>Drvena kolica za lutke sa platnenim sjedalom i gumenim kotačima, visina 60 cm</t>
  </si>
  <si>
    <t>Trostrani magnetni stalak. Dim. ploče: 60,5x60,5 cm. Vis. stalka: 121 cm. Mjesto za istovremenu uporabu tri korisnika na trostranom magnetnom stalku čija se visina može prilagođavati. Svaka strana stalka ima dvije stezaljke za papir i plastični podložak s posudicama za boje (ukupno 12 posudica s poklopcem).</t>
  </si>
  <si>
    <t xml:space="preserve">Metalni stalak sa 25 polica za sušenje likovnih radova. Istovremeno se može sušiti 25 listova A3 dimenzije ili 50 listova A4 dimenzije. Stabilan i mobilan (4 kotača). Materijal: lakirani čelik. Dimenzije: 42,5x41x98 cm. </t>
  </si>
  <si>
    <t>12</t>
  </si>
  <si>
    <t xml:space="preserve">LEŽALJKA, od vatrootporne tkanine, RAL 5012, okvir od čelika, sa čvrstim zaobljenim uglovima u boji prema boji tkanine. Kreveti se mogu slagati jedan u drugi zahvaljujući utorima za noge na uglovima. Dim. 138x55x13 cm. </t>
  </si>
  <si>
    <t>DJEČJI STOLIĆ ZA IGRU OKRUGLI sa križnim nogama
izrađen iz šperploče obostrano furnirane brezovim furnirom 15 mm fino obrađenih rubova, dim. ø 50xh=53 cm</t>
  </si>
  <si>
    <t>HOKLICA h=31 cm, sjedište okruglo promjera 30 cm sa 4 noge otpresak šper</t>
  </si>
  <si>
    <t>STRUNJAČA ispunjena spužvom obučena u umjetnu kožu boja po izboru, donja strana protuklizna, dim. 150x150x4 cm</t>
  </si>
  <si>
    <t>Metalni stalak sa 25 polica za sušenje likovnih radova. Istovremeno se može sušiti 25 listova A3 dimenzije ili 50 listova A4 dimenzije. Stabilan i mobilan (4 kotača). Materijal: lakirani čelik. Dimenzije: 42,5x41x98 cm</t>
  </si>
  <si>
    <r>
      <t xml:space="preserve">Paravan - kazalište </t>
    </r>
    <r>
      <rPr>
        <sz val="9"/>
        <color indexed="8"/>
        <rFont val="Arial"/>
        <family val="2"/>
        <charset val="238"/>
      </rPr>
      <t>JEŽ kazališni paravan na drvenom stalku. Dimenzije: 92x40x154 cm</t>
    </r>
  </si>
  <si>
    <t xml:space="preserve">Kutić za preoblačenje dim.72x136,5xx56,5 cm. Savršena garderoba za male glumce. Ladica na kotačima i prečka za odjeću daju puno prostora za kostime i razne dodatke. Na bočnoj strani nalazi se mali stolić sa ogledalom. Visina sjedala: 31 cm. Materijal: laminiran brezin iveral, medijapan u boji </t>
  </si>
  <si>
    <t>Trgovina s tendom izrađena je od brezina drva te sadrži mnoštvo detalja koji čine svaku pravu trgovinu: pult, policu s pregradama za gajbice, mnoštvo malih polica, platnenu vreću i 4 male ladice. Tenda: 100% pamuk Dimenzije: 95x108x123 cm</t>
  </si>
  <si>
    <t>Radni pult za male majstore (s alatom). Junior stol podesiv po visini, izrađen od masivnog drveta. Dolazi u setu s pravim alatom u kutiji (ukupno 32 komada). Škripac se može izvući do 15 cm. Stražnja strana: šperploča 71x25 cm. Ispod stola nalazi se prostor s kliznim vratima (62x24x20 cm) Dimenzije: 71x94x54 cm, visina od 58 cm do 73 cm.</t>
  </si>
  <si>
    <t>VANJSKA OPREMA</t>
  </si>
  <si>
    <t>VANJSKA OPREMA UKUPNO:</t>
  </si>
  <si>
    <t>Nabava, transport i postava sprava za dječju igru prema uputama proizvođača u skladu s detaljima i specifikacijama iz projekta krajobraznog uređenja. Jedinične cijene obuhvaćaju izradu temelja za svaku pojedinu spravu, sav potreban osnovni i dodatni materijal i rad, sve po konačne upotrebljivosti. Obračun po kom.</t>
  </si>
  <si>
    <t>4.1</t>
  </si>
  <si>
    <t>4.2</t>
  </si>
  <si>
    <t>4.3</t>
  </si>
  <si>
    <t>4.4</t>
  </si>
  <si>
    <t>4.5</t>
  </si>
  <si>
    <t>4.6</t>
  </si>
  <si>
    <t>4.7</t>
  </si>
  <si>
    <t>4.8</t>
  </si>
  <si>
    <t>4.9</t>
  </si>
  <si>
    <t>4.10</t>
  </si>
  <si>
    <t>4.11</t>
  </si>
  <si>
    <t>4.12</t>
  </si>
  <si>
    <t>4.13</t>
  </si>
  <si>
    <t>Kombinirano igralo
Dim: 360x200x200 cm aluminijski, drveni, čelični proﬁli,
tobogan poliester ili inox, HDPE ili HPL
Igralo ima konstrukciju izrađenu od aluminijskih ovalnih nehrđajućih profila tlocrtnog presjeka 72x105mm, cijevi iznutra ojačanih pregradama, koje čine 4 zasebne komore. Površinski zaštićeno plastificiranjem u dva sloja. Dekorativne ograde u obliku gljive i panja, izrađene od  PE ploča troslojnih u dvije boje. Gljiva i panj – povezani su tunelom za provlačenje od poliestera.
Igralo sadrži:
– kućicu u obliku gljive izrađenu od tvrde ploče troslojnog polietilena u dvije boje
– kućicu u obliku panja izrađenu od tvrde ploče troslojnog polietilena u dvije boje
– stepenice s podestom
– tunel za provlačenje izrađen od poliestera, radijusa cca 80 cm
–  ploču za spuštanje – mini tobogan</t>
  </si>
  <si>
    <t>Tobogan za postavljanje na prirodnu uzbrdicu, kao Tobogan ravni na brdu
Dužina:  450 x 60 x 200 cm, Materijal:  metalni profili, korito poliester
Tobogan se sastoji od male metalne konstrukcije na koju je pričvršćeno  korito. Metalna  konstrukcija tobogana  temelji se u betonske stope. Tobogan ravni dužine 450 cm idealan je za postavljanje na brežuljkastim površinama.</t>
  </si>
  <si>
    <t>Penjalica sa malim mrežama.
Dim: 100 x 100 x 120 cm, drvo masiv, metal, mreža od užadi.
Penjalica ima konstrukciju izrađenu od troslojno lameliranih drvenih greda koje su bojane ekološkim bojama. Drveni dijelovi penjalice stolarski su obrađeni i zaobljenih bridova. Mreže za penjanje izrađene od čelične jezgre i opletene kvalitetnim poliamidnim užetom u boji. Metalni dijelovi penjalice su plastificirani ili kvalitetno lakirani vedrim bojama. Penjalica se montira na metalne pocinčane ankere koji se temelje u tlo.</t>
  </si>
  <si>
    <t>Trodijelna jednostavna visilica
Visilica 350x20x80/110 cm,  troslojno lamelirano drvo, HDPE ili HPL 
ploče, poliester, čelični proﬁli
Visilica ima nosivi dio konstrukcije koji je izrađen od kvalitetnog crnogoričnog drveta , dubinski impregniranog pod pritiskom što mu osigurava odličnu zaštitu od vremenskih utjecaja. Metalni dijelovi visilice su plastificirani ili kvalitetno lakirani vedrim bojama. Konstrukcija visilice je montirana na čelične kutne pocinčane ankere koji se temelje u betonsku stopu. Drveni dio visilice  nema doticaja sa tlom te je vijek visilice znatno produžen.</t>
  </si>
  <si>
    <t>Školica od lijevane gume (s kvadratnim poljima)
300 x 100 cm, 10 numeriranih dvobojnih kvadratnih polja, gumeni granulat</t>
  </si>
  <si>
    <t>Klackalica na 2 opruge
Konstrukcija: izrađena od dva aluminijska ovalna i nehrđajuća profila tlocrtnog presjeka 72x105mm. Profil je iznutra ojačan pregradama, koja čine 4 zasebne komore. Aluminijska konstrukcija učvršćena je na dvije opruge te na čeličnu konstrukciju koja se temelji u tlo. Vijci i spojni materijali zatvoreni su u poliamidna anti-vandal kućišta.
Likovi i sjedišta: izrađeni od polietilen ploča. Polietilen dijelovi klackalice izvedeni su zaobljenih rubova i ergonomski oblikovani, što povećava sigurnost i lakoću uporabe klackalice.
Opruga: izrađena od toplo cinčanog plastificiranog čelika.
Rukohvati i držači za noge izrađeni su od poliamida, ergonomski oblikovani.
Površinska zaštita:
Aluminijski profil: plastifikacija;
Čelični profil: toplo cinčanje i plastifikacija.
Montaža: Klackalica se montira na čelične ankere koji se temelje u prethodno pripremljeni iskop ili priprema za tiplanje na prethodno pripremljenu podlogu.</t>
  </si>
  <si>
    <t xml:space="preserve">Penjalica s mrežom
Dim: Ø 190x250 cm
Penjalica sa mrežom izvedena je od metalnih profila. Srednji nosivi stup temeljen je u betonsku stopu. Od čelične sajle opletene užetom u boji izrađena je mreža koja je postavljena u obliku stošca. Konstrukcija mreže sa donjim prstenom postavljena je oko srednjeg nosivog stupa. </t>
  </si>
  <si>
    <t>Provlačilica metalna okrugla
160 x 70 x 80 cm, metalni profili, drvo masiv
Provlačilica metalna okrugla  izrađena je u kombinaciji metala i drveta. Metalnu konstrukciju čini niz metalnih prstenova promjera cca 70cm koji su međusobno u donjem dijelu povezani i drvenom stazom koja olakšava kretanje kroz tunel.</t>
  </si>
  <si>
    <t>Pješčanik kružnog ili poligonalnog tlocrta max. Dimenzije 400 x 400cm
Ø400cm visina 20 cm
Pješčanik izrađen od kvalitetnog crnogoričnog drveta –  greda, bojan kvalitetnim ekološkim bojama. Drveni dijelovi stolarski obrađeni, zaobljenih bridova. Pješčanik se temelji u tlo čeličnim ankerima.
U cijenu uključiti i nabavku svog potrebnog pomoćnog materijala, te opremanje pijeskom odgovarajuće kvalitete.</t>
  </si>
  <si>
    <t>Visoki vrt pravokutnog tlocrta tlocrta max. Dimenzije 300 x 100 x 60 cm.
Vrt  izrađen od kvalitetnog crnogoričnog drveta –  greda, bojan kvalitetnim ekološkim bojama. Drveni dijelovi stolarski obrađeni, zaobljenih bridova. Vrt se temelji u tlo čeličnim ankerima.
U cijenu uključiti i nabavku svog potrebnog pomoćnog materijala.</t>
  </si>
  <si>
    <t>Dobava i postava koševa za otpatke od pocinčanog i plastificiranog čelika, izrađena iz čeličnih profila i punog i perforiranog lima, s poklopcem, namijenjenih za korištenje sa standardnim vrećama za smeće, zapremine 100 - 120l, valjkastog oblika. Učvršćava se vijcima u podlogu. U cijenu uključeno izvođenje podloge od mršavog betona, po potrebi, te sav osnovni i dodatni materijal i rad, do potpune upotrebljivosti. Obračun po komadu postavljenog koša.</t>
  </si>
  <si>
    <t>Filip Cvitak, dia</t>
  </si>
  <si>
    <t>Utovar na kamion i odvoz viška iskopanog materijala na deponij. U cijeni utovar, istovar, transport te sve manipulativne radnje tijekom procesa. Deponij se nalazi u krugu radijusa do 30 km.</t>
  </si>
  <si>
    <t>Betoniranje armirano betonskih nosivih zidova u glatkoj oplati završno spremno za soboslikarsku obradu ili keramičarske radove,  debljine 20-25 cm, betonom klase C25/30 pripremljenim u betonari. Betoniranje zidova izvesti sukladno Programu kontrole i kvalitete, u pripremljenu dvostranu glatku oplatu uz obavezno pervibriranje. U oplati zida predvidjeti sva oslabljenja i otvore, te ugraditi sve potrebne instalacije. Razred čvrstoće betona C25/30. Razred izloženosti XC2. Razred konzistencije S3. Razred sadržaja klorida Cl 0.2. Razred maksimalnog zrna agregata Dmax16. Nakon ugradnje betona potrebno je obavezno njegovati beton sukladno Programu kontrole i kvalitete. Cijena stavke uključuje nabavu i dopremu na gradilište betona klase C25/30, spravljenog u betonari, te sav potreban osnovni i pomoćni materijal, te rad ljudi i strojeva pri ugradnji.</t>
  </si>
  <si>
    <t>Toplinska izolacija ploča i zidova u zemlji</t>
  </si>
  <si>
    <t>Dobava i ugradba parne brane na ravnom/kosom krovu;  fleksibilne polimerbitumenske trake, uložak Al folija. (HRN U.M3.230 ili jednakovrijedno), polagati na razdijelni sloj, geotekstil min. 300g/m2. Istu vrstu geotekstila poloižiit na TPO kao razdijelni sloj prema šljunku koji se postavlja iznad. U stavku uključiti oba sloja geotekstila.</t>
  </si>
  <si>
    <t>Izrada, dopremanje i ugradnja kliznih, dvodijelnih metalnih vrata, na kolnom ulazu na parcelu. Vrata se ugrađuju između nosivih čeličnih stupova, postavljenih na prethodno izvedene AB temeljne stope. Kolni ulaz je horizontalan, te se vrata izvode u horizontalnoj ravnini, te kližu po donjoj vodilici. Okvirna konstrukcija će se izvesti od čeličnih profila sandučastog presjeka prema zahtjevima proračuna, a ispuna se izvodi od vertikalnih čeličnih šipki manjeg presjeka, na osnom razmaku od max. 130mm. Kako se vrata nalaze na kosini bitno je postaviti stopere i graničnike. U prethodno izvedeni betonski kanal polaže se čelična vodilica - utor. U cijenu stavke uključiti sav rad i materijal potreban za izvedbu i ugradnju vrata, sve do konačne gotovosti, uključivo elektromotor, brave s ključem, kvake, sve potrebno za daljinsko otvaranje i sl. Sve čelične elemente obraditi protiv hrđe pocinčavanjem, te bojati u ton i boju RAL 7016. U stavku su uključena sva osnovna i pomoćna sredstva, rad i transport, sve do potpune gotovosti proizvoda, uključivo i izrada radioničkih nacrta koje, zajedno s uzorcima, obavezno treba dati na odobrenje projektantu. Obračun po komadu gotovog proizvoda.</t>
  </si>
  <si>
    <t>dim. 120x140 cm</t>
  </si>
  <si>
    <t>ST 2_staklo tip B</t>
  </si>
  <si>
    <t>ST 3_staklo tip B</t>
  </si>
  <si>
    <t>ST 4_staklo tip B</t>
  </si>
  <si>
    <t>ST 5_staklo tip B</t>
  </si>
  <si>
    <t>ST 6_staklo tip B</t>
  </si>
  <si>
    <t>ST 7_staklo tip B</t>
  </si>
  <si>
    <t>ST 8_staklo tip B</t>
  </si>
  <si>
    <t>Dobava materijala i izvedba horizontalnog i kosog opšava krova iz  pocinčanog lima debljine 0,55 mm .  Cijene uključuje opšavni lim rš 850 mm,  sav spojni i pričvrsni pribor  neophodan za njegovo funkcioniranje.  Savijanje i profilacija prema detaljima iz izvedbenog projekta.
RAL 7016</t>
  </si>
  <si>
    <t>Izvedba spuštenog stropa iz GK ploča na metalnoj potkonstrukciji -  spuštanje stropa 35 cm u prizemlju</t>
  </si>
  <si>
    <t>ORMAR sa policama, a u gornjem dijelu staklena vrata, izrađen iz iverala 18 mm, prihvatnici metalni 96 mm, postavljen je na 4 kvadratne nogice sive boje
dim.80x40x200 cm</t>
  </si>
  <si>
    <t>1.1.11</t>
  </si>
  <si>
    <t>1.2.</t>
  </si>
  <si>
    <t>1.3.</t>
  </si>
  <si>
    <t>1.3.2</t>
  </si>
  <si>
    <t>1.3.3</t>
  </si>
  <si>
    <t>1.3.4</t>
  </si>
  <si>
    <t>1.3.5</t>
  </si>
  <si>
    <t>1.3.6</t>
  </si>
  <si>
    <t>1.3.7</t>
  </si>
  <si>
    <t>1.3.8</t>
  </si>
  <si>
    <t>1.4.</t>
  </si>
  <si>
    <t>1.4.1</t>
  </si>
  <si>
    <t>1.4.2</t>
  </si>
  <si>
    <t>1.4.3</t>
  </si>
  <si>
    <t>VRTIĆKA TIP 1</t>
  </si>
  <si>
    <t>VRTIĆKA GRUPA TIP 1 UKUPNO:</t>
  </si>
  <si>
    <t>GARDEROBA UZ TIP 1</t>
  </si>
  <si>
    <t>2.2.3</t>
  </si>
  <si>
    <t>GARDEROBA UZ TIP 1 UKUPNO:</t>
  </si>
  <si>
    <t>VRTIĆKA TIP 2</t>
  </si>
  <si>
    <t>2.3.4</t>
  </si>
  <si>
    <t>2.3.5</t>
  </si>
  <si>
    <t>2.3.6</t>
  </si>
  <si>
    <t>2.3.7</t>
  </si>
  <si>
    <t>2.3.8</t>
  </si>
  <si>
    <t>2.3.9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</si>
  <si>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</si>
  <si>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</si>
  <si>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</si>
  <si>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</si>
  <si>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</si>
  <si>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</si>
  <si>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</si>
  <si>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</si>
  <si>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</si>
  <si>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</si>
  <si>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</si>
  <si>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</si>
  <si>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</si>
  <si>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</si>
  <si>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</si>
  <si>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</si>
  <si>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</si>
  <si>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</si>
  <si>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</si>
  <si>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</si>
  <si>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</si>
  <si>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</si>
  <si>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</si>
  <si>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</si>
  <si>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</si>
  <si>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</si>
  <si>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</si>
  <si>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</si>
  <si>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</si>
  <si>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</si>
  <si>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VRTIĆKA TIP 2 UKUPNO:</t>
  </si>
  <si>
    <t>GARDEROBA UZ TIP 2:</t>
  </si>
  <si>
    <t>GARDEROBA UZ TIP 2 UKUPNO:</t>
  </si>
  <si>
    <t>Sadnja grmlja</t>
  </si>
  <si>
    <t>Iskop jame za sadnju grmlja veličine 50x50x50cm odnosno dimenzija prilagođenih veličini korijenove grude - bale. Rahljenje dna jame, ispuna jame s dobrim vrtnim tlom obogaćenim s 9 lit. stajskog gnoja.  Sadnja penjačica uz formiranje zdjelice i zalijevanje penjačica.</t>
  </si>
  <si>
    <t>Acer platanoides Globosum</t>
  </si>
  <si>
    <t>Abies alba Mill.</t>
  </si>
  <si>
    <t>Actinidia deliciosa</t>
  </si>
  <si>
    <t>Pyrus communis L.</t>
  </si>
  <si>
    <t>Prunus domestica L.</t>
  </si>
  <si>
    <t>Prunus avium L.</t>
  </si>
  <si>
    <t>Prunus cerasus L.</t>
  </si>
  <si>
    <t>Parthenocissus quinquefolia, visina grma 60-80 cm</t>
  </si>
  <si>
    <t>SPREMIŠTE</t>
  </si>
  <si>
    <t>PRIPREMA MESA</t>
  </si>
  <si>
    <t>PRANJE BIJELOG SUĐA</t>
  </si>
  <si>
    <t>3.2.36</t>
  </si>
  <si>
    <t>3.2.37</t>
  </si>
  <si>
    <t>3.2.38</t>
  </si>
  <si>
    <t>3.2.39</t>
  </si>
  <si>
    <t>OSTALA OPREMA</t>
  </si>
  <si>
    <t>SOLARNA ELEKTRANA</t>
  </si>
  <si>
    <t>Izrada travnjaka</t>
  </si>
  <si>
    <t>Izrada travnjaka koja uključuje:</t>
  </si>
  <si>
    <t>fino planiranje terena za sjetvu na točnost +/- 2 cm</t>
  </si>
  <si>
    <t>dopremu i rasipavanje mineralnog gnojiva u količini 3 dkg/m²</t>
  </si>
  <si>
    <t>nabavu i dopremu četverokomponentnog travnog sjemena u smjesi:</t>
  </si>
  <si>
    <t>- LOLIUM PERENE 30 %</t>
  </si>
  <si>
    <t>- POA PRATENSIS 20 %</t>
  </si>
  <si>
    <t>- FESTUCA RUBRA ssp. RUBRA 30 %</t>
  </si>
  <si>
    <t>- FESTUCA RUBRA ssp. COMMUTATA 20 %</t>
  </si>
  <si>
    <r>
      <t>sjetvu travnog sjemena 4 dkg/m</t>
    </r>
    <r>
      <rPr>
        <vertAlign val="superscript"/>
        <sz val="9"/>
        <rFont val="Arial"/>
        <family val="2"/>
      </rPr>
      <t>2</t>
    </r>
    <r>
      <rPr>
        <sz val="9"/>
        <rFont val="Arial"/>
        <family val="2"/>
      </rPr>
      <t xml:space="preserve"> s ježenjem i valjanjem, te jednokratnim zalijevanjem</t>
    </r>
  </si>
  <si>
    <r>
      <t>Izvedba tipske montažne stijene od vatrootpornih gips-kartonskih ploča. Tražena vatrootpornost je 90 minuta (REI90). Stijene u samostojećoj izvedbi, ukupne debljine 150 mm, konstrukcija stijene sidri u ab ploču dolje i gore. Izvesti obostrano obložene dvostrukim protupožarnim masivnim pločama  u protupožarnoj klasi A2  debljine po 2x12,5 mm ( sa svake strane ), sa ispunom ploča mineralne vune debljine 5 cm klase A s točkom topljenja &gt;1000</t>
    </r>
    <r>
      <rPr>
        <vertAlign val="superscript"/>
        <sz val="9"/>
        <rFont val="Arial"/>
        <family val="2"/>
      </rPr>
      <t>o</t>
    </r>
    <r>
      <rPr>
        <sz val="9"/>
        <rFont val="Arial"/>
        <family val="2"/>
      </rPr>
      <t xml:space="preserve"> C, uključivo nosiva potkonstrukcija  tipskih pocinčanih CW i UW profila i brtvljenje spojeva sa susjednim plohama. Po postavi treba spojeve ploča gletati odgovarajućom masom i vidljive plohe premazati odgovarajućom impregnacijom ( sve u cijeni ) za završnu obradu bojanjem. Priložiti valjan certifikat o vatrootpornosti. Obračun po m2 plohe konstrukcije/stijene. Na mjestima otvora, kao pojačanje, ugraditi UA profile d=2 mm.</t>
    </r>
  </si>
  <si>
    <t>Planiranje dna rova s odstupanjem ± 2.0 cm.</t>
  </si>
  <si>
    <t>Dobava  pijeska,  ubacivanje  u rov, te izrada pješčane posteljice na dnu rova, u sloju debljine 10 cm.</t>
  </si>
  <si>
    <t>Zatrpavanje rova materijalom od iskopa, po slojevima  do 30 cm, uz istovremeno obilno močenje i nabijanje materijala ručnim nabijačima. U materijalu ne smije biti kamenja promjera većeg od 12 cm.</t>
  </si>
  <si>
    <t>Dobava i polaganje u rov iznad vodovodnih cijevi PVC trake sa natpisom "POZOR - VODOVOD" i vodljivom žicom za detekciju trase</t>
  </si>
  <si>
    <t xml:space="preserve">Iskop kanala u zemljištu III. kategorije za polaganje kanalizacijskih cijevi. Dubinu 
iskopa izvesti prema projektu, a pad kanala u projektiranom nagibu.Širina rova 0,8m. Predviđen je ručni iskop 30% i strojni iskop 70%.
NAPOMENA: Točnu kategoriju zemlje utvrditi na licu mjesta.
</t>
  </si>
  <si>
    <t>- iskop</t>
  </si>
  <si>
    <t>Dobava pijeska i izrada posteljice za kanalizacijske cijevi. 
Posteljica ispod kanalizacijskih cijevi je debljine 10 cm. Nabija se strojnim i ručnim nabijačima i po potrebi vlaži. Posteljica mora biti ravna, prilagođena obliku cijevi i uzdužnom padu tako da cijevi po cijeloj dužini naliježu na istu.
Podmetanje kamena ispod cijevi ili podupiranje najstrože se zabranjuje.
Obračun po m3 izvedene posteljice.</t>
  </si>
  <si>
    <t xml:space="preserve">Dobava materijala i izrada obloge za kanalizacijske cijevi. 
Oko prethodno montiranih kanalizacijskih cijevi  izvodi se obloga od sitnog materijala - pijesak ili finiji zamjenski materijal iz pozajmišta (0-40 mm), a do visine 30 cm iznad vrha tjemena cijevi. Obračun po m3 izvedene obloge.
</t>
  </si>
  <si>
    <t>Izrada betonskih osiguranja kapa i uporišta vanjskih hidranata betonom C 20. U cijenu uključeno proširenje i produbljenje rova na mjestu uporišta i osiguranja te izvedba u odgovarajučoj oplati.</t>
  </si>
  <si>
    <t>Izrada suhozida oko hidranta uključivo ispuna pijeskom. Suhozid izvesti od opeke dimenzija 12x25x6,5cm.</t>
  </si>
  <si>
    <t>Sve komplet</t>
  </si>
  <si>
    <t>Dobava i montaža svih potrebnih elemenata (NP 10 bara) za izradu hidrantskog priključka. U cijenu su uključeni vijci, sav brtveni i spojni materijal te potreban rad. Obračun po montiranom komadu. Sve komplet.</t>
  </si>
  <si>
    <t>Elektrospojnice za PEHD cijevi</t>
  </si>
  <si>
    <t>PEHD 110 - kom 3</t>
  </si>
  <si>
    <t xml:space="preserve">Tuljak sa prirubnicom </t>
  </si>
  <si>
    <t>DN 110 mm - kom 1</t>
  </si>
  <si>
    <t>EV zasun (tip V2-06)</t>
  </si>
  <si>
    <t>DN 100 mm - kom 1</t>
  </si>
  <si>
    <t>Zasunska kapa - kom 1</t>
  </si>
  <si>
    <t>Obračun po kompletu.</t>
  </si>
  <si>
    <t>Dobava i montaža protupožarnog ormarića za vanjsku hidrantsku mrežu sa svom opremom. U cijenu su uključeni vijci, sav brtveni i spojni materijal te potreban rad.</t>
  </si>
  <si>
    <t>Ključ za spojnice ABC - kom1</t>
  </si>
  <si>
    <t>Tlačna trevira cijev ∅ 52 mm 
l = 20 m sa spojnicama C - kom4</t>
  </si>
  <si>
    <t>Mlaznica sa zasunom ∅ 52 mm  - kom 2</t>
  </si>
  <si>
    <t xml:space="preserve">Ormarić </t>
  </si>
  <si>
    <t>Temelj veličine 30 x 50 x 90 cm iz 
betona C-20 - kom2</t>
  </si>
  <si>
    <t>b) fazonski komadi</t>
  </si>
  <si>
    <t>Provjera ispravnosti montaže svih elemenata instalacije vanjskog vodovoda i kanalizacije, provjera funkcionalnosti, pribavljanje dokaza o kvaliteti izvedenih radova na instalaciji, probno puštanje u rad i primopredaja.</t>
  </si>
  <si>
    <t>DN  50</t>
  </si>
  <si>
    <t>a) cijev PP</t>
  </si>
  <si>
    <t>DN  75</t>
  </si>
  <si>
    <t>Dobava i montaža mrežice veličine polja 1cm2 za montažu na kanalizacijsku vertikalu, za sprječavanje upadanja krupnijeg otpada, ptica i glodavaca.</t>
  </si>
  <si>
    <t xml:space="preserve">Izvedba hidroizolacije oko proboja odzračnih vertikala na krov.  </t>
  </si>
  <si>
    <t>Obračun po kompletu</t>
  </si>
  <si>
    <t>Dobava i montaža kromiranih revizionih vratašca za ugradnju u zid s okvirom i bravicom za otvaranje sa četvrtastim ključem. Sve komplet.</t>
  </si>
  <si>
    <t>vel. 30x30 cm</t>
  </si>
  <si>
    <t>Provjera ispravnosti montaže svih elemenata instalacije, provjera funkcionalnosti, pribavljanje dokaza o kvaliteti izvedenih radova na instalaciji, probno puštanje u rad i primopredaja.</t>
  </si>
  <si>
    <t>Dobava i montaža sanitarnog  pribora:</t>
  </si>
  <si>
    <t>Sapunara-keramička</t>
  </si>
  <si>
    <t>Jed. cijena (€)</t>
  </si>
  <si>
    <t>Iznos (€)</t>
  </si>
  <si>
    <t>d.o.o. za projektiranje i usluge</t>
  </si>
  <si>
    <t>a.</t>
  </si>
  <si>
    <t>Ćire Truhelke 33a</t>
  </si>
  <si>
    <t>o.</t>
  </si>
  <si>
    <t>e.</t>
  </si>
  <si>
    <t>fcvitak@rc-proing.hr</t>
  </si>
  <si>
    <t>m.</t>
  </si>
  <si>
    <t>0989065414</t>
  </si>
  <si>
    <t>naručitelj</t>
  </si>
  <si>
    <t>građevina</t>
  </si>
  <si>
    <t>predmet</t>
  </si>
  <si>
    <t>k.č.</t>
  </si>
  <si>
    <t>k.o.</t>
  </si>
  <si>
    <t>adresa</t>
  </si>
  <si>
    <t>izradio</t>
  </si>
  <si>
    <t>direktor</t>
  </si>
  <si>
    <t>datum</t>
  </si>
  <si>
    <t>07/2024.</t>
  </si>
  <si>
    <t>Općina Orle</t>
  </si>
  <si>
    <r>
      <rPr>
        <b/>
        <sz val="20"/>
        <color indexed="30"/>
        <rFont val="Segoe UI"/>
        <family val="2"/>
        <charset val="238"/>
      </rPr>
      <t>rc</t>
    </r>
    <r>
      <rPr>
        <sz val="20"/>
        <color indexed="30"/>
        <rFont val="Segoe UI"/>
        <family val="2"/>
        <charset val="238"/>
      </rPr>
      <t>-proing</t>
    </r>
  </si>
  <si>
    <t>Orle 5</t>
  </si>
  <si>
    <t>10 411 Orle</t>
  </si>
  <si>
    <t>Dječji vrtić Bukevje</t>
  </si>
  <si>
    <t>Troškovnik radova</t>
  </si>
  <si>
    <t>1419/9</t>
  </si>
  <si>
    <t>Bukevje</t>
  </si>
  <si>
    <t>Bukevje, Orle</t>
  </si>
  <si>
    <t xml:space="preserve">Prije pristupanja svim radovima (kao skidanje oštećenih dijelova konstrukcije, pročelja, završnih obrada površina, demontaže opreme i slično) potrebno je obaviti prethodni pregled s nadzornim inženjerom i unaprijed dogovoriti potreban obim posla. </t>
  </si>
  <si>
    <t xml:space="preserve">Prilikom izrade ponude potrebno je poštivati trenutno važeći Zakon o javnoj nabavi i sve ostale prateće zakone i pravilnike.  </t>
  </si>
  <si>
    <t xml:space="preserve">Sva rušenja i demontaže pojedinih dijelova građevine izvoditi pažljivo. Kod izvođenja pojedinih vrsta radova zabranjena je upotreba teških alata, kompresora ili sličnih uređaja koji mogu posredno prouzročiti štetu na konstruktivnim dijelovima građevine. Rušenja izvoditi tek kada su izvršena sva potrebna rasterećenja, podupiranja, osiguranja i isključivanja instalacija od nadležnih institucija. Prilikom rušenja potrebno je razvrstavati otpad te ga sukcesivno odvoziti na za to predviđene gradske deponije, a elemente koji će se ponovno ugrađivati, demontirati što pažljivije, te ih skladištiti na gradilištu odnosno na suho i sigurno mjesto za popravak i ponovnu ugradnju. Ako se prilikom rušenja i demontaže naiđe na nepredviđene detalje ili se uoče opasnosti od rušenja ili ugrožavanja okolnih elemenata građevine, izvođač je dužan o tome odmah obavjestiti nadzornog inženjera i investitora. Prije početka rušenja i demontaža kvalificirana i stručna osoba mora odpojiti sve instalacije i osigurati gradilište. </t>
  </si>
  <si>
    <t xml:space="preserve">Sve radove izvesti prema opisima pojedinih stavki troškovnika, općim smjernicama iz pojedinih grupa radova, detaljima, i svim važećim tehničkim propisima i standardima, kao i uputstvima proizvođača materijala, te pravilima struke i građevinskim normama. Za izvođenje svih radova uvjetuje se rad sa stručno osposobljenom radnom snagom za pojedine vrste radova prema Zakonu o gradnji, sa propisanom kvalitetom materijala koja mora odgovarati postojećim tehničkim propisima i važećim standardima. Ako neke stavke imaju nejasan i nedovoljan opis, onda svaki "započeti" opis pojedine stavke znači cjelokupnu izradu te stavke, to jest nabavu, dopremu materijala, sve prijenose i prijevoze, izradu, skidanje oplate, zaštitu, njegovanje pojedinih elemenata po izradi i nakon ugradbe, odvoz viška materijala na gradski deponij, kao i ostalo. Bez posebne nadoplate potrebno je obuhvatiti sve elemente navedene kako slijedi:                                                         </t>
  </si>
  <si>
    <t xml:space="preserve">a) izvođač radova dužan je prije početka radova provjeriti kote postojećeg stanja terena u odnosu na relativnu kotu (+/-0,00) kod svih ulaza i kod svih unutrašnjih podnih ploča kao i za ulazne instalacije,                                     </t>
  </si>
  <si>
    <t>b) utvrditi kotu 0,00 i obilježiti je na gradilištu kao referentnu točku,</t>
  </si>
  <si>
    <t xml:space="preserve">c) ukoliko se ukažu eventualne nejednakosti između projekta i stanja na gradilištu izvođač radova dužan je pravovremeno o tome izvjestiti investitora, projektanta i nadzornog inženjera te shodno tome zatražiti potrebna objašnjenja,                                                                                </t>
  </si>
  <si>
    <t xml:space="preserve">d) sve mjere u projektima provjeriti na gradilištu prije narudžbe materijala ili gotovih proizvoda.                             </t>
  </si>
  <si>
    <t xml:space="preserve">e) provjera količina troškovnika obaveza je Izvođača radova, kao i izrada dokaznice izvedenih radova unutar građevinske knjige       </t>
  </si>
  <si>
    <t>Pod stavkom materijal podrazumijeva se dobavna cijena materijala, to jest cijena glavnih i pomoćnih materijala potrebnog za ugradnju do kompletne gotovosti. U tu cijenu potrebno je uključiti i cijenu prijevoza bez obzira na vrstu prijevoznog sredstva, udaljenost, te eventualne potrebne utovare, istovare i prijenose do skladišta i do mjesta ugradbe. U cijeni materijala je i cijena čuvanja, zaštite i skladištenja materijala do ugradnje. Prema važećim propisima potrebno je uzimanje uzoraka - probnih kocki - za beton, te ugradnja samo onih materijala koji imaju važeće potvrde o sukladnosti. Svu dokumentaciju o dokazu kvalitete materijala prikuplja izvođač radova i po završetku predaje Investitoru.</t>
  </si>
  <si>
    <t xml:space="preserve">U kalkulaciji rada treba uključiti sav potreban rad, kako glavni tako i pomoćni, te kompletan unutarnji prijenos i transport bilo ručni bilo pomoću strojeva. Ujedno treba uključiti rad oko zaštite gotovih elemenata konstrukcije, zidova, podova i ostalih dijelova građevine od štetnih utjecaja vrućine i hladnoće kao i pohranu sa čuvanjem elemenata skinutih sa građevine koji će se naknadno ugraditi na građevini. </t>
  </si>
  <si>
    <t>SKELA</t>
  </si>
  <si>
    <t xml:space="preserve">Sve vrste pomoćnih skela bez obzira na visinu, ulaze u jediničnu cijenu dotične stavke troškovnika dok se fasadna skela posebno obračunava . Sva potrebna skela mora biti postavljena na vrijeme kako ne bi nastao nepotrebni zastoj u radu na građevini. Pod pojmom skela podrazumijeva se i prilaz istoj te ograda do skidanja skele. Ujedno su tu uključeni prilazi i mostovi za betoniranje konstrukcija i slično. Fasadnu skelu potrebno je obavezno uzemljiti na temeljni uzemljivač građevine.  </t>
  </si>
  <si>
    <t>Kod izrade oplate predvidjeti podupiranja, uklještenja kao i postavu na mjesto te njeno skidanje u vremenskom roku predviđenom za pojedine konstruktivne elemente. Stavkom se također podrazumjeva mazanje oplate prije betoniranja te čuvanje iste po skidanju sa sortiranjem elemenata za ponovnu upotrebu. Cijenom je obuhvaćen sav potreban rad kako glavni tako i pomoćni, te svi tipovi prijenosa bilo ručnih bilo pomoću strojeva. Sva potrebna oplata za izvedbu stavki uključena je u cijenu stavke.</t>
  </si>
  <si>
    <t>IZMJERA</t>
  </si>
  <si>
    <t>Ukoliko u pojedinoj stavci troškovnika nije definiran način obračuna radova, isti se obračunava prema važećim građevinskim normama u Republici Hrvatskoj. Kod paušalnog (komplet) obračuna izvođač mora sam procijeniti vrijednost pojedinih stavaka koje se obračunavaju u stavci te isti izvesti bez prava na dodatne iznose.</t>
  </si>
  <si>
    <t>FAKTOR</t>
  </si>
  <si>
    <t xml:space="preserve">Na jediničnu cijenu radne snage, izvođač radova ima pravo zaračunati faktor prema postojećim privremenim instrumentima, a na temelju Zakonskih propisa koji reguliraju tu tematiku. Povrh toga, izvođač radova ima pravo faktorom obuhvatiti i sljedeće radove, a nakon pregleda i upoznavanja gradilišta i dokumentacije, koji se neće zasebno platiti kao naknadni rad i to: </t>
  </si>
  <si>
    <t>a) cjelokupnu režiju gradilišta uključivo dizalice, mostove, sitnu mehanizaciju i ostalo</t>
  </si>
  <si>
    <t>b) najamne troškove posuđene mehanizacije koju izvođač ne posjeduje,</t>
  </si>
  <si>
    <t>c) nalijeganje terena prije betoniranja temelja,</t>
  </si>
  <si>
    <t>d) sva ispitivanja materijala bilo na gradilištu bilo u laboratorijima, ishodovanje atesta,</t>
  </si>
  <si>
    <t>e) barake (kontejnere) za smještaj radnika, ureda gradilišta, nadzorne službe,</t>
  </si>
  <si>
    <t>f) izrada privremenog sanitarnog čvora za radnike i upravu gradilišta prema sanitarnim propisima,</t>
  </si>
  <si>
    <t>g) uskladištenja materijala u barakama ili na platoima izvedenim za tu svrhu,</t>
  </si>
  <si>
    <t>h) uređenje gradilišta po izvedenim radovima sa odvozom otpadnih materijala,</t>
  </si>
  <si>
    <t>i) rastavljanje - demontaža baraka, kontejnera i platoa po završetku radova,</t>
  </si>
  <si>
    <t>j) dobava i postava gradilišne metalne ploče na bravarskoj konstrukciji sa svim potrebnim informacijama (investitor, projektant, izvođač, nadzor, broj građevne dozvole itd.) na mjesto koje odredi investitor odnosno izvođač te postava ploče sa znakovima upozorenja,</t>
  </si>
  <si>
    <t>k) dobava i postava gradilišnih znakova upozorenja, opasnosti, zabrana, znakove postaviti sukladno zakonskim propisima uz uključeno održavanje predmetnih znakova,</t>
  </si>
  <si>
    <t>l) dobava, montaža i demontaža ograde gradilišta, ograda se izvodi od montažnih elementa. Uključivo sva potrebna vrata 600x200 cm (kolni ulaz) i vrata 120/200cm (pješački ulaz) obračun po m' postavljene ograde sa uključenim najmom za kompletno vrijeme trajanja radova.</t>
  </si>
  <si>
    <t xml:space="preserve">o) priprema regulacija prometa za vrijeme izvođenja radova. Pod ovom regulacijom prometa podrazumijeva se uža regulacija prometa, tj. zatvaranje gradilišta i regulacija prometa preko samog gradilišta, a po potrebi i šira regulacija prometa obilaznim ulicama. Ova stavka obuhvaća izradu elaborata privremene regulacije prometa, ishođenje dozvola javne uprave za regulaciju prometa,  postavljanje svih potrebnih prometnih znakova privremene regulacije, po potrebi i zaštitnih ograda, održavanje svih znakova za vrijeme privremene regulacije, te nakon prestanka privremene regulacije vraćanje prometnih znakova u prvobitno stanje. </t>
  </si>
  <si>
    <t xml:space="preserve">Sve navedeno vrijedi i za sve kooperante i radove predviđene ovim troškovnikom, bez obzira na vrstu. </t>
  </si>
  <si>
    <t>OSIGURANJE OBJEKTA I GRADILIŠTA TIJEKOM IZVOĐENJA RADOVA</t>
  </si>
  <si>
    <t>Izvođač je dužan o svom trošku osigurati gradilište i objekt od štetnog utjecaja vremenskih nepogoda i svih mogućih drugih oštećenja za vrijeme trajanja izvođenja. Svaka šteta koja bi bila prouzročena na građevini, vozilima, susjednim građevinama, okolišu ili prolaznicima tijekom izvođenja radova, a nepažnjom Izvođača, pada na teret Izvođača radova koji ju je dužan otkloniti, tj. nadoknaditi štetu u roku kojeg će utvrditi sa Investitorom.</t>
  </si>
  <si>
    <t xml:space="preserve">UREĐENJE I ORGANIZACIJA GRADILIŠTA </t>
  </si>
  <si>
    <t>Uređenje i organizacija gradilišta, organizacija i postavljanje radnih prostora, skladišta, površine za privremeno odlaganje srušenog materijala , montažni WC ,  natpisi, dobava, postavljanje i korištenje naprava za vertikalni i horizontalni transport ljudi, materijala i alata, upozorenja te odvozi smeća.  Uključivo naknade za potrebno zauzimanje javne gradske  površine za organizaciju gradilišta. Stavka uključuje izradu vodovodnog i  elektroenergetskog priključka iz  zgrade a u dogovoru sa predstavnikom investitora. U cijenu uključiti i izradu plana gradilišta. Troškove potrošnje struje i vode snosi izvođač.</t>
  </si>
  <si>
    <t>ČUVANJE GRADILIŠTA</t>
  </si>
  <si>
    <t>Nadzor nad gradilištem, te svim alatima, strojevima i materijalom pada na teret Izvođača radova.</t>
  </si>
  <si>
    <t>JEDINIČNA CIJENA</t>
  </si>
  <si>
    <t xml:space="preserve">U jediničnu cijenu uključena je nadoknada za sav potreban rad i materijal potreban za izvođenje svake pojedine stavke (gotovost stavke je do njezine pune funkcije), ako u stavci troškovnika nije drugačije rečeno. Jedinična cijena uključuje i izvođenje svih pomoćnih i pripremnih radnji, kao i sve potrebne pomoćne utovare, pretovare i transporte, te odvoz materijala na javnu, registriranu deponiju ili deponiranje materijala na mjesto koje odredi investitor. </t>
  </si>
  <si>
    <t>Cijene ponuđene troškovnikom uključuju sve građevinske strojeve, radnike, kontrolu kvalitete, materijala i rada (sve ateste), montažu, osiguranje, dobit, poreze i davanja, te potrebne radnje, troškove organizacije i mjere koje nalažu pozitivni propisi, zajedno sa svim rizicima, odgovornostima i obvezama navedenim ili nagovještenim ugovorom.</t>
  </si>
  <si>
    <t>U jediničnu cijenu svakog ponuđenoga rada uključene su i sve zaštite u smislu zaštite na radu i zaštite samih radova, kao npr. potpore, radne i fasadne skele, rad na visini iznad 3,5 m, privremene ograde, pristupi, korištenje autodizalice i dr., ukoliko u pojedinoj stavci nisu posebno spomenute.</t>
  </si>
  <si>
    <t xml:space="preserve">Jedinične cijene stavaka sadrže sve potrebne radnje za uklanjanje građevinskih elemenata, kao čišćenje, sortiranje, prijenose, prijevoze, deponiranje u prostoru ili izvan zgrade, skladištenje i transportiranje na mjesto koje odredi nadzorni inženjer investitora. Također sadrže i sve licence za zbrinjavanje i troškove zbrinjavanja građevinskog i ostalog otpada na ovlaštene deponije, uključivo i opasne otpade. </t>
  </si>
  <si>
    <t xml:space="preserve">Jedinične cijene stavaka sadrže sve zaštite postojećih ploha i elemenata zgrade, kao i sve privremene demontaže ili ostale radnje koje ovise o tehnologiji izvođenja radova. </t>
  </si>
  <si>
    <t>Jednične cijene sadrže zaštitu prozora i vrata PVC folijama, a koje je sve uključeno u stavku. Nakon izvedenih radova zaštita se skida i odlaže na gradilišni deponij.</t>
  </si>
  <si>
    <t>Jednične cijene sadrže zaštitu krovnih ploha, nadstrešnica, terasa i slično, pvc folijama te izrada zaštite i pristupa mosnicima širine 1,0-1,2 m a koje služe za prilaz vertikalnim dijelovima fasade iznad krovne plohe, nadstrešnice i slično.</t>
  </si>
  <si>
    <t>U jediničnoj cijeni izvođač ima pravo zaračunati faktor na temelju zakonskih propisa, koji sadrži sve režijske troškove, kao i troškove prouzročene tehničkim uvjetima izvođenja radova.</t>
  </si>
  <si>
    <t>Izvoditelj treba ispuniti sve količine i cijene za sva poglavlja radova opisanih troškovnikom.</t>
  </si>
  <si>
    <t>KVALITETA IZVEDENIH RADOVA</t>
  </si>
  <si>
    <t>Izvoditelj radova odgovara za kvalitetu izvedenih radova i ugrađenih materijala. Svi radovi moraju biti izvedeni u skladu s propisima, tehničkim uvjetima i pravilima struke. Kvaliteta ugrađenog materijala utvrđuje se ispitivanjem od za to ovlaštene institucije, kao i važećim potvrdama o sukladnosti. Po primopredaji građevine svi atesti se predaju investitoru na korištenje, kao i projekti izvedenog stanja, koji čine arhivsku dokumentaciju zgrade, i ujedno su dokumenti za ishođenje uporabne dozvole.  Za izvedene radove, svoje i svojih kooperanata, investitoru odgovara isključivo izvoditelj, kao nositelj svih ugovorenih radova.</t>
  </si>
  <si>
    <t>Po završetku radova kvalitetu izvedenih radova treba ustanoviti zapisnički s nadležnim Nadzornim inžinjerom. Ukoliko se ustanovi da su pojedini radovi izvedeni nekvalitetno, Izvođač je dužan iste ponovno izvesti u traženoj kvaliteti ili naručiti kod drugog Izvođača, a sve u roku i na svoj trošak.</t>
  </si>
  <si>
    <t>Zahtijevani nivo kvalitete obrade površina svih unutarnjih i vanjskih zidova je Q3 i Q4 (pripremljeno za završno unutarnje ličenje, odnosno završni fasadni sloj).</t>
  </si>
  <si>
    <t xml:space="preserve">PREGLEDI </t>
  </si>
  <si>
    <t xml:space="preserve">Potrebno je uključiti prethodne i kontinuirane preglede te odobrenja odnosno suglasnosti od strane predstavnika konzervatora. </t>
  </si>
  <si>
    <t>ČIŠĆENJE OBJEKTA</t>
  </si>
  <si>
    <t>Izvoditelj je dužan kontinuirano tijekom izvedbe radova čistiti gradilište i građevinu, te nakon izvedbe svih ugovorenih radova i prije primopredaje objekta investitoru sve fino očistiti, te otpadni materijal odvesti na gradski deponij.</t>
  </si>
  <si>
    <t>ATESTI ZA IZVEDENE RADOVE</t>
  </si>
  <si>
    <t>Izvođač je dužan posjedovati ili ishodovati sve zakonom i troškovnikom predviđene ateste za sve ugrađene materijale i izvedene radove, a u svemu prema Zakonu o gradnji NN 20/07,  Zakonu o zaštiti od požara NN 92/10 te Zakona o zaštiti na radu NN 71/14, 118/14, 154/14 , 94/18, 96/18. Izvoditelj je dužan sve ateste dostavljati investitoru tijekom izvođenja.</t>
  </si>
  <si>
    <t>OBRAČUN IZVEDENIH RADOVA</t>
  </si>
  <si>
    <t>Obračun izvedenih radova radi se preko ovjerene građevinske knjige, prema stvarno izvršenim količinama, ukoliko Ugovorom o izvođenju radova nije drukčije rečeno.</t>
  </si>
  <si>
    <t>U troškovniku je opisan način izvođenja pojedinih radova. Izvođenje onih radova koji nisu posebno opisani troškovnikom, treba biti u skladu s važećim normama i standardima, običajima, pravilima građenja i uzancama. Za sve tako izvedene radove izvoditelj nema prava na dodatnu odštetu ili promjenu jedinične cijene izražene u ponudi, osim ako to nije specificirano u posebnoj ponudi za predmetne radove, koja je ovjerena od investitora ili od nadzornog inženjera.</t>
  </si>
  <si>
    <t>U slučaju da izvođač neke radove izvede materijalom kvalitetnijim od predviđenog, a da za to nije prethodno ishodio odobrenje investitora, nema pravo nadoknade za povećanje troškova izvedbe.</t>
  </si>
  <si>
    <t>U slučaju da izvođač radova izvede neke radove čija bi kvaliteta bila u suprotnosti s predviđenim kvalitetom i opisom, dužan je o svom trošku iste srušiti i ukloniti, te ponovno izvesti onako kako je to predviđeno projektnom dokumentacijom.</t>
  </si>
  <si>
    <t>Ako se pokaže potreba za izvedbom radova koji nisu predviđeni troškovnikom, izvođač radova mora prethodno za izvedbu istih dobiti odobrenje od predstavnika investitora, odnosno Nadzornog inženjera, te s istim utvrditi cijenu izvedbe (dostaviti analizu cijene) i sve to unijeti u građevinski dnevnik.</t>
  </si>
  <si>
    <t>U slučaju nekih nejasnoća glede obračuna primijenit će se odredbe građevinskih normi i ostalih službenih tehničkih normativa i propisa.</t>
  </si>
  <si>
    <t xml:space="preserve">Količine su stvarne površine te nisu uvećane za postotak kod materijala koji zahtjevaju preklope ili rezanja. Prilikom nabavke materijala potrebno je predvidjeti 5-10% više od stvarne površine. Pod stavku 'rad' podrazumijevaju se ruke, nabava i ugradnja svih potrebnih materijala za izvedbu do pune funkcionalnosti (npr. kutne lasne, križići za postavu keramike, ljepila i slično). </t>
  </si>
  <si>
    <t>TEHNIČKI UVJETI ZA IZVEDBU RADOVA</t>
  </si>
  <si>
    <t>Prilikom izvedbe radova izvođač je dužan pridržavati se odredbi važećih propisa, normativa, standarda i uzanci te sve radove izvesti kvalitetno i solidno. Nekvalitetno izvedeni radovi neće se obračunati sve dok se ne uklone uočeni nedostaci.</t>
  </si>
  <si>
    <t>Izvoditelj je dužan do primopredaje građevine ukloniti sve građevinskim dnevnikom evidentirane  nedostatke. Sanacija nedostataka pada na teret izvoditelja. Za nedostatke koji ne ugrožavaju stabilnost konstrukcije, a ne uklone se do konačnog obračuna, investitor ima pravo ugovoriti sa drugim izvoditeljem, a pri konačnom obračunu isti odbiti prvom izvoditelju.</t>
  </si>
  <si>
    <t>Opaska:  izračun količina za predmetnu građevinu.</t>
  </si>
  <si>
    <t xml:space="preserve">Kod izrade betona na gradilištu pomoću mješalica, voditi računa o zadanim markama betona, kao i dodacima aditiva za plastičnost i vodonepropusnost. </t>
  </si>
  <si>
    <t>Prije izvođenja radova treba provjeriti kvalitetu svih materijala koji se ugrađuju i izvesti radove u skladu s detaljima izvedbe i opisom iz troškovnika. Prije izvođenja treba obvezno izvršiti izmjeru na licu mjesta. Eventualne promjene u detaljima ili materijalu treba izvoditelj dogovoriti s projektantom ili nadležnim nadzornim inženjerom.</t>
  </si>
  <si>
    <t>Zabranjena je upotreba materijala (osnovnog ili pomoćnog) koji nije predviđen opisom, nacrtima i detaljima, te odgovarajućim normama ili tehničkim uvjetima za izvođenje istih. Ukoliko izvoditelj ipak izvede radove na neodgovarajući način ili od neodgovarajućih materijala, dužan je o tome upozoriti nadzornog inženjera i dogovorno riješiti, te zapisnički ustanoviti kvalitetu izvođenja radova.</t>
  </si>
  <si>
    <t>Ukoliko prije početka izvođenja radova izvoditelj ustanovi da je došlo do promjene uvjeta za izvođenje radova dužan se je prilagoditi uvjetima na način da se zadrži propisana kvaliteta radova i materijala, te je o tome dužan obavijestiti nadzornog inženjera i investitora i dogovorno riješiti, te zapisnički ustanoviti kvalitetu izvođenja radova.</t>
  </si>
  <si>
    <t>Pri radu treba primjenjivati sve potrebne mjere zaštite na radu, naročito zaštite od požara. Ukoliko nadzorni inženjer uoči da se izvođač ne pridržava ovih pravila, može mu zabraniti daljnji rad dok ga ne organizira u skladu s pravilima.</t>
  </si>
  <si>
    <t xml:space="preserve">Izvođač je također obavezan izraditi elaborat o zaštiti na radu na gradilištu, a prema važećem pravilniku o zaštiti na radu, izraditi privremeno prometno rješenje ukoliko je potrebno, izvjesiti tablu s podacima o građevini, Investitoru, Izvođaču, Projektantu i Nadzoru. </t>
  </si>
  <si>
    <t xml:space="preserve">Prilikom izvođenja radova, izvoditelj treba zaštiti sve susjedne plohe, dijelove konstrukcije i prethodno izvedene radove na prikladan način, a u skladu s pravilima, tako da ne dođe do njihovog oštećenja. </t>
  </si>
  <si>
    <t>Troškove zaštite treba izvoditelj uračunati u jediničnu cijenu. Ukoliko ipak dođe do oštećenja prethodno izvedenih radova za koje je odgovoran izvoditelj ili njegov kooperant, dužan ih je o svom trošku dovesti u stanje prije oštećenja, ili naručiti iste radove kod drugog izvoditelja na svoj teret. Popravak treba izvesti u primarno određenom roku ili dogovorno.</t>
  </si>
  <si>
    <t>Sve stavke troškovnika ukoliko ima nekih nejasnoća, izvođač će pojasniti s projektantom prije ulaska u posao, jer se nakon početka radova neće tolerirati nikakve nejasnoće opisa stavki i tražiti će se besprijekorno izvršenje istih u smislu kakvim ih je projektant zamislio i definirao. Prije narudžbe materijala po stavkama, izvođač je dužan prekontrolirati iste i uzeti stvarne mjere na licu mjesta kako ne bi došlo do štete uslijed krivih podataka po pitanju količine radova i produženja roka zbog naknadnih narudžbi istih.</t>
  </si>
  <si>
    <t xml:space="preserve">Sve elemente opreme, namještaja, konstrukcija, koje nisu tipizirane, ili nisu u standardnom programu proizvođača, tj. nemaju popratnu dokumentaciju i ateste, izvođač radova je dužan prije izrade navedenih elemenata izraditi radioničke nacrte, obavezno ih ovjeriti kod nadzornog inženjera i projektanta, a tek potom krenuti u izradu tih elemenata. </t>
  </si>
  <si>
    <t>Izvoditelj treba kvalitetu ugrađenih materijala i stručnosti radnika dokazati odgovarajućim atestima i uvjerenjima izdanim od strane za to ovlaštene institucije.</t>
  </si>
  <si>
    <t>Građevinski dnevnik i građevinsku knjigu vodi izvođač radova i svakodnevno upisuje potrebne podatke predviđene Zakonom i važećim uzancama o građenju.</t>
  </si>
  <si>
    <t>Tijekom radova i po njihovom završetku, izvoditelj je dužan čistiti radni prostor.</t>
  </si>
  <si>
    <t>Izvođač radova mora svaku promjenu u toku gradnje, kako u konstrukciji tako i u instalacijama, ucrtati u nacrtnu dokumenataciju i po završetku radova predati Investitoru kao nacrt izvedenog stanja.</t>
  </si>
  <si>
    <t>Izvoditelj je također dužan ukloniti sve zaštitne i pomoćne konstrukcije u roku koji je predviđen za izvođenje radova i na svoj trošak. Po završetku radova kvalitetu izvedenih radova treba izvoditelj ustanoviti zapisnički s nadležnim nadzornim inženjerom. Ukoliko se ustanovi da su radovi izvedeni nekvalitetno, izvoditelj je dužan iste ponovno izvesti u traženoj kvaliteti ili iste naručiti kod drugog izvoditelja, a sve u roku i na svoj trošak.</t>
  </si>
  <si>
    <t xml:space="preserve">U slučaju nastanka opravdanih nepredviđenih radova, potrebno je napraviti aneks ugovora. </t>
  </si>
  <si>
    <t>OPĆI UVJETI UZ TROŠKOVNIK GRAĐEVINSKO-OBRTNIČKIH RADOVA</t>
  </si>
  <si>
    <t xml:space="preserve"> - strojno skidanje humusa, sloj debljine 30-40 cm</t>
  </si>
  <si>
    <t xml:space="preserve"> - široki iskop ispod zgrade</t>
  </si>
  <si>
    <t xml:space="preserve"> - iskop ispod kolno pješačkih površina</t>
  </si>
  <si>
    <t xml:space="preserve"> - iskop za trakaste temelje parapeta ograde</t>
  </si>
  <si>
    <t xml:space="preserve"> - iskop za temelje igrala za djecu</t>
  </si>
  <si>
    <t xml:space="preserve"> - uređenje tla ispod građevina</t>
  </si>
  <si>
    <t xml:space="preserve"> - uređenje tla ispod kolno-pješačkih površina</t>
  </si>
  <si>
    <t xml:space="preserve"> - ispod građevina</t>
  </si>
  <si>
    <t xml:space="preserve"> - ispod kolno-pješačkih površina</t>
  </si>
  <si>
    <t>Zatrpavanje temelja oko zgrade</t>
  </si>
  <si>
    <t>Zatrpavanje temelja oko zgrade materijalom iz iskopa. Prilikom nasipavanje potrebno je izvesti grubo planiranje terena. Količina je iskazana u zbijenom stanju zemlje.</t>
  </si>
  <si>
    <t>Izrada posteljice od zrnatog kamenog materijala bez veziva debljine, zbijenosti Ms=40MN/m2</t>
  </si>
  <si>
    <t>Nakon preuzimanja ispitanog planuma u pogledu zabijenosti, ravnosti projektiranih nagiba, a sve prema važećim normama, pristupa se izradi nosivog sloja od zrnatog kamenog materijala.
Za izradu ovog sloja treba upotrijebiti zrnati kameni materijal za koji je pribavljen atest o njegovoj podobnosti za izradu nosivog sloja.
Kameni materijal se mora navoziti (navlačiti) tako da se ne ošteti izvedeni profil posteljice.
Zahtjevana zbijenost za kolnik sa asfaltnim zastorom i sve ostale kolnopješačke površine iznosi Ms = 40 MN/m2.
Sve nepravilnosti utvrđene za vrijeme zbijanja mora izvođač o svom trošku ukloniti.
Sva tekuća i kontrolna ispitivanja treba vršiti prema važećim standardima i propisima u toku građenja.
Ova stavka obuhvaća:
a) pribavljanje atesta za kameni materijal prije početka radova
Za prometnice i pješačke staze materijal 0/32.
b) dopremu, razgrtanje, planiranje i profiliranje tamponskog sloja
c) kontrola ravnine i visine izvedenog sloja
d) sve radove na ispitivanju koji su potrebni za pravilno izveden sloj prema HRN U9.020. ili jednakovrijedno ___________.
Obračunato  po m3 ugrađenog sloja u zbijenom stanju, prema poprečnim profilima do potpune pogonske gotovosti.</t>
  </si>
  <si>
    <t>Izrada nosivog sloja od zrnatog kamenog materijala bez veziva debljine, zbijenosti Ms=100MN/m2</t>
  </si>
  <si>
    <t>Nakon preuzimanja ispitanog planuma u pogledu zabijenosti, ravnosti projektiranih nagiba, a sve prema važećim normama, pristupa se izradi nosivog sloja od zrnatog kamenog materijala.
Za izradu ovog sloja treba upotrijebiti zrnati kameni materijal za koji je pribavljen atest o njegovoj podobnosti za izradu nosivog sloja.
Kameni materijal se mora navoziti (navlačiti) tako da se ne ošteti izvedeni profil posteljice.
Zahtjevana zbijenost za kolnik sa asfaltnim zastorom i sve ostale kolnopješačke površine iznosi Ms = 100 MN/m2.
Sve nepravilnosti utvrđene za vrijeme zbijanja mora izvođač o svom trošku ukloniti.
Sva tekuća i kontrolna ispitivanja treba vršiti prema važećim standardima i propisima u toku građenja.
Ova stavka obuhvaća:
a) pribavljanje atesta za kameni materijal prije početka radova
Za prometnice i pješačke staze materijal 0/32.
b) dopremu, razgrtanje, planiranje i profiliranje tamponskog sloja
c) kontrola ravnine i visine izvedenog sloja
d) sve radove na ispitivanju koji su potrebni za pravilno izveden sloj prema HRN U9.020. ili jednakovrijedno ___________.
Obračunato  po m3 ugrađenog sloja u zbijenom stanju, prema poprečnim profilima do potpune pogonske gotovosti.</t>
  </si>
  <si>
    <t xml:space="preserve"> - drobljenac ispod asfalta frakcije 0/64mm d=40cm</t>
  </si>
  <si>
    <t xml:space="preserve"> - drobljenac ispod asfalta frakcije 0/64mm d=50cm</t>
  </si>
  <si>
    <t xml:space="preserve"> - drobljenac ispod travnih rešetki frakcije 0/64mm d=50cm</t>
  </si>
  <si>
    <t xml:space="preserve"> - drobljenac ispod betonskih opločnika frakcije 0/64mm d=50cm</t>
  </si>
  <si>
    <t xml:space="preserve"> - drobljenac ispod gumene podloge frakcije 0/64mm d=50cm</t>
  </si>
  <si>
    <t xml:space="preserve"> - rubnjaci 18/24 cm uz kolnik, temelj 0,12m3/m' (beton C12/15) uzdignuti i upušteni</t>
  </si>
  <si>
    <t xml:space="preserve"> - rubnjaci 10/22 cm uz uređene površine, temelj 0,07m3/m' (beton C12/15) uzdignuti i upušteni</t>
  </si>
  <si>
    <t xml:space="preserve"> - drobljenac ispod travnih rešetki frakcije 0/64mm d=40cm</t>
  </si>
  <si>
    <t xml:space="preserve"> - drobljenac ispod betonskih opločnika frakcije 0/64mm d=40cm</t>
  </si>
  <si>
    <t xml:space="preserve"> - drobljenac ispod gumene podloge frakcije 0/64mm d=40cm</t>
  </si>
  <si>
    <t xml:space="preserve"> - prometni znak „obaveznog zaustavljanja – STOP“</t>
  </si>
  <si>
    <t xml:space="preserve"> - prometni znak "invalidsko parkirno mjesto"</t>
  </si>
  <si>
    <t xml:space="preserve"> - prometni znak "parkiralište"</t>
  </si>
  <si>
    <t>Betoniranje armirano betonskih temelja dimenzija 40x40 cm i parapeta ograde debljine 30 cm u glatkoj oplati završno vidljivi beton, betonom klase C25/30 pripremljenim u betonari. Betoniranje zidova izvesti sukladno Programu kontrole i kvalitete, u pripremljenu dvostranu glatku oplatu uz obavezno pervibriranje. U oplati zida predvidjeti sva oslabljenja i otvore, te ugraditi sve potrebne instalacije. Razred čvrstoće betona C25/30. Razred izloženosti XC2. Razred konzistencije S3. Razred sadržaja klorida Cl 0.2. Razred maksimalnog zrna agregata Dmax16. Nakon ugradnje betona potrebno je obavezno njegovati beton sukladno Programu kontrole i kvalitete. Cijena stavke uključuje nabavu i dopremu na gradilište betona klase C25/30, spravljenog u betonari, te sav potreban osnovni i pomoćni materijal, te rad ljudi i strojeva pri ugradnji.</t>
  </si>
  <si>
    <t xml:space="preserve"> - beton temelji  C25/30           </t>
  </si>
  <si>
    <t xml:space="preserve"> - beton parapet  C25/30           </t>
  </si>
  <si>
    <t xml:space="preserve"> - dvostrana oplata temelji                    </t>
  </si>
  <si>
    <t xml:space="preserve"> - dvostrana oplata parapet        </t>
  </si>
  <si>
    <t xml:space="preserve"> - beton  C25/30           </t>
  </si>
  <si>
    <t xml:space="preserve"> - linearne oznake (razdijelne crte, pješački prijelazi, stop linija, oznake parkirališnih mjesta)</t>
  </si>
  <si>
    <t xml:space="preserve"> - oznaka invalidskog parkirnog mjesta</t>
  </si>
  <si>
    <t xml:space="preserve"> - taktilna crta vođenja</t>
  </si>
  <si>
    <t xml:space="preserve"> - taktilno polje upozorenja</t>
  </si>
  <si>
    <t xml:space="preserve"> - oplata vertikalna                       </t>
  </si>
  <si>
    <t>debljine 5-20 cm</t>
  </si>
  <si>
    <t>Trakasti temelji</t>
  </si>
  <si>
    <t xml:space="preserve"> - oplata</t>
  </si>
  <si>
    <t>AB podna ploča prizemlja</t>
  </si>
  <si>
    <t xml:space="preserve">Armirano betonski nadtemeljni zidovi </t>
  </si>
  <si>
    <t xml:space="preserve"> - oplata                       </t>
  </si>
  <si>
    <t>Krovna ploča</t>
  </si>
  <si>
    <t>Ploča ravnog krova d=20 cm</t>
  </si>
  <si>
    <t xml:space="preserve"> - oplata horizontalna                    </t>
  </si>
  <si>
    <t xml:space="preserve"> - oplata vertikalna</t>
  </si>
  <si>
    <t>zidovi vanjski, atika krova i odušnici</t>
  </si>
  <si>
    <t>Armirano betonski stupovi i vertikalni serklaži</t>
  </si>
  <si>
    <t>Armirano betonske grede, nadvoji i horizontalni serklaži</t>
  </si>
  <si>
    <t>Armirano betonska stubišta na tlu</t>
  </si>
  <si>
    <t xml:space="preserve"> - beton</t>
  </si>
  <si>
    <t>armaturne mreže i šipke</t>
  </si>
  <si>
    <t>Zidanje zidova blok opekom</t>
  </si>
  <si>
    <t>Dobava i zidanje zidova prema grafičkim prilozima. Zidanje se izvodi zidanim elementima skupine 2 (njega uranjanjem u vodu) debljine 25 cm u jednom sloju, srednje tlačne čvrstoće 10 N/mm2 i mortom opće namjene minimalne marke M7,5. Prvi red blokova potrebno je postaviti na idealno ravan u oba smjera sloj cemetnog morta 1:2 debljine 2-5 cm ovisno o točnosti izvedene  podloge. Sve ostale horizontalne i vertikalne sljubnice (fuge) potrebno je ispuniti po cijeloj površini mortom max. debljine 15 mm. Prilikom zidanja nije dozvoljeno preklapanje vertikalnih sljubnica. Min. razmak između vertikalnih sljubnica dva susjedna reda smije biti 10 cm.
Obračun po m3 zida.</t>
  </si>
  <si>
    <t>Žbukanje zidova</t>
  </si>
  <si>
    <t>Dobava i izrada grube i fine žbuke unutrašnjih i vanjskih površina zidova od blok opeke produžnom vapneno-cementnim mortom M 2,5 debljine 2 cm. Površine prethodno pripremiti za žbukanje špricom cementnim mlijekom. U cijeni stavke je i rabitiziranje spojeva različitih materijala. Potrebna radna skela je u cijeni stavke. Otvori nisu odbijani, te je cijena izrade špaleta u cijeni stavke.
Obračun po m2 zida.</t>
  </si>
  <si>
    <t xml:space="preserve"> - plivajući pod s estrihom 6 cm</t>
  </si>
  <si>
    <t xml:space="preserve"> - plivajući pod s estrihom 7 cm</t>
  </si>
  <si>
    <t xml:space="preserve"> - plivajući pod s estrihom u padu na terasama 5-10 cm</t>
  </si>
  <si>
    <t>Hidroizolacija podne ploče i zidova u tlu</t>
  </si>
  <si>
    <t>Dobava i izvedba horizontalne i vertikalne HI ploče na tlu i zidova u tlu. Hidroizolacija se izvodi iz dva sloja fleksibilne polimer bitumenske trake (2x5 mm) uz predhodni hladan premaz resitolom. Sve izvesti prema uputi proizvođača HI. Staklena tkanina impregnirana i obostrano obložena fleksibilnom polimer bitumenskom masom. Traka je zaštićena obostrano folijom. Trake se izvode na prethodno izvedene nadtemlne zidove i donju betonsku podlogu Uključen kompletan rad, materijal i pribor. Obračun po m² izvedene HI.</t>
  </si>
  <si>
    <t xml:space="preserve"> - horizontalna hidroizolacija</t>
  </si>
  <si>
    <t xml:space="preserve"> - zidovi do visine od 2,2 m</t>
  </si>
  <si>
    <t xml:space="preserve"> - vanjske površine podova </t>
  </si>
  <si>
    <t xml:space="preserve"> - podovi</t>
  </si>
  <si>
    <t xml:space="preserve"> - zidovi u tlu d=10 cm</t>
  </si>
  <si>
    <t xml:space="preserve"> - izolacija iznad podne ploče d=10 cm</t>
  </si>
  <si>
    <t xml:space="preserve"> - obračun po m2 kompletno izvedenog ravnog krova MW 20 cm</t>
  </si>
  <si>
    <t xml:space="preserve"> - obračun po m2 kompletno izvedenog ravnog krova MW 10 cm</t>
  </si>
  <si>
    <t xml:space="preserve"> - horizontala nadozida MW= 5 cm</t>
  </si>
  <si>
    <t xml:space="preserve"> - vertikala nadozida MW= 5 cm</t>
  </si>
  <si>
    <t xml:space="preserve"> - fasadni sustav debljine 15cm </t>
  </si>
  <si>
    <t xml:space="preserve"> - fasadni sustav debljine 5cm </t>
  </si>
  <si>
    <t xml:space="preserve"> - fasadni sustav debljine 5cm podgled</t>
  </si>
  <si>
    <t>Dobava i ugradnja čeličnih ljestvi za izlaz na krov zgrade. Čelične ljestve su smještene na pročelju.  Ljestve moraju imati leđobrane od visine 2,2 m pa do vrha. Izrađene su od kvadratičnih čeličnih cijevi 30 mm x 30 mm x 5 mm. Gazišta su izrađena od punih čeličnih profila fi 10 mm. Ljestve su pričvršćene u zid vijcima. Čelik je zaštičen kao u općim uvjetima ove grupe radova. Nisu vruće cinčani. U stavku uključiti radioničke nacrte i sav potreban materijal i pribor za ugradnju ljestvi do pune gotovosti uključujući i završnu boju - RAL 7016.</t>
  </si>
  <si>
    <t xml:space="preserve"> - ljestve visine 475 cm</t>
  </si>
  <si>
    <t xml:space="preserve"> - ljestve visine 250 cm</t>
  </si>
  <si>
    <t>dim. 650x140 cm</t>
  </si>
  <si>
    <t>Zaokretna vrata na gospodarskom ulazu</t>
  </si>
  <si>
    <t>dim. 800x140 cm</t>
  </si>
  <si>
    <t xml:space="preserve">Dobava i ugradnja tipske metalne ograde na prethodno izvedeni betonski parapet visine 100 cm. Ograda se izvodi iz varenih panel-elemenata, od pocinčane plastificirane čelične žice 4,5 mm (hor.) i 4,0 mm (vert.), vodoravno pojačan, otvor oka max. 100 x 50 mm, visine 150cm (dozvoljeno odstupanje +/- 5cm). Ugradnja na odgovarajuće stupove iz istog sistema, koji se montiraju u za to predviđene rupe ostavljene u parapetnom zidu. Sve izvesti u dogovoru s projektantom. U stavku su uključena sva osnovna i pomoćna sredstva, rad i transport, sve do potpune gotovosti proizvoda, uključivo i izradu radioničkih nacrta koje, zajedno s uzorcima, obavezno treba dati na odobrenje projektantu. Obračun po m1 ugrađene ograde. </t>
  </si>
  <si>
    <t xml:space="preserve"> - obloga zidova</t>
  </si>
  <si>
    <t xml:space="preserve"> - obloga ugradbenog vodokotlića - visina prema projektu, koristiti vlagootporne GK ploče ( "zelene ploče") (vertikale i hoirontale - 9 m2 i 4 m2)</t>
  </si>
  <si>
    <t>uZd01 - zid debljine 15 cm</t>
  </si>
  <si>
    <t>uZd02 - zid debljine 15 cm, jedna strana vlagootporna</t>
  </si>
  <si>
    <t>uZd03 - zid debljine 15 cm, obje strane vlagootporne</t>
  </si>
  <si>
    <t>Dobava materijala i izvedba opločenja zidova sanitarija keramičkim pločicama veličine 20/40 cm I klase, postavljenim na ljepilo, fuga na fugu, s vertikalnim sljubnicama. Pločoce su imitacija betona. Sudari na bridovima zidova i završeci opločenja moraju biti izvedeni rubnim pločicama ili tipskim ugaonim aluminijskim profilima. Sljubnice ispunjene masom za fugiranje u sivoj boji. Izbor pločica (u minimalno 5 osnovnih boja) kao i sve detalje sheme polaganja prije izvedbe radova usaglasiti s projektantom. Obračun po m2 bez ozbira na veličinu prostorije ili visinu opločenja. Visina opločenja do stropa. U cijenu uključena sva potrebna kitanja trajnoelastičnim kitom. Visina opločenja do stropa.</t>
  </si>
  <si>
    <t xml:space="preserve"> - sanitarije</t>
  </si>
  <si>
    <t xml:space="preserve"> - kuhinja</t>
  </si>
  <si>
    <t xml:space="preserve"> - sanitarije grupe</t>
  </si>
  <si>
    <t xml:space="preserve"> - gospodarstvo</t>
  </si>
  <si>
    <t xml:space="preserve"> - gospodarstvo sokl 8 cm </t>
  </si>
  <si>
    <t xml:space="preserve"> - kuhinja (protukliznost R13)</t>
  </si>
  <si>
    <t xml:space="preserve"> - vanjske površine uključivo stube na tlu</t>
  </si>
  <si>
    <t xml:space="preserve"> - vanjske površine sokl</t>
  </si>
  <si>
    <t>podna obloga od sintetičkog kaučuka</t>
  </si>
  <si>
    <t xml:space="preserve">Dobava i postava trajno antistatične elastične podne obloge od sintetičkog kaučuka u roli. </t>
  </si>
  <si>
    <t>Podna obloga se cijelom površinom lijepi za podlogu specijalnim ljepilom prema preporuci proizvođača. Spojevi se rade uredno na 0, na preklop, bez varenja.</t>
  </si>
  <si>
    <t>Podna obloga mora biti sljedećih karakteristika:</t>
  </si>
  <si>
    <t>-   trajno antistatična prema EN 1815 ili jednakovrijedno: &lt;2 kV</t>
  </si>
  <si>
    <t>-   tvrdoća prema ISO 48-4 (ISO 7619) ili jednakovrijedno: 90</t>
  </si>
  <si>
    <t>-   dimenzionalna stabilnost prema EN/ISO 23999 (EN 434) ili jednakovrijedno: +/+0,30 %</t>
  </si>
  <si>
    <t>-   toplinska otpornost prema EN 12667 ili jednakovrijedno: 0.020 m2 K/W</t>
  </si>
  <si>
    <t>-   tokičnost razgradnje plinova prema DIN 53436 ili jednakovrijedno pri 350 stupnjeva C - nije toksično</t>
  </si>
  <si>
    <t>-   zapaljivost: Bfl-s1 prema EN 13501-1 ili jednakovrijedno</t>
  </si>
  <si>
    <t>-   otporna na goruće opuške prema EN 1399 ili jednakovrijedno</t>
  </si>
  <si>
    <t>-   otporno na kotačiće stolaca prema EN 425 ili jednakovrijedno</t>
  </si>
  <si>
    <t>-   otporno na mrlje prema EN/ISO 26987 (EN 423) ili jednakovrijedno</t>
  </si>
  <si>
    <t>-   protukliznost prema DIN 51130 ili jednakovrijedno: R9</t>
  </si>
  <si>
    <t>-   građevinska klasa prema ISO 10874 (EN 685) ili jednakovrijedno: 34 (commercial) / 43 (industrial)</t>
  </si>
  <si>
    <t>-   izolacija udarnog zvuka: do 10 dB</t>
  </si>
  <si>
    <t>- boja i shema polaganja prema izboru projektanta</t>
  </si>
  <si>
    <t>Proizvod najsličniji bojom RAL-u 075 70 80 // RAL-u 220 80 05 // RAL-u 310 50 15</t>
  </si>
  <si>
    <t>Sokl</t>
  </si>
  <si>
    <t>Dobava i postava završne rubne letvice (sokla) od MDF-a</t>
  </si>
  <si>
    <t>Završna rubna letvica mora imati sljedeća minimalna svojstva:</t>
  </si>
  <si>
    <t>- dimenzija: 60/9 mm</t>
  </si>
  <si>
    <t>- materijal: MDF - vlaknasta ploča srednje gustoće</t>
  </si>
  <si>
    <t xml:space="preserve">- završna obrada: bojanje prema RAL-u </t>
  </si>
  <si>
    <t>Uključivo dobava materijala, izvedba i upotreba svih potrebnih alata i uređaja.</t>
  </si>
  <si>
    <t>rubna letvica</t>
  </si>
  <si>
    <t>Dobava i postava podne prostirke - otirača.</t>
  </si>
  <si>
    <t xml:space="preserve">Ulazni otirač visoke otpornosti od robusnih aluminijskih kanalica s tekstilnim umetcima.  Aluminijski profili međusobno povezani užetom od nehrđajućeg čelika (3 mm). Ispod aluminijskih profila postavlja se pjenasta vodootporna traka radi prigušavanja vibracija. </t>
  </si>
  <si>
    <t>- visina otirača: 22 mm</t>
  </si>
  <si>
    <t>- širina aluminijske kanalice 37 mm</t>
  </si>
  <si>
    <t>- visina okvira kanalice 25 mm</t>
  </si>
  <si>
    <t>- razmak između kanalica 5 mm</t>
  </si>
  <si>
    <t>- masa otirača: 3000 g/m2</t>
  </si>
  <si>
    <t>- vrsta materijala: 100% polipropilen</t>
  </si>
  <si>
    <t>- dizajn materijala: loop</t>
  </si>
  <si>
    <t>- poleđina: SBR-Lateks impregnacija</t>
  </si>
  <si>
    <t>- postojanost na gorenje (EN 13501-1 ili jednakovrijedno): Cfl-s1</t>
  </si>
  <si>
    <t>- pogodno za invalidska kolica</t>
  </si>
  <si>
    <t>- otporan na kotačiće stolaca prema DIN 54324 ili jednakovrijedno</t>
  </si>
  <si>
    <t>- protuklizna svojstva (DIN 51130 ili jednakovrijedno): R11</t>
  </si>
  <si>
    <t>- trajno antistatična prema EN 1815 ili jednakovrijedno: &lt;2 kV</t>
  </si>
  <si>
    <t>- postojanost boje na svjetlo prema ISO 105 B02 ili jednakovrijedno: 6</t>
  </si>
  <si>
    <t>- postojanost boje na trenje prema ISO 105 x12 ili jednakovrijedno: 4</t>
  </si>
  <si>
    <t>- postojanost boje na vodu prema ISO 105 E01 ili jednakovrijedno: 5</t>
  </si>
  <si>
    <t>Uključivo dobava i postava materijala, pribor,  te upotreba svih potrebnih alata i uređaja.</t>
  </si>
  <si>
    <r>
      <t xml:space="preserve"> HRN EN 13813:2003 ili </t>
    </r>
    <r>
      <rPr>
        <sz val="9"/>
        <rFont val="Arial"/>
        <family val="2"/>
      </rPr>
      <t>jednakovrijedno</t>
    </r>
    <r>
      <rPr>
        <sz val="9"/>
        <rFont val="Arial"/>
        <family val="2"/>
        <charset val="238"/>
      </rPr>
      <t>- Materijali za in situ podove (estrihe) i in situ podovi (estrisi) -- Materijal za in situ podove (estrihe)  ili jednakovrijedno.</t>
    </r>
  </si>
  <si>
    <r>
      <t xml:space="preserve">-   </t>
    </r>
    <r>
      <rPr>
        <sz val="9"/>
        <rFont val="Arial"/>
        <family val="2"/>
      </rPr>
      <t>debljina: 3,00 mm</t>
    </r>
  </si>
  <si>
    <r>
      <t xml:space="preserve">-   </t>
    </r>
    <r>
      <rPr>
        <sz val="9"/>
        <rFont val="Arial"/>
        <family val="2"/>
      </rPr>
      <t>ukupna masa: 4,700 g/m2</t>
    </r>
  </si>
  <si>
    <r>
      <t xml:space="preserve">-   </t>
    </r>
    <r>
      <rPr>
        <sz val="9"/>
        <rFont val="Arial"/>
        <family val="2"/>
      </rPr>
      <t>protukliznost prema EN 13893 ili jednakovrijedno: DS</t>
    </r>
  </si>
  <si>
    <r>
      <t>-</t>
    </r>
    <r>
      <rPr>
        <sz val="9"/>
        <rFont val="Arial"/>
        <family val="2"/>
      </rPr>
      <t>       otpornost na abraziju ISO 4649 ili jednakovrijedno: 150 mm³</t>
    </r>
  </si>
  <si>
    <r>
      <t xml:space="preserve">-   </t>
    </r>
    <r>
      <rPr>
        <sz val="9"/>
        <rFont val="Arial"/>
        <family val="2"/>
      </rPr>
      <t>zaostalo utisnuće prema EN/ISO 24343-1 (EN 433) ili jednakovrijedno: 0.04 mm</t>
    </r>
  </si>
  <si>
    <r>
      <t>-   certifikati: atest vatrootpornosti,</t>
    </r>
    <r>
      <rPr>
        <sz val="9"/>
        <rFont val="Arial"/>
        <family val="2"/>
      </rPr>
      <t xml:space="preserve"> Geca, Blue Angel, Greenguard, Indoor Air Comfort, cradle to cradle-silver</t>
    </r>
  </si>
  <si>
    <r>
      <t xml:space="preserve">- Grafika </t>
    </r>
    <r>
      <rPr>
        <sz val="9"/>
        <rFont val="Arial"/>
        <family val="2"/>
      </rPr>
      <t>uzorka: prošaran granulama, glatke površine</t>
    </r>
  </si>
  <si>
    <t>Izrada izvedbenog projekta u 3 primjerka</t>
  </si>
  <si>
    <t>UREDI</t>
  </si>
  <si>
    <t xml:space="preserve">RADNI STOL na metalnoj podkonstrukciji, ploča stola iveral debljine 25 mm ABS traka, metalna podkonstrukcija sa nogama presjeka 40x40 mm, ispod ploče 2 veznika metalna, metalna konstrukcija sive boje
dim. 160x80x75 cm                                                  </t>
  </si>
  <si>
    <t xml:space="preserve">KONFERENCIJSKI STOL na metalnoj podkonstrukciji, ploča stola iveral debljine 25 mm ABS traka, metalna podkonstrukcija sa nogama presjeka 40x40 mm, metalna konstrukcija sive boje
dim. promjer 120x visina75 cm                                                  </t>
  </si>
  <si>
    <t>1.1.12</t>
  </si>
  <si>
    <t>UREDI UKUPNO:</t>
  </si>
  <si>
    <t xml:space="preserve">RADNI STOL na metalnoj podkonstrukciji, ploča stola iveral debljine 25 mm ABS traka, metalna podkonstrukcija sa nogama presjeka 40x40 mm, ispod ploče 2 veznika metalna, metalna konstrukcija sive boje
dim. 160x60x75 cm                                                 </t>
  </si>
  <si>
    <t>1.3.9</t>
  </si>
  <si>
    <t>1.3.10</t>
  </si>
  <si>
    <t xml:space="preserve">RADNI STOL na metalnoj podkonstrukciji, ploča stola iveral debljine 25 mm ABS traka, metalna podkonstrukcija sa nogama presjeka 40x40 mm, ispod ploče 2 veznika metalna, metalna konstrukcija sive boje
dim. 160x80x75 cm                                                 </t>
  </si>
  <si>
    <t>TABURE okrugli  dim. fi40xh40 cm na drvenoj podkonstrukciji, ispunjena poliuretanskom pjenom PT-2541, presvučena eko-kožom, debljine 0,9 mm, sastava pamuk, PE i PVC, težine 500g/m2, postojanosti boje 8, visoke otpornosti na trljanje, rastezanje i trganje, perive vodom i neutralnim sredstvima za pranje, u raznim bojama.</t>
  </si>
  <si>
    <t>JASLICE</t>
  </si>
  <si>
    <t xml:space="preserve">LEŽALJKA za jaslički uzrast, od vatrootporne tkanine, okvir od čelika, sa čvrstim zaobljenim uglovima u boji prema boji tkanine. Kreveti se mogu slagati jedan u drugi zahvaljujući utorima za noge na uglovima. Dim. 138x55x13 cm. </t>
  </si>
  <si>
    <t>PROSTIRKA za ležaljku iz st. 1</t>
  </si>
  <si>
    <t>PLAHTA za ležaljku iz st. 1</t>
  </si>
  <si>
    <t>NOSAČ ZA LEŽALJKU iz st. 1, dim. 138x55x13 cm, metalna plastificirana konstrukcija, na kotačićima</t>
  </si>
  <si>
    <t>PANO PLUTO u alu okviru 80x120 cm</t>
  </si>
  <si>
    <t>PANO MAGNETNI u alu okviru 80x120 cm</t>
  </si>
  <si>
    <t xml:space="preserve">Kutna sjedalica (strunjača) cvijet narančasto žute boje dim.150x150x15 cm, izrađena od poliuretana gustoće 25 kg/m³ presvučena pamučnom tkaninom sa zatvaračem, periva.
</t>
  </si>
  <si>
    <t xml:space="preserve">Kutno ogledalo dekorativnog oblika kao sunce, dim. 129x129x129,5 cm. Kutno ogledalo  sa rubnim aplikacijama zraka sunca izrađenih od MDF ploča debljine 18 mm. </t>
  </si>
  <si>
    <t xml:space="preserve">Senzorički PUŽ: mjesto za male istraživače, opremljeno s mekim madracima i raznim taktilnim teksturama. Platneni krović puževe kućice ukrašen je lišćem koje nježno zvoni kada ga se pomiče. Tu je još i mnoštvo zvučnih i pokretnih dijelova koji potiču djecu na kreativnu igru. Izrađen od brezinog oplemenjene iverice Stimulira osjet vida, dodira i sluha. Dimenzije: 187x50x75 cm </t>
  </si>
  <si>
    <t xml:space="preserve">Sklopiva strunjača MEDO, prekivena PVC tkaninom koja se lako pere i održava. Može se koristiti se za vježbanje, ali i kao dvosjed za odmor i čitanje. Dimenzije: 197,5x114x5 cm </t>
  </si>
  <si>
    <t>Njihalica PUŽ mekana njihalica od spužve s navlakom od polivinila u žuto narančasto crvenoj boji.. Sigurna i stabilna konstrukcija. Dimenzije: 70x30x54 cm</t>
  </si>
  <si>
    <t>Sjedalica KROKODIL: Veliki krokodil izrađen je od čvrste i kvalitetne spužve, presvučen PVC navlakom u tamnoj i svijetlo zelenoj boji. Koristi se za penjanje, služi kao sjedalica ili motorički element za igru većeg broja djece.Točkasti  gornji dio može se skinuti i zasebno koristiti kao sjedalica ili provlačilica. Dimenzije: 125x28x26 cm</t>
  </si>
  <si>
    <t>Strunjača mekana zelena sa rubovima u obliku dekorativne trave za manipulativni zid ŠUMSKI PUT dim. 133x50x5 cm izrađena od poliuretana gustoće 25 kg/m³ presvučene skajem</t>
  </si>
  <si>
    <t xml:space="preserve">Baby set MAXI 3 izrađena od poliuretana gustoće 25 kg/m³ presvučene skajem, sadrži 3 elementa: kocku dim.60x60x30 cm, stepenice dim.60x60x30/10 cm i tobogan dim.90x60x30/60 cm </t>
  </si>
  <si>
    <t xml:space="preserve">Spužvasti tunel valjak za provlačenje fi 70 cm, dužine 100 cm, unutarnji fi tunela 50 cm izrađena od poliuretana gustoće 25 kg/m³ presvučene skajem u svijetlo zelenoj boji </t>
  </si>
  <si>
    <t xml:space="preserve">Kuhinja za igru - Sastoji se od 5 pažljivo obrađenih elemenata: štednjaka, hladnjaka, sudopera, mikrovalne pećnice i stroja za pranje rublja. Ručkice stroja za pranje i štednjaka mogu se okretati, dok sva vrata imaju akrilna stakla. Materijal: medijapan bijeli, panel punog drveta Ruberwood. Visina radne površine: 53,5 cm </t>
  </si>
  <si>
    <t>Ogradica abakus. Izrađena od brezinog drveta dim.87x24x26 cm. Sadrž ipet vodilica sa dvije žute i dvije crvene kuglice za razvoj fine motorike.</t>
  </si>
  <si>
    <t>Zidni držač za ogradice, izrađen od brezinog drveta dimenzije: 17x11x50 cm</t>
  </si>
  <si>
    <t>JASLICE UKUPNO:</t>
  </si>
  <si>
    <t>SANITARIJE JASLICE</t>
  </si>
  <si>
    <t xml:space="preserve">KONTEJNER ZA PRLJAVE PELENE </t>
  </si>
  <si>
    <t>SANITARIJE JASLICE UKUPNO:</t>
  </si>
  <si>
    <t>GARDEROBA JASLICE</t>
  </si>
  <si>
    <t>POLICA S DVOSTRUKIM VJEŠALICAMA  d=100cm</t>
  </si>
  <si>
    <t>GARDEROBA JASLICE UKUPNO:</t>
  </si>
  <si>
    <t>2.6.</t>
  </si>
  <si>
    <t>2.6.1</t>
  </si>
  <si>
    <t>2.6.2</t>
  </si>
  <si>
    <t>2.6.3</t>
  </si>
  <si>
    <t>2.6.4</t>
  </si>
  <si>
    <t>2.6.5</t>
  </si>
  <si>
    <t>2.6.6</t>
  </si>
  <si>
    <t>2.6.7</t>
  </si>
  <si>
    <t>2.6.8</t>
  </si>
  <si>
    <t>2.6.9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</si>
  <si>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</si>
  <si>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</si>
  <si>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</si>
  <si>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</si>
  <si>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</si>
  <si>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</si>
  <si>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</si>
  <si>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</si>
  <si>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</si>
  <si>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</si>
  <si>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</si>
  <si>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</si>
  <si>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</si>
  <si>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</si>
  <si>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</si>
  <si>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</si>
  <si>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</si>
  <si>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</si>
  <si>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</si>
  <si>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</si>
  <si>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</si>
  <si>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</si>
  <si>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</si>
  <si>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</si>
  <si>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</si>
  <si>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</si>
  <si>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</si>
  <si>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</si>
  <si>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</si>
  <si>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</si>
  <si>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</si>
  <si>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</si>
  <si>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</si>
  <si>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</si>
  <si>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</si>
  <si>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</si>
  <si>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PVC KANTA ZA OTPATKE
120 lit
Dva kotača 200 mm
Dim: 550x480x930 mm</t>
  </si>
  <si>
    <t>URED ŠEFA KUHINJE</t>
  </si>
  <si>
    <t>Kancelarijski stol sa setom od 4 ladice zatvorene bravicom
Dim. Stola: 1200 x 600 x 750 mm
Izveden je iz iverala debljine 18 mm, u teksturi svijetle bukve. Rubovi su obloženi u ABS traku.</t>
  </si>
  <si>
    <t>Daktilo stolica, sa podesivim naslonom i rukonaslonom, hidraulični podizni sistem, Tapecirana u negorivi štof. Pokretna, na kotačićima.</t>
  </si>
  <si>
    <t>OTVOREN INOX REGAL, 4 POLICE
podesive police po visini
dim. 1200x540x1700 mm</t>
  </si>
  <si>
    <t>OTVOREN INOX REGAL, 4 POLICE
podesive police po visini
dim. 900x540x1700 mm</t>
  </si>
  <si>
    <t>ZAMRZIVAČ, INOX
Temperaturni režim -10/-20°C,
Digitalna termostatska regulacija 
napon 230V/50Hz
Električno otapanje isparivača četiri puta dnevno
Isparavanje kondenzata odvija se u posudi, električnim grijačem
Zaobljeno unutarnje dno
Opremljen sa bravicom
U kompletu sa 3 para vodilica i sa 3 plastificirane rešetke
Vanjske dim. 720x845x2060 mm
Izrađen od INOX-a 304</t>
  </si>
  <si>
    <t>PRIPREMA POVRĆA/PRANJE CRNOG SUĐA</t>
  </si>
  <si>
    <t>OTVOREN INOX REGAL, 4 PERFORIRANE POLICE
podesive police po visini
dim. 1300X600x1700 mm</t>
  </si>
  <si>
    <t>INOX RADNI STOL SA ZAŠTITOM ZIDA
sa donjom policom
dim. 400X700x900 mm</t>
  </si>
  <si>
    <t>DVODJELNI SUDOPER 1200
Sa donjom policom
dim. 1200X700x900 mm
dva korita
dim. korita: 500x500x300 mm</t>
  </si>
  <si>
    <t>PVC sifon – dvodjelni, u kompletu sa svim sitnopotrošnim materijalom.</t>
  </si>
  <si>
    <t>TUŠ h=1200 S RUČKOM, POMIČNOM PIPOM I MJEŠALICOM</t>
  </si>
  <si>
    <t>RASHLADNI INOX PULT S KORITOM
Zaštita zida stražnja i desni bok
Korito 340x340x200 mm
Vodeni rub na kompletnoj površini
dim.3110X700x900 mm
4 rashladna boxa
temp. područje hlađenja: 0 do + 2°C
priključna snaga: 0,5 kW
priključni napon: 230V AC</t>
  </si>
  <si>
    <t>PVC sifon - jednodjelni, u kompletu sa svim sitnopotrošnim materijalom.</t>
  </si>
  <si>
    <t>JEDNORUČNA SLAVINA</t>
  </si>
  <si>
    <t>VISEĆI INOX ORMARIĆ SA KLIZNIM VRATIMA
sa srednjom podesivom policom
dim. 2000x350x660 mm</t>
  </si>
  <si>
    <t>INOX RADNI STOL SA ZAŠTITOM ZIDA
bez donje police
dim. 1400X700x900 mm</t>
  </si>
  <si>
    <t>INOX ORMARIĆ SA 3 LADICE
dim. 400x640x670 mm
GN 1/1-150</t>
  </si>
  <si>
    <t>TERMIČKI BLOK</t>
  </si>
  <si>
    <t>VIŠENAMJENSKI UREĐAJ ZA PRIPRAVLJANJE HRANE KAPACITETA 2 x 17 L
 višenamjenski uređaj za pripravljanje hrane za opću namjenu u komercijalnim kuhinjama
- prikladan za većinu metoda kuhanja koje se koriste u komercijalnim kuhinjama -  za kuhanje pomoću kontaktne topline ili tekućine;  za kuhanje, pirjanje, kuhanje na pari; za roštiljanje / plitko prženje, dinstanje, pečenje, prženje u ulju, regeneraciju, brzog prženje, sporo kuhanje, kuhanje tijekom noći
- uređaj je opremljen automatskim procesima pripreme hrane
- kontrola kuharskih procesa i raspodjele energije pomoću mikroprocesora
- površina bazena/prostora/posude za pripremu može se podijeliti u prilagodljive zone sa različitim temperaturama
- zagrijavanje bazena/posude za pripremu od sobne temperature do temperature od +200C (površinski) za manje od 30 sekundi
- uređaj ima automatski, motorom pogonjen i vremenski promjenivi mehanizam za dizanje i spuštanje košara za kuhanje i prženje u dubokom ulju 
- moguće je podesiti jezik displeja na hrvatski 
- sonda sa 6 mjernih mjesta (1 sonda po 1 bazenu) sa automatskom korekcijom neispravnosti uboda
- moguć je rad uređaja bez nadzora
Dimenzije: (širina 1100 mm, dubina 756 mm, visina 485 mm (visina s postoljem 1080 mm))</t>
  </si>
  <si>
    <t>Priključna snaga: 14 kW
Napon: 400V 3N AC
Priključak hladne vode: ¾’’
Odvod vode: DN 50
Kapacitet:  2x17 l
Osnovni set pribora:
- Postolje s nogicama
- Kolica od nehrđajućeg čelika za prijevoz hrane u GN posudama veličina 1/1GN I 2/1GN, s kotačićima, podesiva po visini na 2 moguće visine, dim. 635 x 786 x 887 mm, 1 kpl.
- Kolica za ulje od nehrđajućeg čelika, za punjenje uređaja uljem, spremanje I filtriranje ulja, s funkcijom predgrijavanja I mogućnošću pumpanja vruće masti, dim. 603 x 655 x 1085 mm
- Strugač, 1 kom.
- Košara za kuhanje, 2 kom.
podložak/rešetka, 2 kom.
- Ručica za automatsko dizanje košara, 1 kom.
- Cjedilo, 1 kom.
- Spužvica, 1 kom.</t>
  </si>
  <si>
    <t>ELEKTRIČNI ŠTEDNJAK
dim. 800x700x900 mm
4 ploče 300x300 mm
snaga grijaćih ploča: 4x2,5 kW
priključna snaga: 10 kW
priključni napon: 400V 3N  AC</t>
  </si>
  <si>
    <t>INOX RADNI BLOK STOL SA KORITOM, VISOKOM
SLAVINOM I SIFONOM
Frontalna maska ista kao na termičkim uređajima ( roštilj, štednjak, friteza )
dim. 600X700x900 mm</t>
  </si>
  <si>
    <t>ELEKTRIČNI PARNO-KONVEKCIJSKI UREĐAJ S  GENERATOROM PARE KAPACITETA 10 x 1/1 GN, 
- izbornik na hrvatskom jeziku                              - uređaj je opremljen potpuno automatiziranim inteligentnim procesima  pripreme namirnica (pečenje, prženje, perad, riba, pekarski proizvodi, prilozi,  regeneracija / dovršavanje) – procesi se odvijaju automatski ovisno o veličini namirnica i količini punjenja – vanjska boja (stupanj zapečenosti izvana) i temperatura u jezgri namirnice mogu se postaviti na početku kuharskog procesa
- mogućnost reguliranja temperature kod svih procesa od 30C – 300C
- uređaj ima generator pare sa automatskim punjenjem vode i programom za čišćenje generatora pare od kamenca
- uređaj se ne mora priključiti na tvrdu vodu preko omekšivača / depuratora vode 
- uređaj je opremljen potpuno automatiziranim sustavom za čišćenje nečistoća sa više stupnjeva čišćenja I potpuno automatiziranim sustavom za odstranjivanje kamenca – iz sigurnosnih razloga za automatsko pranje koriste se prašak ili tablete
- LED rasvjeta u unutrašnjosti stroja
- Vrata sa trostrukim staklom
- ugrađena sonda sa 5 mjernih mjesta, pokazivačem neispravnosti uboda sonde i gredicom za lakše pozicioniranje sonde</t>
  </si>
  <si>
    <t xml:space="preserve"> - Funkcija mrežnog povezivanja uređaja putem mobilne aplikacije korištenjem ugrađenog Ethernet priključka omogućava:
1. mogućnost upravljanja strojem na daljinu pomoću računala ili mobitela
2. mogućnost servisne dijagnostike na daljinu – radi bržeg otkrivanja i određivanja kvarova
3. mogućnost pristupa HACCP podacima na daljinu
Dimenzije: 850x842x1014 mm
Priključna snaga: 18,9 kW
Napon: 400V 3N AC
Dovod vode R ¾''
Odvod vode DN 50
Kapacitet: GN posude (325 mm x 530 mm): 10
Razmak između razina vodilica: 68</t>
  </si>
  <si>
    <t>POSTOLJE KONVEKTOMATA
Dim. 850 x 842 x H=671 mm
Otvoreno, vodilice za GN posude</t>
  </si>
  <si>
    <t>INOX STOL SA DVOSTRANIM KLIZNIM VRATIMA
sa srednjom policom
dim. 1600X700x900 mm</t>
  </si>
  <si>
    <t>RASHLADNI INOX PULT 
Vidljiva leđa
dim. 2250X700x900 mm
3 rashladna boxa
temp. područje hlađenja: 0 do + 2°C
priključna snaga: 0,5 kW
priključni napon: 230V AC</t>
  </si>
  <si>
    <t>MIKROVALNA PEĆNICA – monofazna
Napon: 200V/1PH/50-60 Hz
Dim: 542x461xh=329 mm
Profesionalna mikrovalna pećnica sa ručnim kontrolama, od inoxa, 1 magnetron, 0 – 10 min ručni timer, 5 razine snage, rotacijski sistem, unutarnje osvjetljenje</t>
  </si>
  <si>
    <t>SANITARNI UMIVAONIK 
Mod: LM48
Dim: 480x350xh=530 mm
Struktura od inoxa, pogon je na koljeno</t>
  </si>
  <si>
    <t>KANTA ZA OTPATKE
diam. 390x605 mm
volumen posude 50 l
4 okretna kotačića</t>
  </si>
  <si>
    <t>INOX SORTIRNI STOL S RUPOM ZA OTPATKE I KORITOM, 
Rupa diam. 200 mm
sa zaštitom zida 
dim.korita 500x400
dim.2400x700x900</t>
  </si>
  <si>
    <t>PVC sifon – jednodjelni, u kompletu sa svim sitnopotrošnim materijalom.</t>
  </si>
  <si>
    <t>PRODUŽETAK ZA TUŠ
visina 200 mm</t>
  </si>
  <si>
    <t>STROJ ZA PRANJE POSUĐA
Kapacitet perilice 3 programa pranja: 40-28-24 košara/h Kapacitet perilice kod kratkog programa pranja 66 košara/h Četverostruki sistem filtriranja - koji se sastoji od površinskih sistema sita - zadržava krupne ostatke hrane, te ugrađenog uređaja za kontinuirano pročišćavanje lužine pranja (automatski odstranjuje čestice prljavštine te dovodi očišćenu otopinu pranja ponovo u komoru)
Automatski sustav samočišćenja
Automatsko pražnjenje komore (spremnika) po završetku samočišćenja perilice
Automatska detekcija stvaranja pjene i automatsko pokretanje programa za sprječavanje pjenjenja unutar perilice
Dnevnik higijene - automatsko dokumentiranje i snimanje
svih HACCP relevantnih podataka
Dodirni zaslon s prikazom funkcije rada stroja - postupno vođenje kroz izbornik simbolima i animacijama
Dvostruka stjenka stroja - niska emisija buke i onemogućen gubitak topline
Elektronska dijagnostika kvara
Senzor za stupanj zaprljanosti vode pranja
Spremnici za sredstvo za pranje i ispiranje posuđa
Dozirne pumpe za sredstvo pranja i ispiranja
Potrošnja vode za ispiranje: 2,4 l po ciklusu ispiranja Zapremnina spremnika: 15,3 l
Dimenzije košare: 500 x 500 mm
Visina ulaznog otvora: 404 mm</t>
  </si>
  <si>
    <t>Napon: 400 V, 50 Hz
El. priključna snaga: 7,9 kW – 16 A
Dimenzije: 600-650 x 600-650 x 750-850 mm</t>
  </si>
  <si>
    <t>AUTOMATSKI OMEKŠIVAČ VODE
Automatski omekšivač vode koji radi na principu izmjene iona. Omekšivač se sastoji od plastičnog spremnika za sol, dvije patrone od fiberglasa i upravljačke jedinice.
Uređaj za omekšavanje vode je pomičan i isporučuje se na kotačima.
Regulira omekšavanje bez napajanja električnom energijom. Potrošnja vode: ca. 19 l/ po regeneraciji
Potrošnja soli: ca. 0,3 - 0,5kg/ po regeneraciji
Punjenje solju: ca. 20 kg
Trajanje regeneracije: 12 minuta
Učinak protoka kod 2.5-6 bara optimalnog tlaka max.30l/min - kontinuirano
Max. tvrdoća vode: 40 °dH (mogućnost podešavanja do 45 °dH) Ulazna temperatura max 65°c
Težina: ca 21 kg
Dimenzije (š d v): 360 x 360 x 575 mm</t>
  </si>
  <si>
    <t xml:space="preserve">RASHLADNI ORMAR, INOX
Temperaturni režim -2/+10°C, 
Digitalna termostatska regulacija napon 230V/50Hz
Električno otapanje isparivača četiri puta dnevno
Isparavanje kondenzata odvija se u posudi, električnim grijačem
Zaobljeno unutarnje dno
Opremljen sa bravicom
U kompletu sa 3 para vodilica i sa 3 plastificirane rešetke
Vanjske dim. 720x845x2060 mm
Izrađen od INOX-a </t>
  </si>
  <si>
    <t>opis stavke</t>
  </si>
  <si>
    <t>jedinica mjere</t>
  </si>
  <si>
    <t>količina</t>
  </si>
  <si>
    <t>Ukupno jedinična cijena
(EUR)</t>
  </si>
  <si>
    <t>Cijena stavke
(EUR)</t>
  </si>
  <si>
    <t>P</t>
  </si>
  <si>
    <t>PRIKLJUČCI-VODOVOD I KANALIZACIJA</t>
  </si>
  <si>
    <t>P1</t>
  </si>
  <si>
    <t>ZEMLJANI RADOVI - VODOVOD</t>
  </si>
  <si>
    <t>Snimanje i utvrđivanje točnog položaja i dubine  postojećeg uličnog cjevovoda prema podacima nadležnih organizacija, na lokaciji izgradnje priključka.</t>
  </si>
  <si>
    <t>Geodetsko iskolčenje trase vanjskog vodovoda prije izvođenja radova-dužina 45 m</t>
  </si>
  <si>
    <t>Rezanje i rušenje postojeće asfaltne konstrukcije na mjestu priključka, odvoz na deponiju te naknadna sanacija asfaltne konstrukcije.
Sanacija asfaltne konstrukcije:
Izrada tampona od šljunčanog materijala. Tampon je potrebno zbijati do Me=80 MN/m2. Završno se gornji sloj (asfaltna konstrukcija) izvodi u slojevima 6+3 cm, 6 cm – nosivi vezni sloj («binder»), 3 cm – habajući sloj («topeka») , dok se postojeća konstrukcija na mjestu spoja premazuje bitumenskom emulzijom. Iskop i zatrpavanje se ne obračunavaju u ovoj stavci, već u stavci za iskop i  u stavci za zatrpavanje.</t>
  </si>
  <si>
    <t/>
  </si>
  <si>
    <t>rezanje postojeće asfaltne konstrukcije (uključeno rezanje u oba smjera) - točnu količinu utvrditi na licu mjesta ovisno o točnoj poziciji odvodnje</t>
  </si>
  <si>
    <t xml:space="preserve"> asfaltna konstrukcija</t>
  </si>
  <si>
    <r>
      <t>m</t>
    </r>
    <r>
      <rPr>
        <vertAlign val="superscript"/>
        <sz val="11"/>
        <rFont val="Calibri"/>
        <family val="2"/>
        <charset val="238"/>
      </rPr>
      <t>2</t>
    </r>
  </si>
  <si>
    <t xml:space="preserve">Iskop kanala u zemljištu III. kategorije za polaganje vodovodnih cijevi. Dubinu 
iskopa izvesti do 1,2m. Širina rova 0,6m. Predviđen je ručni iskop 30% i strojni iskop 70%.
NAPOMENA: Točnu kategoriju zemlje utvrditi na licu mjesta.
</t>
  </si>
  <si>
    <r>
      <t>m</t>
    </r>
    <r>
      <rPr>
        <vertAlign val="superscript"/>
        <sz val="11"/>
        <color theme="1"/>
        <rFont val="Calibri"/>
        <family val="2"/>
        <charset val="238"/>
      </rPr>
      <t>3</t>
    </r>
  </si>
  <si>
    <r>
      <t>m</t>
    </r>
    <r>
      <rPr>
        <vertAlign val="superscript"/>
        <sz val="11"/>
        <color theme="1"/>
        <rFont val="Calibri"/>
        <family val="2"/>
        <charset val="238"/>
      </rPr>
      <t>2</t>
    </r>
  </si>
  <si>
    <t>Dobava pijeska, ubacivanje u rov, te razastiranje s laganim nabijanjem oko i do visine od 15 cm iznad  tjemena cijevi.</t>
  </si>
  <si>
    <t>Odvoz materijala preostalog od iskopa, nakon zatrpavanja rova na gradsku deponiju (do 5 km), uključivo utovar, istovar i razastiranje.
Količina u rastresitom stanju za zemljište III kategorije</t>
  </si>
  <si>
    <t xml:space="preserve">Planiranje terena nakon izvršenog zatrpavanja rova. Pretpostavljena širina planiranja je 1,0 m. Obračun po m2 obrađene površine. </t>
  </si>
  <si>
    <t>P2</t>
  </si>
  <si>
    <t xml:space="preserve"> VODOVODNI RADOVI </t>
  </si>
  <si>
    <t xml:space="preserve">Izvedba priključka od PEHD 125 x 11,4 (DN100) na ulični cjevovod PVC 200mm bušenjem cijevi.
Sve radove izvesti sukladno sa uputama distributera VG Vodoopskrba d.o.o. 
</t>
  </si>
  <si>
    <t xml:space="preserve">Dobava i montaža cijevi iz polietilena za pitku vodu. Cijevi su predviđene za izvedbu priključnog sanitarnog voda  sa radnim tlakom do 10 bar u mreži. Serija cijevi u odnosu na radni tlak: S 5. U dužni metar cijevi uračunato je spajanje cijevi, ispitivanje zavarenih dijelova na nepropusnost i čvrstoću te popravak oštećenja.  U stavku uračunati i elektrospojnice i sve fazonske komade.
</t>
  </si>
  <si>
    <t>a) PEHD - 125x11,4mm</t>
  </si>
  <si>
    <r>
      <t>Dobava i montaža PVC SN4 tvrdih zaštitnih cijevi za provođenje PEHD vodovodnih cijevi ispod temelja, uz kanalizaciju i na uvodima u vodomjerno okno.
Na proboje kroz V</t>
    </r>
    <r>
      <rPr>
        <sz val="11"/>
        <rFont val="Calibri"/>
        <family val="2"/>
        <scheme val="minor"/>
      </rPr>
      <t>O se postavlju zaštitne PVC cijevi te uvodnice.  Za cijev DN100 potrebni profil zaštitne cijevi iznosi DN150. U stavku uračunati i 1 kom</t>
    </r>
    <r>
      <rPr>
        <sz val="10"/>
        <rFont val="Arial"/>
        <family val="2"/>
        <charset val="238"/>
      </rPr>
      <t xml:space="preserve"> uvodnica</t>
    </r>
  </si>
  <si>
    <t>DN  150</t>
  </si>
  <si>
    <t>Dobava i  ugradnja  armature u VO, svi za minimalno PN 10 bar. U cijenu su uključeni vijci, sav brtveni i spojni materijal te potreban rad. Obračun po montiranom komadu. U cijenu uračunato čišćenje i dezinfekcija gradske vodovodne mreže.</t>
  </si>
  <si>
    <t>Spojni E-BS komad sa prirubnicom DN 100mm na PEHD 125 mm  kom 1</t>
  </si>
  <si>
    <t>FF komad DN 100 mm l = 80 cm  kom 1</t>
  </si>
  <si>
    <t>T komad DN 100/50 mm  kom 1</t>
  </si>
  <si>
    <t>EVX zasun DN 100 mm   kom 1</t>
  </si>
  <si>
    <t>Hvatač nečistoća DN 100 mm   kom 1;</t>
  </si>
  <si>
    <t xml:space="preserve">MDK DN 100 mm   kom 1; </t>
  </si>
  <si>
    <t>FFR DN 100/80 mm l= 200 mm   kom 1</t>
  </si>
  <si>
    <t>Vodomjer požarne vode DN80 Qn=40 m3/h kom 1</t>
  </si>
  <si>
    <t>X prirubnica DN50 s navojnim priključkom DN40 kom 1</t>
  </si>
  <si>
    <t>Q komad DN40 kom1</t>
  </si>
  <si>
    <t>kuglasti ventil DN40 kom 1</t>
  </si>
  <si>
    <t>hvatač nečistoča DN40</t>
  </si>
  <si>
    <t>nastavak za vodomjer DN40-1 kom</t>
  </si>
  <si>
    <t>Horizontalni vodomjer VM, Qpot= 5,0 m3/h, točan tip prema uvjetu distributera- 1 kom</t>
  </si>
  <si>
    <t>Ispiranje te ispitivanje dijela vodovodne mreže - priključak pod tlakom 6 i 10 bara</t>
  </si>
  <si>
    <t>Dezinfekcija dijela vodovodne mreže - priključak sredstvom za dezinfekciju prema uputstvu za dezinfekciju</t>
  </si>
  <si>
    <t>Bakteriološka analiza uzoraka vode iz priključnog cjevovoda nakon dezinfekcije, ovjerena od ovlaštene institucije</t>
  </si>
  <si>
    <t>P3</t>
  </si>
  <si>
    <t>OSTALI TROŠKOVI</t>
  </si>
  <si>
    <t>A</t>
  </si>
  <si>
    <t>VANJSKI VODOVOD I KANALIZACIJA</t>
  </si>
  <si>
    <t>A1</t>
  </si>
  <si>
    <t xml:space="preserve">Iskop kanala u zemljištu III. kategorije za polaganje vodovodnih cijevi. Dubinu 
iskopa izvesti do 1,2m. Širina rova 0,8 m. Predviđen je ručni iskop 30% i strojni iskop 70%.
NAPOMENA: Točnu kategoriju zemlje utvrditi na licu mjesta.
</t>
  </si>
  <si>
    <t>Proširenje dna rova u zemljištu III. kategorije radi izvedbe vodomjernog okna. Iskopani materijal odbaciti na udaljenost preko 1.0 m od bočne ivice rova, kako bi se spriječilo urušavanje iskopanog materijala u rov.</t>
  </si>
  <si>
    <t>A2</t>
  </si>
  <si>
    <t>ZEMLJANI RADOVI - KANALIZACIJA</t>
  </si>
  <si>
    <t>Proširenje dna rova u zemljištu III. kategorije radi izvedbe revizijskih okana, mastolova i spremnika kišnice . Iskopani materijal odbaciti na udaljenost preko 1.0 m od bočne ivice rova, kako bi se spriječilo urušavanje iskopanog materijala u rov.</t>
  </si>
  <si>
    <t>Dobava i polaganje u rov iznad kanalizacijski cijevi PVC trake sa natpisom "POZOR - kanalizacija" i vodljivom žicom za detekciju trase</t>
  </si>
  <si>
    <t>Zatrpavanje rova materijalom od iskopa, po slojevima od 30 cm, uz istovremeno obilno močenje i nabijanje materijala ručnim nabijačima.</t>
  </si>
  <si>
    <t xml:space="preserve">Odvoz viška materijala na deponiju
 Sav višak materijala iz iskopa rovova za kanalizacijske kolektore i priključke, građevinskih jama za kontrolna okna i vodolovna grla, a koji je ostao nakon zatrpavanja istih mora se odvesti na deponiju udaljenosti do 5 km. 
U cijenu je uključen utovar, prijevoz, istovar, te razastiranje materijala.
 Obračun po m3 materijala, u rastresitom stanju.
</t>
  </si>
  <si>
    <t>A3</t>
  </si>
  <si>
    <t>BETONSKI RADOVI - VODOVOD</t>
  </si>
  <si>
    <t xml:space="preserve">Izvedba vodomjernog okna armiranim vodonepropusnim betonom C 25/30 u dvostranoj  oplati,  debljine  bočnih stijenki 20 cm. Stjenke okna ožbukati cementnom  žbukom  1:2  zaglađenom do crnog sjaja. Iznad okna na dubini oko 30 cm  od  kote  uređenog terena izvesti armirano-betonsku ploču  C25/30, debljine 15 cm s otvorom 60x60 cm.  Iznad  otvora  u ploči montirati lijevano-željezni poklopac s okvirom vel. 600x600 mm  (uzeti u obzir u ovoj stavci). Poklopac ne smije biti na parkiralištu ili kolniku, a mora biti lakog tipa (ispod opt. 50 kn) s dvije uvlačno-izvlačne ručke koje se mogu uhvatiti punom šakom. </t>
  </si>
  <si>
    <r>
      <rPr>
        <sz val="11"/>
        <rFont val="Calibri"/>
        <family val="2"/>
        <scheme val="minor"/>
      </rPr>
      <t xml:space="preserve">*- vodomjerno okno vanjskih dim.
vel. 490x220x240cm
</t>
    </r>
    <r>
      <rPr>
        <sz val="10"/>
        <rFont val="Arial"/>
        <family val="2"/>
        <charset val="238"/>
      </rPr>
      <t xml:space="preserve">NAPOMENA: Točne mjere vodomjernog okna utvrditi sa distributerom nadležnim za  vodovod.
</t>
    </r>
  </si>
  <si>
    <t>Izrada betonskih sidrenih blokova na horizontalnim lomovima trase cjevovoda betonom C 15/20. U cijenu uključeno proširenje i produbljenje rova na mijestu bloka te izvedba u odgovarajućoj oplati.</t>
  </si>
  <si>
    <t>Dobava i ugradnja betonskog postolja u vodomjernom  oknu izrađenog iz betona C 15/20. U cijenu uračunata potrebna oplata, sav materijal i rad. Obračun po komadu izvedenog uporišta, do 0,04m3</t>
  </si>
  <si>
    <r>
      <t xml:space="preserve">Izvedba prostorije za smještaj požarne hidrostanice armiranim vodonepropusnim betonom C 25/30 u dvostranoj  oplati,  debljine  bočnih stijenki 20 cm. Stjenke okna ožbukati cementnom  žbukom  1:2  zaglađenom do crnog sjaja. Iznad okna na dubini oko 30 cm  od  kote  uređenog terena izvesti armirano-betonsku ploču  C25/30, debljine 15 cm s otvorom 60x60 cm.  Iznad  otvora  u ploči montirati lijevano-željezni poklopac s okvirom vel. 600x600 mm  (uzeti u obzir u ovoj stavci). Poklopac ne smije biti na parkiralištu ili kolniku, a mora biti lakog tipa (ispod opt. 50 kn) s dvije uvlačno-izvlačne ručke koje se mogu uhvatiti punom šakom. 
Približne vanjske dimenzije prostorije: 300x240x270 cm
</t>
    </r>
    <r>
      <rPr>
        <b/>
        <sz val="11"/>
        <rFont val="Calibri"/>
        <family val="2"/>
        <scheme val="minor"/>
      </rPr>
      <t>NAPOMENA: Točne mjere  utvrditi nakon dobave hidrostanice.</t>
    </r>
  </si>
  <si>
    <t>A4</t>
  </si>
  <si>
    <t>BETONSKI RADOVI - KANALIZACIJA</t>
  </si>
  <si>
    <t xml:space="preserve">Izvedba revizionog okna na kanalizaciji armiranim vodonepropusnim nabijenim betonom C30/37 u dvostranoj  oplati, debljine stijenki 20 cm.  Stjenke okna ožbukati cementnom žbukom 1:2 zaglađenom do crnog sjaja. </t>
  </si>
  <si>
    <t>Iznad okna na dubini oko 10 cm od kote uređenog terena izvesti armirano-betonsku ploču C25/30, debljine 15 cm s otvorom za silazak u okno. Iznad  otvora u ploči montirati poklopac s okvirom veličine poklopca 600x600 mm za opterećenje B125kN na prometnim površinama i A15 na zelenim površinama (uzeti u obzir u ovoj stavci). U cijeni je izvedba, dobava i ugradnja stupaljki u stjenke revizionog okna izrađene iz lijevanog željeza. Prije ugradbe, stupaljke od korozije zaštititi dvostrukim premazom uljane boje.</t>
  </si>
  <si>
    <t>a)  dubine do 1,4m -  vel. 80x80 cm</t>
  </si>
  <si>
    <t>b)  dubine od 1,4m -  vel. 80x80 cm</t>
  </si>
  <si>
    <t>Izvedba sabirne jame zatvorenog tipa,približnih vanjskih dim. 4,4x3,6x3,0m vodonepropusnim betonom C 30/37, debljine vanjskih zidova 20 cm. Minimalni korisni volumen sabirne jame (ispod uljevne cijevi) mora iznositi 33m3. Na dubini oko 100 cm (stvarnu dubinu utvrditi na licu mjesta) ispod kote uređenog terena, izvesti gornju kotu armirano betonskom pločom C 25/30, debljine 20 cm, s šahtom na visini terena s otvorima  vel. 60x60 cm za silazak u jamu. Iznad otvora montirati lijevano-željezne poklopce nosivosti 5t. . Stavka podrazumijeva dobavu i ugradnju penjalica. Sve komplet.</t>
  </si>
  <si>
    <t>Podrazumijeva sav rad i materijal, sve prijevoze i prijenose, rad na izradi, ugradnji i njezi betona, te eventualno crpljenje vode. U cijenu oplate je uključena dobava, montaža i demontaža oplate te potrebno podupiranje. Uključivo potrebna armatura - odrediti statičkim proračunom.</t>
  </si>
  <si>
    <t>A5</t>
  </si>
  <si>
    <t>Sanitarna mreža</t>
  </si>
  <si>
    <t>a) PEHD - 63x5,8mm</t>
  </si>
  <si>
    <r>
      <t>Dobava i montaža PVC SN4 tvrdih zaštitnih cijevi za provođenje PEHD vodovodnih cijevi ispod temelja, uz kanalizaciju i na uvodima u vodomjerno okno te ispod kolnih površina.
Na proboje kroz VO i zasunsko okno se postavlju zaštitne PVC cijevi te uvod</t>
    </r>
    <r>
      <rPr>
        <sz val="11"/>
        <rFont val="Calibri"/>
        <family val="2"/>
        <scheme val="minor"/>
      </rPr>
      <t>nice.  Za vođenje cijevi profila DN50 potrebni profil zaštitne cijevi iznosi DN100. U stavku uračunati i 4 kom</t>
    </r>
    <r>
      <rPr>
        <sz val="10"/>
        <rFont val="Arial"/>
        <family val="2"/>
        <charset val="238"/>
      </rPr>
      <t xml:space="preserve"> uvodnica.</t>
    </r>
  </si>
  <si>
    <t>DN  100</t>
  </si>
  <si>
    <t>VODOMJERNO OKNO</t>
  </si>
  <si>
    <t xml:space="preserve">ZOPT EC DN 100 mm  kom 1 (Zaštitnik od povratnog toka) </t>
  </si>
  <si>
    <t>Spojni E-BS komad sa prirubnicom DN 100  mm na PEHD 125 mm  kom 1</t>
  </si>
  <si>
    <t>kulgasti ventil DN40  s ispustom-2kom</t>
  </si>
  <si>
    <t>ZOPT EA DN DN40- 1 kom</t>
  </si>
  <si>
    <t>ISO fiting, DN40- 1 kom</t>
  </si>
  <si>
    <t>Dobava i ugradnja vrtne fontane (slavine). U stavku uključiti sav sitni i potrošni materijal koji je potreban za dovođenje stavke do potpune funkcionalnosti.</t>
  </si>
  <si>
    <t>Ispiranje te ispitivanje interne vodovodne mreže pod tlakom 6 i 10 bara</t>
  </si>
  <si>
    <t>Dezinfekcija interne vodovodne mreže sredstvom za dezinfekciju prema uputstvu za dezinfekciju</t>
  </si>
  <si>
    <t>Bakteriološka analiza uzoraka vode iz internog cjevovoda nakon dezinfekcije, ovjerena od ovlaštene institucije</t>
  </si>
  <si>
    <t>Hidrantska mreža</t>
  </si>
  <si>
    <t>Dobava i montaža hidrostanice (protupožarne) s dvije spojene crpke montirane na zajednički okvir iz materijala AISI 304, ulaznim i izlaznim kolektorom iz materijala AISI 316 TI, armaturom na način da svaka crpka ima nepovratni ventil i dva zasuna, ormarićem za upravljanje s ugrađenom mikroprocesorom kontroliranom jedinicom s LCD zaslonom veličine 5“, mogućnošću automatske kaskadne kontrole crpki, automatskom samokontrolom crpki, te funkcijama zaštite i monitoringa crpki.
Ugrađene crpke su vertikalne, in-line crpke s patronskim mehaničkim brtvama, motorima klase energetske efikasnosti IE3 i ugrađenom termičkom zaštitom, izrađene iz nehrđajućeg čelika AISI 304.</t>
  </si>
  <si>
    <t xml:space="preserve">Indeks minimalne efikasnosti MEI ≥ 0,7.
Nominalna snaga P2 pojedine crpke: 4 [kW]
Nepovratne ventile hidrostanice potrebno je postaviti na usisnu stranu svake crpke.
S hidrostanicom isporučiti membranski spremnik kapaciteta 300 [l], PN10, koji se postavlja na tlačnu stranu hidrostanice, te nivo plovak za zaštitu od rada na suho.
Uz hidrostanicu isporučiti i izjavu o sukladnosti.
Puštanje u pogon hidrostanice treba biti izvedeno od strane servisa ovlaštenog od proizvođača </t>
  </si>
  <si>
    <t>Radna točka
Q = 10 [l/s]
H = 50 [m]
Efikasnost crpki u radnoj točki: minimalno 70 [%]
Režim rada: 2 radne crpke (2+0)</t>
  </si>
  <si>
    <t>Dobava i ugradnja:
Zidnog odsisnog ventilatora za ugradnju u prostor hidrostanice.</t>
  </si>
  <si>
    <t>ф 100
q=100 m3/h
dp=25 Pa
230V / 50Hz / 15 W
- s ugrađenom nepovratnom zaklopkom
- s osjetnikom vlage u prostoru
- upravljanje preko osjetnika vlage</t>
  </si>
  <si>
    <t>U cijenu uključiti ventilacijsku cijevi 1,5 m, koljeno 90° sve u profilu ф 100, te sav potreban spojni i montažni materijal do potpune gotovosti.</t>
  </si>
  <si>
    <t xml:space="preserve">Dobava i montaža cijevi iz polietilena za pitku vodu. Cijevi su predviđene za izvedbu priključnog hidrantskog voda  sa radnim tlakom do 16 bar u mreži. Serija cijevi u odnosu na radni tlak: S 5. U dužni metar cijevi uračunato je spajanje cijevi, ispitivanje zavarenih dijelova na nepropusnost i čvrstoću te popravak oštećenja.  U stavku uračunati i elektrospojnice i sve fazonske komade.
</t>
  </si>
  <si>
    <t>a) PEHD - 125x11,4 mm</t>
  </si>
  <si>
    <t>a) PEHD - 63x5,8 mm</t>
  </si>
  <si>
    <t>N 90 (DIN 28538) DN 100 mm - kom 1</t>
  </si>
  <si>
    <t xml:space="preserve">Nadzemni ukrasni hidrant s lomljivim stupom. Oblik i mjere prema HRN EN 1074-6 ili jednakovrijedno. Hidrant s dvije B - spojke Ø 65 i jednom A - spojkom Ø 100. Materijal – sklop.
Proizvodi se prema HRN EN 1074-6 ili jednakovrijedno.
Potrebna dimenzija:
DN 100 x 2200; PN 10 </t>
  </si>
  <si>
    <t>Funkcionalno ispitivanje hidranata od strane ovlaštene službe, te izdavanje potvrde u pismenom obliku.</t>
  </si>
  <si>
    <t>A6</t>
  </si>
  <si>
    <t>KANALIZACIJSKI RADOVI - MONTAŽNI</t>
  </si>
  <si>
    <t>Dobava i montaža tvrdih PVC SN4 i SN8 tvrdih cijevi i fazonskih komada za kanalizaciju. Spajanje cijevi izvoditi  gumenim prstenima</t>
  </si>
  <si>
    <t>a) cijev PVC - SN8</t>
  </si>
  <si>
    <t>b) fazonski komadi - SN8</t>
  </si>
  <si>
    <t>c) cijev PVC - SN4 (ispod temeljne ploče/u temeljnoj ploči)</t>
  </si>
  <si>
    <t>d) fazonski komadi - SN4(ispod temeljne ploče/u temeljnoj ploči)</t>
  </si>
  <si>
    <t>Dobava i ugradnja vodonepropusne brtve - priključka na betonsko reviziono okno za PVC cijevi</t>
  </si>
  <si>
    <t>a) DN150</t>
  </si>
  <si>
    <t xml:space="preserve">Dobava i montaža sustava za prikupljanje kišnice.  U stavku uključiti:
-TANK izrađen od lijevanog  polietilena visoke čvrstoće, koji se može upotrebljavati kao cisterna, odnosno rezervoar za pitku vodu i ostale tekućine.
Predviđen isključivo za ukopavanje. Kod prisustva podzemnih voda spremnik treba postaviti na AB ploču od 20cm, i bočno zasipati mršavim betonom do ispod U/I cijevi.
Unutar spremnika ugrađuje se gibljiva usisna cijev sa plutačom i tzv. basket filterom na usisu kako bi se crpila voda iz "najčišćeg" dijela (cca. 20 - 30 cm ispod površine).
Na spremniku se nalazi preljevna cijev s tzv. žabljim nepovratnim ventilom koji sprječava ulaz životinja u tank, a koja se spaja u zasebni upojni bunar, čime se otklanja rizik oštećenja u slučaju naleta veće količine vode od same zapremine spremnika i priključak za crpljenje od 1''.
Na ulasku u spremnik ugrađuje se filterska košara koja služi za uklanjanje lišća i ostalog materijala .
    </t>
  </si>
  <si>
    <t>Volumen neto 3000 lit.</t>
  </si>
  <si>
    <t>nivo regulator (sklopku) 
EMV ventil
samousisnu crpku
filtracijska košara
produžetak
filtracijski set
Ustavku je potrebno uključiti sav sitni i potrošni materijal koji je potreban za dovođenje stavke do potpune funkcionalnosti.</t>
  </si>
  <si>
    <t xml:space="preserve">SEPARATOR MASNOĆA
Dobava i ugradnja separatora  masti biljnog i životinjskog porijekla. Separator mora biti konstruiran, proizveden i testiran prema HRN EN 1825 ili jednakovrijedno nazivnog protoka Q= 7,0 l/s integriranom taložnicom zapremnine 700 lit.           
Minimalni kapacitet uskladištene izdvojene masti mora biti 280 lit dok sveukupni volumen ne smije biti veći od 1500 lit.
Uljev i izljev separatora moraju biti DN 150, utični spoj s kliznom brtvom (prema HRN EN 1401 ili jednakovrijedno - UKC cijevi). 
Dubina uljevne cijevi mjereno od kote poklopca do kote dna cijevi uljeva T = 0,7 m do 5,38 m (točnu dubinu treba definirati prije naručivanja separatora). Separator se treba isporučivati s poklopc-em/-ima prema HRN EN 124 ili jednakovrijedno klase nosivosti A15, svijetlog otvora promjera 600mm s natpisom: "SEPARATOR". </t>
  </si>
  <si>
    <r>
      <t xml:space="preserve">Separator mora biti izrađen iz armiranog betona prema HRN EN 206-1 ili jednakovrijedno, razreda čvrstoče C35/45, razreda izloženosti: XA2, XC4, XD2, XF3, XS2.
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ili jednakovrijedno.                                 </t>
    </r>
    <r>
      <rPr>
        <b/>
        <sz val="11"/>
        <color theme="1"/>
        <rFont val="Calibri"/>
        <family val="2"/>
        <charset val="238"/>
        <scheme val="minor"/>
      </rPr>
      <t xml:space="preserve">NAPOMENA:sve tehničke karakteristike mogu odstupati +/- 5%  </t>
    </r>
  </si>
  <si>
    <r>
      <t xml:space="preserve">Dobava i montaža kanala za odvodnju sa kuhinjskih podova.
</t>
    </r>
    <r>
      <rPr>
        <sz val="11"/>
        <color theme="1"/>
        <rFont val="Calibri"/>
        <family val="2"/>
        <scheme val="minor"/>
      </rPr>
      <t xml:space="preserve">Dobava i montaža kanala za odvodnju kuhinje u higijenskoj izvedbi. Tijelo kanala iz nehrđajućeg čelika AISI 304 ili jednakovrijedno dodatno zaštićen postupkom piko-pasivizacije. Svi spojevi izrađeni sa radijusom većim od 3 mm prema higijnskom dizajnu HRN EN 14159 ili jednakovrijedno te EHEDG ili jednakovrijednim standardima za prehrambenu industriju, radi lakšeg čišćenja i održavanja. Tijelo sa prirubnicom za plitku hidroizolaciju, izvedeno sa padom prema sredini i izljevom Ø 142 mm za spoj na podni slivnik 157. Slivnik sa horizontalnim izljevom DN100, protoka 2,8 l/sec i prirubnicom za uklještenje hidroizolacije. Tijelo opremljeno ankerima za beton i nogicama za nivelaciju prilikom ugradnje te sitom za sakupljenje nečistoća. Pokrovna rešetka protuklizna, mrežasta razreda opterećenja A15 za pješaćko opterećenje. Završna obrada rešetke elektropoliranje radi lakšeg čišćenja.
</t>
    </r>
    <r>
      <rPr>
        <b/>
        <sz val="11"/>
        <color theme="1"/>
        <rFont val="Calibri"/>
        <family val="2"/>
        <scheme val="minor"/>
      </rPr>
      <t xml:space="preserve">NAPOMENA: Sve tehničke karakteristike mogu odstupati +/- 5% </t>
    </r>
  </si>
  <si>
    <t>a) kanal dimenzije 200 x 2030 x 60 mm</t>
  </si>
  <si>
    <t>b) kanal dimenzije 200 x 530 x 60 mm</t>
  </si>
  <si>
    <r>
      <rPr>
        <b/>
        <sz val="11"/>
        <color theme="1"/>
        <rFont val="Calibri"/>
        <family val="2"/>
        <scheme val="minor"/>
      </rPr>
      <t>Dobava i montaža slivnika za odvodnju sa kuhinjskih podova.</t>
    </r>
    <r>
      <rPr>
        <sz val="10"/>
        <rFont val="Arial"/>
        <family val="2"/>
        <charset val="238"/>
      </rPr>
      <t xml:space="preserve">
Dobava i montaža podnog jednodijelnog   slivnika  izrađenog prema HRN EN 1253 ili jednakovrijedno, sa prirubnicom za plitku hidroizolaciju i izvadivim zaporom za miris (sifonom) i horizontalnim odvodom DN100, protoka 2,8 l/sec, sve izrađeno iz nehrđajućeg čelika AISI 304. Tijelo slivnika promjera 157 mm, sa prirubnicom za uklještenje hidroizolacije, dosjed za rešetku i zapor za miris izrađeni sa radijusom većim od 3 mm prema higijnskom dizajnu HRN EN 14159 ili jednakovrijedno te EHEDG standardima za prehrambenu industriju, radi lakšeg čišćenja i održavanja. Materijal dodatno zaštićen postupkom pikopasivizacije nakon izrade radi dodatne zaštite od agresivnih medija i korozije. Rešetka mrežasta protuklizna, elektropolirana radi lakšeg čišćenja, klase nosivosti A15.</t>
    </r>
  </si>
  <si>
    <t>a) slivnik dimenzije 200x200 mm</t>
  </si>
  <si>
    <t>Funkcionalno ispitivanje interne  kanalizacije na vodonepropusnost od strane ovlaštene organizacije uz izdavanje Uvjerenja.</t>
  </si>
  <si>
    <t>A7</t>
  </si>
  <si>
    <t>B</t>
  </si>
  <si>
    <t xml:space="preserve">UNUTARNJA KANALIZACIJA </t>
  </si>
  <si>
    <t>B1</t>
  </si>
  <si>
    <t>BETONSKI RADOVI -  KANALIZACIJA</t>
  </si>
  <si>
    <t>Izvedba šliceva u podu i zidu građevine za polaganje  kanalizacijskih cijevi, te zatvaranje 
istih nakon montaže cijevi, cementnim  mortom 1:2 (kod križanja instalacija, spajanje na sanitarne uređaje...)</t>
  </si>
  <si>
    <t xml:space="preserve">a) u podu od betona 10x10 cm </t>
  </si>
  <si>
    <r>
      <t>m</t>
    </r>
    <r>
      <rPr>
        <vertAlign val="superscript"/>
        <sz val="11"/>
        <color theme="1"/>
        <rFont val="Calibri"/>
        <family val="2"/>
        <scheme val="minor"/>
      </rPr>
      <t>1</t>
    </r>
  </si>
  <si>
    <t xml:space="preserve">b) u zidu od betona 10x10 cm </t>
  </si>
  <si>
    <t>B2</t>
  </si>
  <si>
    <t xml:space="preserve"> KANALIZACIJSKI RADOVI</t>
  </si>
  <si>
    <r>
      <t>Dobava i montaža PP niskošumnih kanalizacijskih cijevi (prema EN ISO/IEC 17025 ili jednakovrijedno i DIN 4109 ili</t>
    </r>
    <r>
      <rPr>
        <sz val="11"/>
        <color theme="1"/>
        <rFont val="Calibri"/>
        <family val="2"/>
        <scheme val="minor"/>
      </rPr>
      <t xml:space="preserve"> jednakovrijedno</t>
    </r>
    <r>
      <rPr>
        <sz val="10"/>
        <rFont val="Arial"/>
        <family val="2"/>
        <charset val="238"/>
      </rPr>
      <t xml:space="preserve">), te odgovarajućih fazonskih komada za vertikalnu kanalizaciju. Spajanje cijevi izvoditi usađivanjem u naglavke s gumenim prstenima. 
</t>
    </r>
  </si>
  <si>
    <t>a) niskošumna cijev PP (sanitarna kanalizacija, vertikale i razvod pod stropom)</t>
  </si>
  <si>
    <t>b) fazonski komadi (sanitarna kanalizacija, vertikale i razvod pod stropom)</t>
  </si>
  <si>
    <t>a) niskošumna cijev PP (oborinska kanalizacija, horizontalni dijelovi)</t>
  </si>
  <si>
    <t>b) fazonski komadi (oborinska kanalizacija, horizontalni dijelovi)</t>
  </si>
  <si>
    <t xml:space="preserve">Dobava i montaža toplinske i zvučne izolacije  vertikalno i horizontalno vođene sanitarno fekalne kanalizacije gotovim izolacijskim cijevima ili samoljepivim izolacijskim pločama, debljine 9mm. 
</t>
  </si>
  <si>
    <t>b) montaža na cijev DN  75</t>
  </si>
  <si>
    <t>b) montaža na cijev DN  100</t>
  </si>
  <si>
    <t xml:space="preserve">Dobava i montaža polipropilenskih kanalizacijskih cijevi visoke gustoće PP , te odgovarajućih fazonskih komada. Spajanje cijevi izvoditi usađivanjem u naglavke s gumenim prstenima. </t>
  </si>
  <si>
    <t>DN  32</t>
  </si>
  <si>
    <t>sa priključkom DN 100</t>
  </si>
  <si>
    <t>sa priključkom DN 75</t>
  </si>
  <si>
    <t>proboj do dimenzije DN100</t>
  </si>
  <si>
    <t>proboj do dimenzije DN75</t>
  </si>
  <si>
    <t xml:space="preserve">Spajanje sanitarnih uređaja u kuhinji (sudoper) na kanalizaciju (uključivo gumene brtve i potrebni sifoni DN50). </t>
  </si>
  <si>
    <t>Dobava i montaža kromiranog odvoda od perilice  i sušilice rublja sa kuglastom slavinom i zidnim sifonom sa zaporom mirisa. Sve komplet</t>
  </si>
  <si>
    <t>Dobava i montaža kromiranog odvoda od perilice  suđa sa kuglastom slavinom i zidnim sifonom sa zaporom mirisa. Sve komplet</t>
  </si>
  <si>
    <r>
      <t xml:space="preserve">Dobava, prijenos i montaža podnog suhog slivnika sa zaporom mirisa. 
S kromiranom rešetkom 120x120mm.
Obračun po kompletu
</t>
    </r>
    <r>
      <rPr>
        <b/>
        <sz val="11"/>
        <color theme="1"/>
        <rFont val="Calibri"/>
        <family val="2"/>
        <scheme val="minor"/>
      </rPr>
      <t xml:space="preserve">NAPOMENA: sve tehničke karakteristike mogu odstupati +/- 5%          </t>
    </r>
    <r>
      <rPr>
        <sz val="10"/>
        <rFont val="Arial"/>
        <family val="2"/>
        <charset val="238"/>
      </rPr>
      <t xml:space="preserve">     </t>
    </r>
  </si>
  <si>
    <t xml:space="preserve">Dobava i montaža dozračnog ventila  uključivo sav sitni i potrošni materijal koji je potreban za dovođenje stavke do potpune funkcionalnosti
</t>
  </si>
  <si>
    <t>sa priključkom DN50</t>
  </si>
  <si>
    <t xml:space="preserve">Dobava i montaža zidnog sifon za odvod kondenzata. 
</t>
  </si>
  <si>
    <t>Dobava i montaža privremenog građevinskog čepa za kanalizaciju od PP, za zatvaranje odvodnih priključaka u fazi gradnje.</t>
  </si>
  <si>
    <t>Dobava i montaža slivnika za ravni krov, sa tvornički ugrađenom hidroizolacijom, sa horizontalnim izljevom dimenzije DN75/110mm. Sve za kompletnu montažu zajedno sa brtvljenjem spoja između krova i slivnika.
Minimalna upojnost 2,5 l/s
u kompletu sa elektro grijačem</t>
  </si>
  <si>
    <t xml:space="preserve">Dobava i montaža krovnih ispusta - pipaca za sigurnosni ispust kišnice s krova i terase u slučaju začepljenja kišnih vertikala. Ispusti iz materijala otpornog na atmosferilije (bakar ili pocinčani čelik). </t>
  </si>
  <si>
    <t>dimenzije 20x10 cm dužine do 70cm</t>
  </si>
  <si>
    <t>Funkcionalno ispitivanje interne kanalizacijske instalacije od strane ovlaštene organizacije, uz izdavanje uvjerenja</t>
  </si>
  <si>
    <t>B3</t>
  </si>
  <si>
    <t>C</t>
  </si>
  <si>
    <t>UNUTARNJI VODOVOD</t>
  </si>
  <si>
    <t>C1</t>
  </si>
  <si>
    <t>BETONSKI RADOVI -  VODOVOD</t>
  </si>
  <si>
    <t>Izvedba šliceva u podu i zidu građevine za polaganje vodovodnih cijevi, te zatvaranje 
istih nakon montaže cijevi, cementnim  mortom 1:2. (kod križanja instalacija i spojevi na sanitarne uređaje - pretpostavljena količina)</t>
  </si>
  <si>
    <t>šlic vel. 7x5 cm</t>
  </si>
  <si>
    <t>C2</t>
  </si>
  <si>
    <t>VODOVODNI RADOVI</t>
  </si>
  <si>
    <t xml:space="preserve">Dobava i montaža  vodovodnih cijevi za vruću i hladnu pitku vodu, 67°C . Vodovodne cijevi isporučuju se u šipkama po 4m. U cijenu uračunati sav potreban sitni pribor, spojni materijal, fazonske komade, prelazne komade polipropilen/čelik i potreban učvrsni i ovjesni pribor.
HLADNA VODA
</t>
  </si>
  <si>
    <t>a) DN15</t>
  </si>
  <si>
    <t>b) DN20</t>
  </si>
  <si>
    <t>c) DN25</t>
  </si>
  <si>
    <t>d) DN32</t>
  </si>
  <si>
    <t xml:space="preserve">Dobava i montaža  vodovodnih cijevi za vruću i hladnu pitku vodu, 67°C . Vodovodne cijevi isporučuju se u šipkama po 4m. U cijenu uračunati sav potreban sitni pribor, spojni materijal, fazonske komade, prelazne komade polipropilen/čelik i potreban učvrsni i ovjesni pribor.
TOPLA VODA 
</t>
  </si>
  <si>
    <t>Dobava i montaža: Izolacija toplih plastičnih vodovodnih cijevi gotovim izolacijskim cijevima.</t>
  </si>
  <si>
    <t>a) DN15 - izolacija 20mm</t>
  </si>
  <si>
    <t>b) DN20 - izolacija 20mm</t>
  </si>
  <si>
    <t>c) DN25 - izolacija 30mm</t>
  </si>
  <si>
    <t>c) DN32- izolacija 30mm</t>
  </si>
  <si>
    <t xml:space="preserve">Dobava i montaža: Izolacija hladnih vodovodnih cijevi gotovim  izolacijskim cijevima tipa 
</t>
  </si>
  <si>
    <t>U zidovima, podovima</t>
  </si>
  <si>
    <t>a) DN15 - izolacija 9mm</t>
  </si>
  <si>
    <t>b) DN20 - izolacija 9mm</t>
  </si>
  <si>
    <t>c) DN25 - izolacija 9mm</t>
  </si>
  <si>
    <t>d) DN32 - izolacija 9mm</t>
  </si>
  <si>
    <t>Dobava i montaža ravnih propusnih ventila , za uzidanje s kapom.</t>
  </si>
  <si>
    <t>a) ventil Ø 20 mm</t>
  </si>
  <si>
    <t>Dobava i montaža kutnih ventila .</t>
  </si>
  <si>
    <t>a) ventil Ø 15 mm</t>
  </si>
  <si>
    <t>Dobava i montaža kuglastih ventila zajedno sa svim sitnim priborom za montažu.</t>
  </si>
  <si>
    <t>a) ventil Ø 15mm</t>
  </si>
  <si>
    <t>a) ventil Ø 25mm</t>
  </si>
  <si>
    <t>b) ventil Ø 32mm</t>
  </si>
  <si>
    <t>Dobava i montaža privremenog građevinskog čepa sa navojem od mesinga za provođenje tlačne probe cjevovoda. Čep za pritisak do 15 bar-a, samobrtveći sa ravnom brtvom i masivnim unutrašnjim imbusom SW12, plav ili crven.</t>
  </si>
  <si>
    <r>
      <t>Dobava i montaža podžbukne kutije s vratima dim.cca 30x30cm, za mont</t>
    </r>
    <r>
      <rPr>
        <sz val="11"/>
        <rFont val="Calibri"/>
        <family val="2"/>
        <scheme val="minor"/>
      </rPr>
      <t>ažu zapornog ventila na ulazu u građevinu, uključivo ventil DN40</t>
    </r>
    <r>
      <rPr>
        <sz val="10"/>
        <rFont val="Arial"/>
        <family val="2"/>
        <charset val="238"/>
      </rPr>
      <t xml:space="preserve"> s ispustom sa svim priborom potrebnim za montažu.
</t>
    </r>
    <r>
      <rPr>
        <b/>
        <sz val="11"/>
        <color theme="1"/>
        <rFont val="Calibri"/>
        <family val="2"/>
        <scheme val="minor"/>
      </rPr>
      <t>NAPOMENA: Sve tehničke karakteristike mogu odstupati +/- 5%</t>
    </r>
  </si>
  <si>
    <t>Dezinfekcija interne vodovodne mreže adekvatnim sredstvom za dezinfekciju prema uputstvu za dezinfekciju.</t>
  </si>
  <si>
    <t>Ispitivanje interne vodovodne mreže pod tlakom od 6, 10 i 15 bara.</t>
  </si>
  <si>
    <t>Bakteriološka analiza uzoraka vode iz internog cjevovoda nakon  dezinfekcije.</t>
  </si>
  <si>
    <t>Dobava i montaža čeličnih pocinčanih vodovodnih cijevi HRN C.B5. 225 ili jednakovrijedno komplet s pocinčanim fitinzima i ovjesnim i brtvenim priborom.  Sve komplet. (POŽARNI RAZVOD VODE)</t>
  </si>
  <si>
    <t>c) DN50</t>
  </si>
  <si>
    <t>Dobava i montaža hidrantskog ormarića  prema HR EN671-2 ili jednakovrijedno za ugradnju na zid, vel. 500x500x140 mm komplet sa ventilom DN52
uključivo:
tlačno trevira crijevo DN50 duljine 20 m,
mlaznica sa zasunom
kutni vatrogasni ventil sa stabilnom spojkom</t>
  </si>
  <si>
    <t xml:space="preserve">Ponuđeni tip:
_____________________________________
</t>
  </si>
  <si>
    <t>C3</t>
  </si>
  <si>
    <t>D</t>
  </si>
  <si>
    <t>SANITARIJE</t>
  </si>
  <si>
    <r>
      <t xml:space="preserve">Dobava, prijenos i montaža </t>
    </r>
    <r>
      <rPr>
        <b/>
        <sz val="11"/>
        <rFont val="Calibri"/>
        <family val="2"/>
        <charset val="238"/>
      </rPr>
      <t>kompletnog WC-a</t>
    </r>
    <r>
      <rPr>
        <sz val="11"/>
        <rFont val="Calibri"/>
        <family val="2"/>
        <charset val="238"/>
      </rPr>
      <t xml:space="preserve"> </t>
    </r>
    <r>
      <rPr>
        <b/>
        <sz val="11"/>
        <rFont val="Calibri"/>
        <family val="2"/>
        <charset val="238"/>
      </rPr>
      <t>za osobe smanjene pokretljivosti</t>
    </r>
    <r>
      <rPr>
        <sz val="11"/>
        <rFont val="Calibri"/>
        <family val="2"/>
        <charset val="238"/>
      </rPr>
      <t>,  koji se sastoji od:</t>
    </r>
  </si>
  <si>
    <t>-konzolne keramičke WC školjke I klase, min dužine 65cm, postavljene na visinu min 46cm,</t>
  </si>
  <si>
    <t xml:space="preserve">uključivo daska bez poklopca ali s naslonom bijele boje od kvalitetne plastike. </t>
  </si>
  <si>
    <t>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Element sadrži oslonce za montažu rukohvata s obje strane  i odgovarajuća tipka sa senzorom .</t>
  </si>
  <si>
    <t>-rukohvata obostrano (jedan fiksni, drugi podizni)</t>
  </si>
  <si>
    <r>
      <t xml:space="preserve">WC oznake EU Water Label (1. ili 2. razred potrošnje).  </t>
    </r>
    <r>
      <rPr>
        <b/>
        <sz val="11"/>
        <color theme="1"/>
        <rFont val="Calibri"/>
        <family val="2"/>
        <charset val="238"/>
        <scheme val="minor"/>
      </rPr>
      <t>NAPOMENA: Sve tehničke karakteristike mogu odstupati +/- 5%</t>
    </r>
  </si>
  <si>
    <r>
      <t xml:space="preserve">Dobava, prijenos i montaža </t>
    </r>
    <r>
      <rPr>
        <b/>
        <sz val="11"/>
        <rFont val="Calibri"/>
        <family val="2"/>
        <charset val="238"/>
        <scheme val="minor"/>
      </rPr>
      <t xml:space="preserve">kompletnog umivaonika za osobe smanjene pokretljivosti </t>
    </r>
    <r>
      <rPr>
        <sz val="10"/>
        <rFont val="Arial"/>
        <family val="2"/>
        <charset val="238"/>
      </rPr>
      <t>,  koji se sastoji od:</t>
    </r>
  </si>
  <si>
    <t>keramičkog  umivaonika posebne konstrukcije namijenjenog osobama u kolicima sa sifonom skrivenim u zidu</t>
  </si>
  <si>
    <t>montažnog instalacijskog elementa za bolnički umivaonik visine ugradnje 112 cm. Instalacijski element samonosiv za ugradnju u suhomontažnu zidnu ili predzidnu konstrukciju obloženu gipskartonskim pločama, komplet s  odvodnim koljenom d50 mm i ugradbenim sifonom, pločom s armaturnim priključcima ½" s uključenom zvučnom izolacijom, vijcima za učvršćenje keramike i svim potrebnim pričvrsnim priborom i spojnim materijalom;</t>
  </si>
  <si>
    <r>
      <t xml:space="preserve">stojeće </t>
    </r>
    <r>
      <rPr>
        <b/>
        <sz val="11"/>
        <rFont val="Calibri"/>
        <family val="2"/>
        <charset val="238"/>
        <scheme val="minor"/>
      </rPr>
      <t>elektronske senzorske armature</t>
    </r>
    <r>
      <rPr>
        <sz val="10"/>
        <rFont val="Arial"/>
        <family val="2"/>
        <charset val="238"/>
      </rPr>
      <t xml:space="preserve"> za umivaonik, protuvandalska izvedba s prethodno podesivim mehaničkim miješanjem TV+HV, perlatorom s ograničenjem protoka vode, dva gibljiva crijeva R⅜" za priključak vode sa sitima protiv nečistoća i nepovratnim ventilima. </t>
    </r>
  </si>
  <si>
    <t>gibljivim zakretnim ogledalom s dva zgloba</t>
  </si>
  <si>
    <t>- 2 kutna ventila DN15 spojenim na dovod vode;</t>
  </si>
  <si>
    <r>
      <t xml:space="preserve">Armatura oznake EU Water Label (1. ili 2. razred potrošnje) ima sistem uštede vode (potrošnja 5 l/min) i mogućnost ograničenja temperature vode. </t>
    </r>
    <r>
      <rPr>
        <b/>
        <sz val="11"/>
        <rFont val="Calibri"/>
        <family val="2"/>
        <charset val="238"/>
        <scheme val="minor"/>
      </rPr>
      <t>NAPOMENA: Sve tehničke karakteristike mogu odstupati +/- 5%</t>
    </r>
  </si>
  <si>
    <r>
      <t xml:space="preserve">Dobava, prijenos i montaža </t>
    </r>
    <r>
      <rPr>
        <b/>
        <sz val="11"/>
        <color theme="1"/>
        <rFont val="Calibri"/>
        <family val="2"/>
        <charset val="238"/>
      </rPr>
      <t>kompletnog WC-a</t>
    </r>
    <r>
      <rPr>
        <sz val="11"/>
        <color theme="1"/>
        <rFont val="Calibri"/>
        <family val="2"/>
        <charset val="238"/>
      </rPr>
      <t xml:space="preserve"> ,  koji se sastoji od:</t>
    </r>
  </si>
  <si>
    <t xml:space="preserve">konzolne keramičke WC školjke I klase, za &lt;4,5lit ispiranje, odignute od poda  6 cm </t>
  </si>
  <si>
    <t xml:space="preserve">Uključivo daska s poklopcem bijele boje od kvalitetne plastike. </t>
  </si>
  <si>
    <r>
      <t xml:space="preserve">montažnog instalacijskog elementa za WC školjku visine ugradnje 112 cm  s niskošumnim ugradbenim vodokotlićem. Tipka dvokoličinska plastična.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uključiti odgovarajuću tipku.      </t>
    </r>
    <r>
      <rPr>
        <b/>
        <sz val="11"/>
        <color theme="1"/>
        <rFont val="Calibri"/>
        <family val="2"/>
        <charset val="238"/>
        <scheme val="minor"/>
      </rPr>
      <t>NAPOMENA: Sve tehničke karakteristike mogu odstupati +/- 5%</t>
    </r>
  </si>
  <si>
    <t>-dobava, prijenos i ugradnja</t>
  </si>
  <si>
    <t xml:space="preserve">WC oznake EU Water Label (1. ili 2. razred potrošnje). </t>
  </si>
  <si>
    <r>
      <t xml:space="preserve">Dobava, prijenos i montaža </t>
    </r>
    <r>
      <rPr>
        <b/>
        <sz val="11"/>
        <color theme="1"/>
        <rFont val="Calibri"/>
        <family val="2"/>
        <charset val="238"/>
      </rPr>
      <t>kompletnog umivaonika</t>
    </r>
    <r>
      <rPr>
        <sz val="11"/>
        <color theme="1"/>
        <rFont val="Calibri"/>
        <family val="2"/>
        <charset val="238"/>
      </rPr>
      <t>,  koji se sastoji od:</t>
    </r>
  </si>
  <si>
    <t>*-keramičkog umivaonika  s poniklanim samočistećim sifonom s ispustom d32 mm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t>
  </si>
  <si>
    <r>
      <t xml:space="preserve">
• jednoručne  stojeće mješajuće baterije za THV Ø15mm uključivo i kutne ventile za THV
• kutnim ventilima (spoj na vodovod) sa ukrasnom kapom i rozetom 
• svim potrebnim priborom za brtvljenje i montažu                                                         </t>
    </r>
    <r>
      <rPr>
        <b/>
        <sz val="11"/>
        <color theme="1"/>
        <rFont val="Calibri"/>
        <family val="2"/>
        <charset val="238"/>
        <scheme val="minor"/>
      </rPr>
      <t>NAPOMENA: Sve tehničke karakteristike mogu odstupati +/- 5%</t>
    </r>
    <r>
      <rPr>
        <sz val="10"/>
        <rFont val="Arial"/>
        <family val="2"/>
        <charset val="238"/>
      </rPr>
      <t xml:space="preserve">
</t>
    </r>
  </si>
  <si>
    <t>Armatura oznake EU Water Label (1. ili 2. razred potrošnje) ima sistem uštede vode (potrošnja 5 l/min) i mogućnost ograničenja temperature vode.</t>
  </si>
  <si>
    <r>
      <t xml:space="preserve">Dobava, prijenos i montaža </t>
    </r>
    <r>
      <rPr>
        <b/>
        <sz val="11"/>
        <color theme="1"/>
        <rFont val="Calibri"/>
        <family val="2"/>
        <charset val="238"/>
      </rPr>
      <t>kompletnog dječjeg  WC-a</t>
    </r>
    <r>
      <rPr>
        <sz val="11"/>
        <color theme="1"/>
        <rFont val="Calibri"/>
        <family val="2"/>
        <charset val="238"/>
      </rPr>
      <t xml:space="preserve"> ,  koji se sastoji od:</t>
    </r>
  </si>
  <si>
    <t xml:space="preserve">- keramičke  WC školjke za djecu </t>
  </si>
  <si>
    <t xml:space="preserve">-dječje daske u boji, s poklopcem </t>
  </si>
  <si>
    <r>
      <t xml:space="preserve">-dječje konzolne keramičke WC školjke  dimenzije 53,9 x 33,7 cm                                        -montažnog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t>
    </r>
    <r>
      <rPr>
        <b/>
        <sz val="11"/>
        <rFont val="Calibri"/>
        <family val="2"/>
        <charset val="238"/>
        <scheme val="minor"/>
      </rPr>
      <t>NAPOMENA: Sve tehničke karakteristike mogu odstupati +/- 5%</t>
    </r>
  </si>
  <si>
    <r>
      <t>Dobava, prijenos i montaža</t>
    </r>
    <r>
      <rPr>
        <b/>
        <sz val="11"/>
        <color theme="1"/>
        <rFont val="Calibri"/>
        <family val="2"/>
        <charset val="238"/>
        <scheme val="minor"/>
      </rPr>
      <t xml:space="preserve"> kompletnog dječjeg umivaonika</t>
    </r>
    <r>
      <rPr>
        <sz val="10"/>
        <rFont val="Arial"/>
        <family val="2"/>
        <charset val="238"/>
      </rPr>
      <t>,  koji se sastoji od:</t>
    </r>
  </si>
  <si>
    <r>
      <t xml:space="preserve">-keramičkog umivaonika  50x41cm  s poniklanim samočistećim sifonom s ispustom d32 mm,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'-stojeće samoisključne hidrauličke armature za umivaonik, s podesivim mehaničkim miješanjem TV+HV, perlatorom s ograničenjem protoka vode, dva gibljiva crijeva R⅜" za priključak vode sa sitima protiv nečistoća i nepovratnim ventilima.                                                     </t>
    </r>
    <r>
      <rPr>
        <b/>
        <sz val="11"/>
        <color theme="1"/>
        <rFont val="Calibri"/>
        <family val="2"/>
        <charset val="238"/>
        <scheme val="minor"/>
      </rPr>
      <t>NAPOMENA: Sve tehničke karakteristike mogu odstupati +/- 5%</t>
    </r>
    <r>
      <rPr>
        <sz val="10"/>
        <rFont val="Arial"/>
        <family val="2"/>
        <charset val="238"/>
      </rPr>
      <t xml:space="preserve">
</t>
    </r>
  </si>
  <si>
    <t xml:space="preserve">
• jednoručne  stojeće mješajuće baterije za THV Ø15mm uključivo i kutne ventile za THV
• kutnim ventilima (spoj na vodovod) sa ukrasnom kapom i rozetom 
• svim potrebnim priborom za brtvljenje i montažu
</t>
  </si>
  <si>
    <r>
      <t xml:space="preserve">Dobava, prijenos i montaža </t>
    </r>
    <r>
      <rPr>
        <b/>
        <sz val="11"/>
        <rFont val="Calibri"/>
        <family val="2"/>
        <charset val="238"/>
        <scheme val="minor"/>
      </rPr>
      <t>kompletnog pisoara</t>
    </r>
    <r>
      <rPr>
        <sz val="10"/>
        <rFont val="Arial"/>
        <family val="2"/>
        <charset val="238"/>
      </rPr>
      <t xml:space="preserve"> u zajedničkim sanitarijama:</t>
    </r>
  </si>
  <si>
    <t xml:space="preserve">-konzolnog keramičkog pisoara od sanitarne keramike dimenzije 36 x 37 x 61 cm, model s dovodom odostraga te odvodom prema natrag. </t>
  </si>
  <si>
    <r>
      <t xml:space="preserve">-montažnog instalacijskog elementa za pisoar s skrivenim ulazom vode i raspršivačem, visine ugradnje 112-130 cm. Instalacijski element samonosiv za ugradnju u suhomontažnu zidnu ili predzidnu konstrukciju obloženu gipskartonskim pločama, komplet s integriranom fleksibilnom cijevi i priključkom na raspršivač vode ½", vijcima za učvršćenje keramike i svim potrebnim pričvrsnim priborom i spojnim materijalom.                                             </t>
    </r>
    <r>
      <rPr>
        <b/>
        <sz val="11"/>
        <rFont val="Calibri"/>
        <family val="2"/>
        <charset val="238"/>
        <scheme val="minor"/>
      </rPr>
      <t>NAPOMENA: Sve tehničke karakteristike mogu odstupati +/- 5%</t>
    </r>
    <r>
      <rPr>
        <sz val="11"/>
        <rFont val="Calibri"/>
        <family val="2"/>
        <charset val="238"/>
        <scheme val="minor"/>
      </rPr>
      <t xml:space="preserve">
</t>
    </r>
  </si>
  <si>
    <t>PISOAR</t>
  </si>
  <si>
    <r>
      <t xml:space="preserve">Dobava, prijenos i montaža </t>
    </r>
    <r>
      <rPr>
        <b/>
        <sz val="10"/>
        <rFont val="Arial"/>
        <family val="2"/>
      </rPr>
      <t>kompletne dječje kade</t>
    </r>
    <r>
      <rPr>
        <sz val="10"/>
        <rFont val="Arial"/>
        <family val="2"/>
        <charset val="238"/>
      </rPr>
      <t>,  koji se sastoji od:</t>
    </r>
  </si>
  <si>
    <r>
      <t>-kompletne dječje kade,</t>
    </r>
    <r>
      <rPr>
        <b/>
        <sz val="11"/>
        <rFont val="Calibri"/>
        <family val="2"/>
        <charset val="238"/>
        <scheme val="minor"/>
      </rPr>
      <t xml:space="preserve"> </t>
    </r>
    <r>
      <rPr>
        <sz val="11"/>
        <rFont val="Calibri"/>
        <family val="2"/>
        <charset val="238"/>
        <scheme val="minor"/>
      </rPr>
      <t>asimetrične forme izrađene  dimenzije 76,5x47 cm, dubine korita 27 cm, kompletne visine ugradnje 28,5 cm</t>
    </r>
  </si>
  <si>
    <t>-drveni pult za ugradnju dječje kade</t>
  </si>
  <si>
    <t>-stojeće jednoručne mješalice sa tušem</t>
  </si>
  <si>
    <r>
      <t xml:space="preserve">-dobava, prijenos i ugradnja       </t>
    </r>
    <r>
      <rPr>
        <b/>
        <sz val="11"/>
        <rFont val="Calibri"/>
        <family val="2"/>
        <charset val="238"/>
        <scheme val="minor"/>
      </rPr>
      <t>NAPOMENA: Sve tehničke karakteristike mogu odstupati +/- 5%</t>
    </r>
  </si>
  <si>
    <r>
      <t xml:space="preserve">Dobava i montaža TUŠ KADE. 
Komplet  funkcionalna izvedba sa:
- termoregulirajućom zidnom garniturom Ø 15 mm za TH vodu, telefon tušem, nosačem za tuš
- izljevnim ventilom Ø 32 mm za tuš kadu
- preljevnim ventilom Ø 25 mm
- priborom za brtvljenje i pričvršćenje
- L kabinom s staklenim vratima (kaljeno staklo) za učvrčenje na čvrste zidove </t>
    </r>
    <r>
      <rPr>
        <b/>
        <sz val="11"/>
        <color theme="1"/>
        <rFont val="Calibri"/>
        <family val="2"/>
        <charset val="238"/>
        <scheme val="minor"/>
      </rPr>
      <t>NAPOMENA: Sve tehničke karakteristike mogu odstupati +/- 5%</t>
    </r>
    <r>
      <rPr>
        <sz val="10"/>
        <rFont val="Arial"/>
        <family val="2"/>
        <charset val="238"/>
      </rPr>
      <t xml:space="preserve">
</t>
    </r>
  </si>
  <si>
    <t>a) Tuš kada  širine 900mm, dubine 900mm</t>
  </si>
  <si>
    <t>Sanitarna kanta</t>
  </si>
  <si>
    <t>-Sanitarna kanta za smeće-PVC, 16 l, otvaranje nogom</t>
  </si>
  <si>
    <t>Ogledalo 800x600x5 mm</t>
  </si>
  <si>
    <t>-Ogledalo 800x600x5 mm (±5%), montirano
na ploču izrađenu od iverice oplemenjene melaminskom
folijom debljine 18mm obrubljeno keder
trakom T-profila u, otpornom na ogrebotine. Pripremljeno za montažu na zid.</t>
  </si>
  <si>
    <t xml:space="preserve">Dozator za kremasti sapun  od kvalitetne ABS plastike u bijeloj boji. Količina punjenja 0,8 l (±5%). Prozorčić za kontrolu razine napunjenosti, s mogućnošću punjenja. Volumen 0,8 l </t>
  </si>
  <si>
    <t>Držač ručnika - kromirani</t>
  </si>
  <si>
    <t xml:space="preserve"> Kromirani , za pričvršćivanje na zid- Materijal izrade: mesing, završna obrada: krom</t>
  </si>
  <si>
    <t>Držač toaletnog papira</t>
  </si>
  <si>
    <t>Rolo za pričvršćivanje na zid- Materijal izrade: mesing, završna obrada: krom</t>
  </si>
  <si>
    <t>Vješalica</t>
  </si>
  <si>
    <t xml:space="preserve">Vakum vješalica od kroma za ugradnju na stolariju. Montaža bez bušenja, vakuum tehnologijom, i na neravnim površinama. </t>
  </si>
  <si>
    <t>E</t>
  </si>
  <si>
    <t>OSTALI RADOVI</t>
  </si>
  <si>
    <t>Pripremno - završni radovi uključivo upoznavanje sa objektom, kontakti sa nadzornom službom, usklađivanje sa ostalim sudionicima u gradnji o položaju elemenata sistema, te vođenje dokumentacije gradilišta.</t>
  </si>
  <si>
    <t>Primopredaja izvedenih radova, izrada uputa za rad i održavanje, izrada shema izvedenog stanja, signalno obilježavanje vodova i opreme, te potrebni natpisi upozorenja i obavještenja.</t>
  </si>
  <si>
    <t>Izrada tehničke dokumentacije izvedbenog projekta koju potpisuju izvođač i nadzor i predaja investitoru u 3 uvezana primjerka. Uz papirnatu verziju, predaje se i jedan primjerak u elektroničkom obliku/CD (standardni formati datoteka .doc .xls i .dwg)</t>
  </si>
  <si>
    <t>broj st.</t>
  </si>
  <si>
    <t>Opis</t>
  </si>
  <si>
    <t>jedinična mjera</t>
  </si>
  <si>
    <t>jedinična cijena</t>
  </si>
  <si>
    <t xml:space="preserve"> cijena</t>
  </si>
  <si>
    <t>A.</t>
  </si>
  <si>
    <t>INSTALACIJE:</t>
  </si>
  <si>
    <t>A.1</t>
  </si>
  <si>
    <t>Dobava i isporuka adresabilne centrale za dojavu požara. Centrala koja se u osnovnoj konfiguraciji sastoji od kućišta, upravljačkog panela s 10" dodirnim zaslonom, mogućnost prihvata najmanje dvije adresabilne petlje, do 125 elemenata. Mogućnost programiranja otpora i struje petlje ovisno o opterećenju petlje, najmanje tri režima: 50 mA / 2 x 45 Ω; 22 mA / 2 x 75 Ω; 20 mA / 2 x 100 Ω. Kućište omogućava prihvat dvije akumulatorske baterije kapaciteta do 12 V / 28 Ah. Integrirana napajačka jedinica nazivne snage 300 W, omogućava napajanje petlji ukupnom strujom od 10 A pri 24 V. Modul napajanja opremljen s dva beznaponska relejna kontakta za signale alarma i greške, te s dva 24-voltna izlaza za napajanje vanjskih uređaja strujom od najmanje 0,5 A.</t>
  </si>
  <si>
    <t>A.2</t>
  </si>
  <si>
    <t>Dobava i isporuka akumulatorske baterije 12 V / 18 Ah</t>
  </si>
  <si>
    <t>A.3</t>
  </si>
  <si>
    <t>Dobava i isporuka dojavnika za komunikaciju alarma i greške prema dežurnoj službi</t>
  </si>
  <si>
    <t>A.4</t>
  </si>
  <si>
    <t>Dobava i isporuka izdvojenog panela s 10" dodirnim zaslonom rezolucije 800x600, integriran s redundatnim kontrolerskim modulom i opremljen komunikacijskim modulom za povezivanje na centralu za dojavu požara.</t>
  </si>
  <si>
    <t>A.5</t>
  </si>
  <si>
    <t>Dobava i isporuka protupožarnog ormarića za smještaj vatrodojavne centrale s ugrađenim zaokretnim djelomično ostakljenim vratima, cijeli u klasi T60
- izrada od čeličnog pocinčanog lima
- završna obrada plastifikacijom u boji RAL kataloga po specifikaciji naručitelja
- ostakljena vrata izvedena su protupožarnim staklom u klasi F60, debljine 21mm
- ugrađena protupožarna brava po DIN-18250 ili jednakovrijedno: ___________________ i cilindar sa tri ključa
- certificiran po ovlaštenim ustanovama u RH
- s gumenom espandirajucom brtvom
- s otvorom za ventilaciju koji se u slučaju požara u neposrednoj blizini ormarića zatvara i zapečaćuje požarni sektor samog ormarića
- mora odgovarati dimenzijama vatrodojavne centrale</t>
  </si>
  <si>
    <t>A.6</t>
  </si>
  <si>
    <t>Dobava i isporuka adresabilnog dualnog optičkog detektora požara koji za detekciju dima koristi ultraljubičastu i infracrvenu LED diodu. Javljač mora podržavati mehanizam kompenzacaije kad se poveća zaprljanje komore. Mora imati ugrađen izolator petlje. Senzori u javljaču moraju podržavati tri režima rada: rad samo jednog senzora; istovremeni rad oba senzora uz alarm kod aktivacije bilo kojeg senzora; istovremeni rad oba senzora uz alarm kod aktivacije oba senzora istovremeno. Tehničke karakteristike: 
- radni napon najmanje u rasponu između 16,5 do 24,6 V
- struja u mirovanju ne veća od 0,15 mA
- minimalno 3 načina rada;
- radna temperatura minimalno u rasponu od -25˘C do +55°C</t>
  </si>
  <si>
    <t>A.7</t>
  </si>
  <si>
    <t>Dobava i isporuka adresabilnog dualnog optičkog detektora požara s integriranom sirenom koji za detekciju dima koristi ultraljubičastu i infracrvenu LED diodu. Javljač mora podržavati mehanizam kompenzacaije kad se poveća zaprljanje komore. Mora imati ugrađen izolator petlje. Senzori u javljaču moraju podržavati tri režima rada: rad samo jednog senzora; istovremeni rad oba senzora uz alarm kod aktivacije bilo kojeg senzora; istovremeni rad oba senzora uz alarm kod aktivacije oba senzora istovremeno. Tehničke karakteristike: 
- radni napon najmanje u rasponu između 16,5 do 24,6 V
- struja u mirovanju ne veća od 0,15 mA
- minimalno 3 načina rada;
- radna temperatura minimalno u rasponu od -10°C do +55°C
- mogućnost programiranja sirene putem centrale za dojavu požara
- jačina zvuka minimalno 85 dB/m iz jednog smjera odnosno minimalno 70 dB/m iz ostalih smjerova
- tip sirene: ton 4 kHz, 0,5 sekundi zvuk, 0,5 sekundi tišina</t>
  </si>
  <si>
    <t>A.8</t>
  </si>
  <si>
    <t>Dobava i isporuka adresabilnog multikriterijskog dualnog optičkog i dualnog termičkog detektora požara. Detektor za detekciju dima koristi ultraljubičastu i infracrvenu LED diodu. Za detekciju topline koristi dva detektora porasta temperature. Javljač podržava mehanizam kompenzacije kad se poveća zaprljanje komore. Ima ugrađen izolator petlje. Javljač mora podržavati minimalno šest načina rada: istovremeni rad dva senzora dima i dva senzora topline; istovremeni rad dva senzora dima; rad kao termički detektor; neovisan rad senzora dima i senzora topline; svi senzori ("AND" funkcija); svi senzori ili dostignut temperaturni prag termodiferencijalnog detektora. Tehničke karakteristike: 
- radni napon najmanje u rasponu između 16,5 do 24,6 V
- struja u mirovanju ne veća od 0,15 mA
- klasa detektora sukladno EN 54-5: A1R, A2R, BR, A2S, BS
- minimalno 6 načina rada;
- radna temperatura minimalno u rasponu od -25°C do +50°C (za načine rada s uključenim senzorom topline), od -25°C do +55°C (za ostale načine rada)</t>
  </si>
  <si>
    <t>A.9</t>
  </si>
  <si>
    <t>Dobava i isporuka podnožja za automatske javljače požara. Sadrži terminale za priključak instalacije bez korištenja vijaka. Sadrži sigurnosnu kopću koja onemogućava skidanje javljača s podnožja bez korištenja posebnog alata za demontažu.</t>
  </si>
  <si>
    <t>A.10</t>
  </si>
  <si>
    <t>Dobava i isporuka paralelnog indikatora prorade javljača</t>
  </si>
  <si>
    <t>A.11</t>
  </si>
  <si>
    <t>Dobava i isporuka adresabilne sirene. Sirenu aktivira centrala za dojavu požara izravno s petlje. Sirena ima mogućnost napajanja izravno iz petlje ili iz 9-voltne baterije tipa 6F22 ili jednakovrijedne. Uređaj omogućava automatsku promjenu izvora napajanja kako bi se postigla maksimalna glasnoća. Sirena opremljena izolatorom petlje. Radni napon u rasponu od 16,5 do 24,6 V (iz petlje) ili 24 V +/-8 V (s vanjskog izvora). Struja u mirovanju ne veća od 0,15 mA. Struja u alarmu ne veća od 0,6 mA. Glasnoća sirene najmanje 85 dB (napajanje iz petlje) odnosno najmanje 100 dB (uz vanjsko napajanje). Radna temperatura minimalno u rasponu između -10°C i + 55°C. IP 21.</t>
  </si>
  <si>
    <t>A.12</t>
  </si>
  <si>
    <t>Dobava i isporuka adresabilne sirene s bljeskalicom. Mogućnost odabira najmanje tri razine glasnoće. Uređaj opremljen izolatorom petlje. Napajanje u rasponu od 9,6 do 30 V. Struja petlje u mirovanju ne viša od 0,15 mA. Frekvencija bljeskanja 0,5 Hz. Glasnoća najmanje 103 dB. Kućište IP 21C.</t>
  </si>
  <si>
    <t>A.13</t>
  </si>
  <si>
    <t xml:space="preserve">Dobava i isporuka adresabilnog ručnog javljača. Opremljen izolatorom petlje. Alarm se signalizira treptajućom crvenom LED diodom. Elektronika ručnog javljača se nadzire putem centrale za dojavu požara; u slučaju pogoršanja parametara mikroprekidača, centrala signalizira kvar. Lokalno na javljaču se stanje kvara signalizira treptajućom žutom LED diodom. Javljač na sebi ima plastični poklopac kao zaštitu od slučajnog aktiviranja. Radni napon u rasponu od 16,5 do 24,6 V. Struja u mirovanju ne veća od 0,14 mA. Kućište minimalno IP55. Radna temperatura minimalno u rasponu između -40°C i +70°C. </t>
  </si>
  <si>
    <t>A.14</t>
  </si>
  <si>
    <t>Dobava i isporuka ulaznog modula s najmanje 4 beznaponska nadzorna kontakta. Struja mirovanja ne veća od 0,21 mA. Napajanje modula iz petlje, minimalno između 16,5 i 24,6 V DC. Radna temperatura minimalno u rasponu između -40°C i +85°C. Kućište najmanje IP 66.</t>
  </si>
  <si>
    <t>A.15</t>
  </si>
  <si>
    <t xml:space="preserve">Dobava i isporuka ulazno-izlaznog modula s najmanje 2 beznaponska izlazna kontakta i najmanje 2 beznaponska ulazna kontakta. Napajanje modula iz petlje, minimalno između 16,5 i 24,6 V DC. Struja mirovanja ne veća od 0,22 mA. Radna temperatura minimalno u rasponu između -40°C i +85°C. Kućište najmanje IP 66. </t>
  </si>
  <si>
    <t>A.16</t>
  </si>
  <si>
    <t>Dobava i isporuka knjige održavanja sustava za dojavu požara</t>
  </si>
  <si>
    <t>A.17</t>
  </si>
  <si>
    <t>Dobava i isporuka naljepnica D1 i D2 za označavanje puta i lokacije centrale za dojavu požara</t>
  </si>
  <si>
    <t>UKUPNO OPREMA:</t>
  </si>
  <si>
    <t>B.</t>
  </si>
  <si>
    <t>B.1</t>
  </si>
  <si>
    <t>Nabava, isporuka i polaganje kabela u instalacijske cijevi
- JB-H(St)H 2x2x0,8mm</t>
  </si>
  <si>
    <t>B.2</t>
  </si>
  <si>
    <t>B.3</t>
  </si>
  <si>
    <t>Nabava, isporuka i polaganje kabela u instalacijske cijevi
- NHXH (E30) 3x1,5mm2</t>
  </si>
  <si>
    <t>B.4</t>
  </si>
  <si>
    <t>Dobava, isporuka i ugradnja instalacijske cijevi za instalacije sustava dojave požara, uključujući sav potrebni instalacijski spojni i montažni pribor i materijal (tiple, vijci, koljena, obujmice i vezice)</t>
  </si>
  <si>
    <t>B.5</t>
  </si>
  <si>
    <t>Isporuka i stručno izvođenje protupožarnog brtvljenja F-90 (S-90) prolaza instalacija (električnih i cijevnih) kroz granice požarnih zona</t>
  </si>
  <si>
    <t>Pločama od kamene vune, ispunjava se šupljina u zidu (stropu) te se naknadno
aplicira sa ekspandirajućom prevlakom po instalacijama i ispunjenom otvoru sa 
obadvije strane prodora. 
Min. debljina je 3-4 mm sa potrošnjom ca. 1850 g/m2/mm suhog filma. 
Prodor instalacija obilježava se identifikacijskom naljepnicom izdanom od strane ovlaštene osobe</t>
  </si>
  <si>
    <r>
      <t>veličina otvora do 0.01 m</t>
    </r>
    <r>
      <rPr>
        <vertAlign val="superscript"/>
        <sz val="10"/>
        <rFont val="Arial Narrow"/>
        <family val="2"/>
      </rPr>
      <t>2</t>
    </r>
  </si>
  <si>
    <t>UKUPNO INSTALACIJE:</t>
  </si>
  <si>
    <t>C.</t>
  </si>
  <si>
    <t>RADOVI I USLUGE</t>
  </si>
  <si>
    <t>C.1</t>
  </si>
  <si>
    <t>Montaža i spajanje adresabilne vatrodojavne centrale sa svim komponentama</t>
  </si>
  <si>
    <t>C.2</t>
  </si>
  <si>
    <t>Montaža i spajanje automatskog detektora požara s podnožjem</t>
  </si>
  <si>
    <t>C.3</t>
  </si>
  <si>
    <t>Montaža i spajanje ručnog javljača požara sa nadžbuknom montažnom kutijom i stakalcem.</t>
  </si>
  <si>
    <t>C.4</t>
  </si>
  <si>
    <t>Montaža i spajanje sirene</t>
  </si>
  <si>
    <t>C.5</t>
  </si>
  <si>
    <t>Montaža i spajanje ulaznog/izlaznog modula</t>
  </si>
  <si>
    <t>C.6</t>
  </si>
  <si>
    <t>Puštanje u rad vatrodojavnih petlji 
- završne prilagodbe
- testiranje ispravnosti instalacije</t>
  </si>
  <si>
    <t>C.7</t>
  </si>
  <si>
    <t>Programiranje vatrodojavne centrale do pune funkcionalnosti sustava
- podešavanje parametara sustava u cjelini
- testiranje funkcija</t>
  </si>
  <si>
    <t>C.8</t>
  </si>
  <si>
    <t>Programiranje telefonske dojave na nadležnu javnu vatrogasnu postrojbu. Dojavnik mora prenijeti informaciju o točnoj zoni / adresi javljača koji javlja alarm.</t>
  </si>
  <si>
    <t>C.9</t>
  </si>
  <si>
    <t>Prvo funkcionalno ispitivanje sustava s izdavanjem potvrde o ispravnosti i ispitnog protokola</t>
  </si>
  <si>
    <t>C.10</t>
  </si>
  <si>
    <t>Obuka korisnika s izdavanjem zapisnika o obavljenoj obuci i primopredajom korisničkih uputa</t>
  </si>
  <si>
    <t>C.11</t>
  </si>
  <si>
    <t>Izrada tehničke dokumentacije izvedbenog projekta sa razradom tehničkog riješenja danog glavnim projektom.</t>
  </si>
  <si>
    <t>UKUPNO RADOVI I USLUGE:</t>
  </si>
  <si>
    <t>REKAPITULACIJA :</t>
  </si>
  <si>
    <t>INSTALACIJE</t>
  </si>
  <si>
    <t>RADOVI</t>
  </si>
  <si>
    <t>SUSTAV ZA DOJAVU POŽARA SVEUKUPNO (bez PDV-a):</t>
  </si>
  <si>
    <t>SE24-089 -DV BUKEVJE, Sunčana elektrana, BUKEVJE ORLE, Općina Orle</t>
  </si>
  <si>
    <t>OPĆI POGODBENI I TEHNIČKI UVJETI</t>
  </si>
  <si>
    <t>Sve troškovničke stavke neovisno o tome je li to eksplicitno navedeno ili ne, sadrže sve potrebne prateće radove poput dubljenja opeke, betona, proboja kroz zidove, te popravaka oštećenja koja nastanu prilikom izvođenja instalacija.</t>
  </si>
  <si>
    <r>
      <t xml:space="preserve">Neovisno o tome je li to eksplicitno navedeno ili ne potrebno je sljedeće:
</t>
    </r>
    <r>
      <rPr>
        <b/>
        <sz val="10"/>
        <rFont val="Calibri"/>
        <family val="2"/>
        <charset val="238"/>
        <scheme val="minor"/>
      </rPr>
      <t>Izrada dokumentacije izvedenog stanja u 3 primjerka.</t>
    </r>
    <r>
      <rPr>
        <sz val="10"/>
        <rFont val="Calibri"/>
        <family val="2"/>
        <charset val="238"/>
        <scheme val="minor"/>
      </rPr>
      <t xml:space="preserve">
Provjera ispravnosti montaže svih elemenata instalacije, provjera funkcionalnosti, pribavljanje dokaza o kvaliteti izvedenih radova na instalaciji, probno puštanje u rad i primopredaja, sva potrebna ispitivanja, izdavanje ispitnih protokola ovlaštenog ispitivača i svih potrebnih certifikata i atesta.</t>
    </r>
  </si>
  <si>
    <t>Prije podnošenje ponude izvođač mora pregledati objekt i potpuno se upoznati s postojećim stanjem. Ako utvrdi da neki radovi nisu obuhvaćeni ovim troškovnikom, dužan je iste opisati i ponuditi u svojoj ponudi kao posebno iskazane dodatne stavke. Ukoliko izvođač ne navede u ponudi takve dodatne stavke, smatrat će se da njegova ponuda obuhvaća kompletno zvođenje instalacija i demontaže uključivo sve potrebne radove, skele, prijevoze, prijenose i transporte, odvoz, raskrčavanje, čišćenje, sva potrebna statička i HTZ osiguranja itd., te se nikakvi dodatni troškovi sa tog naslova neće priznavati niti posebno plaćati. Svaka pojedina stavka troškovnika mora u jediničnoj cijeni sadržavati sav potreban rad i materijal, kako je navedeno u opisu stavke.</t>
  </si>
  <si>
    <t>Sva rušenja i demontaže treba izvršiti pažljivo kako ne bi došlo do nepotrebnog oštećivanja građevinskih elemenata koji zadržavaju oblik, položaj i funkciju.</t>
  </si>
  <si>
    <t>Eventualne promjene uslijed utvrđenih razlika između predviđenih i potrebnih radova obavezno treba dogovoriti s nadzornim inženjerom. U slučaju da su potrebni određeni radovi koji nisu mogli biti predviđeni troškovnikom i nacrtima, izvođač je dužan tražiti odobrenje za te radove kao i način izvedbe od nadzornog inženjera. Obračun se vrši prema stvarno izvedenom radu. Za novo izvedene radove vrijede svi prije navedeni uvjeti.</t>
  </si>
  <si>
    <t>Prilikom izvođenja radova obavezno se pridržavati svih mjera HTZ, odnosno zaštite pri radu u skladu sa zakonskim propisima, normama i uzancama.</t>
  </si>
  <si>
    <t>Ugovor za izvođenje sklapa se na osnovu ugovornog troškovnika. U cijenama troškovnika izvođač je dužan ponuditi kompletne stavke prema opisu, troškovniku, nacrtima, tehničkom opisu i uvjetima.</t>
  </si>
  <si>
    <t>U cijenu stavke treba ukalkulirati sav materijal i rad te potrebna mjerenja i ispitivanja.</t>
  </si>
  <si>
    <t>Izvođač radova dužan je po završetku radova dostaviti investitoru upute za rukovanje instalacijama i opremom.</t>
  </si>
  <si>
    <t>Prije početka izvođenja radova, izvođač je dužan obavitii pregled lokacije i o eventualnim odstupanjima projekta od stvarnog stanja upozoriti investitora.</t>
  </si>
  <si>
    <t>Izvođač radova mora se prije početka izvođenja radova upoznati s projektnom dokumentacijom.</t>
  </si>
  <si>
    <t>Ako uoči neke nedostatke, treba odmah s uočenim nedostacima upoznati investitora i projektanta.</t>
  </si>
  <si>
    <t>Prije početka radova treba odrediti točne trase kabela, kabelskih kanalica i većih komada opreme, a tek onda početi s polaganjem vodova i izvođenjem instalacija. Pritom paziti na propisani razmak u odnosu na druge instalacije i građevine.</t>
  </si>
  <si>
    <t xml:space="preserve">Mjenjanje projekta od strane izvođača bez pismenih odobrenja investitora i nadzornog inženjera nije dozvoljeno.  </t>
  </si>
  <si>
    <t>Izvođač treba tijekom izvođenja radova na građevini voditi građevinski dnevnik u koji upisuje početak izvođenja radova na objektu, svakodnevno upisuje broj ljudi na radu i poslove koje su obavili.</t>
  </si>
  <si>
    <t>U građevinksi dnevnik nadzorni inženjer i investitor upisuju primjedbe na izvedene radove i eventualne promjene projekta.</t>
  </si>
  <si>
    <t>Radi ispravnog odvijanja radova izvođač je dužan osigurati prostoriju za smještaj materijala i alata.</t>
  </si>
  <si>
    <t>Prije stavljanja instalacije u pogon i tehničkog pregleda izvođač je dužan izvršiti sljedeća mjerenja i ispitivanja:</t>
  </si>
  <si>
    <t>- izmjeriti otpor izolacije električne instalacije
- izmjeriti otpor zaštitnog uzemljenja
- izmjeriti nivo rasvijetljenosti</t>
  </si>
  <si>
    <t>- ispitati ispravnost djelovanja zaštite od previsokog napona dodira
- ispitati da li je izvršeno spajanje svih metalnih masa na uzemljivač
- ispitati funkcionalnost protupanične rasvjete</t>
  </si>
  <si>
    <t>- ispitati nivo rasvijetljenosti vanjske rasvjete
- ispitati da li je izvršeno spajanje metalnih stupova  rasvjete na uzemljivač
- ispitati funkcionalnost komunikacijskog sustava</t>
  </si>
  <si>
    <t>- izmjeriti otpor uzemljenja sustava zaštite od munje
- ispitati funkcionalnost sustava dojave požara i plina
- ispitati funkcionalnost video sustava
- ispitati funkcionalnost sustava kontrole pristupa</t>
  </si>
  <si>
    <t>Za sva mjerenja i ispitivanja koja su izvršena sastaviti odgovarajuće izvještaje.</t>
  </si>
  <si>
    <t>Svaki izvođač ima pravo izbora kome će povjeriti ispitivanje kvalitete i funkcionalnosti električnih instalacija i opreme, no to svakako mora biti ovlaštena pravna osoba.</t>
  </si>
  <si>
    <t>Troškove ispitivanja snosi izvođač.</t>
  </si>
  <si>
    <t>Izvođač za svoje radove daje garanciju.</t>
  </si>
  <si>
    <t xml:space="preserve">Garantni rok počinje teći od dana tehničkog prijema instalacije, odnosno od dana predaje instalacije na upotrebu investitoru. </t>
  </si>
  <si>
    <t>Izvođač je dužan otkloniti sve nedostatke u garantnom roku. Ako se izvođač ne odazove na poziv investitora da otkloni nedostatke, investitor će iste otkloniti po trećem licu na teret izvođača.</t>
  </si>
  <si>
    <t>Sav korišteni materijal, oprema i proizvodi koji se upotrebljavaju kod izvođenja instalacija moraju odgovarati postojećim propisima i normama, kao i opisu u troškovniku.</t>
  </si>
  <si>
    <t>Radove treba izvesti točno prema nacrtima i tehničkom opisu, a po uputama projektanta i nadzornog inženjera. Radove izvesti stručno i solidno.</t>
  </si>
  <si>
    <t>Tijekom izvođenja radova izvođač je dužan sva nastala odstupanja trasa od onih predviđenih projektom unesti u projekt, a po završetku radova treba predati investitoru projekt izvedenog stanja.</t>
  </si>
  <si>
    <t>Stavljanje instalacije u uporabu dozvoljeno je tek nakon obavljenog tehničkog pregleda i dobivanja uporabne dozvole.</t>
  </si>
  <si>
    <t>Ako troškovnikom i tehničkim opisom nije drugačije određeno, narudžba materijala i opreme obuhvaća dobavu, skladištenje i dopremu na gradilište.</t>
  </si>
  <si>
    <t>Za sav ugrađeni materijal i proizvode treba osigurati i priložiti isprave o sukladnosti   i druge dokaze kvalitete, te odgovarjauću atesnu i ispitnu dokumentaciju.</t>
  </si>
  <si>
    <t>Nadzorni inženjer mora imati uvid u terminski plan.</t>
  </si>
  <si>
    <t>Za svako neopravdano produženje termina koje utvrdi nadzorni inženjer odredit će se kazna prema Ugovoru za izvođenje.</t>
  </si>
  <si>
    <t>Izvođač daje jamstvo da, kod prenošenja dijela ugovora na jednog ili više kooperanata, preuzima sve ugovorne obveze iz ugovora zaključenog sa investitorom, te da će se istog pridržavati.</t>
  </si>
  <si>
    <t>Ako drugačije nije dogovoreno, izvođač treba, bez posebnih zahtjeva, svakodenevno čisti radni prostor.
Izvođač mora u toku gradnje iz gradilišta odvesti svu građevinsku šutu, sav otpadni materijal i nepotrebne uređaje.</t>
  </si>
  <si>
    <t>Pri izvođenju radova izvođač je dužan voditi računa o već izvedenim radovima na građevini.</t>
  </si>
  <si>
    <t>Ako bi se izvedeni radovi drugih izvođača pri montaži električnih instalacija i opreme nepotrebno i uslijed nemarnosti i nestručnosti oštetili, troškove štete snosit će izvođač električnih instalacija.</t>
  </si>
  <si>
    <t>Rušenje i retanje konstruktivnih elemenata ne smije se obaviti bez znanja i odobrenja nadzornog inženjera za građevinske radove.</t>
  </si>
  <si>
    <t>Investitor je dužan tijekom izgradnje građevine osigurati stručni nadzor nad izvođenjem radova.</t>
  </si>
  <si>
    <t>Dokumentacija izvednog stanja sastavni je dio troškovnika.</t>
  </si>
  <si>
    <t>U svakoj stavci nuditi konkretni proizvod (opremu) specificiranu ovim troškovnikom ili  proizvod jednakovrijednih (kvalitativnih) tehničkih karakteristika.</t>
  </si>
  <si>
    <t xml:space="preserve">Cijena za svaku stavku troškovnika mora obuhvatiti dobavu, montažu i spajanje, puštanje u pogon, mjerenje i ispitivanje te dostava dokumentacije kojom se dokazuje kvaliteta ugrađene opreme i izvedenih radova, te dovođenje u stanje potpune funkcionalnosti. U cijenu također ukalkulirati sav potreban  spojni, montažni i ostali materijal i pribor. </t>
  </si>
  <si>
    <t xml:space="preserve">Primijeniti najnovije važeće propise i hrvatske norme za pojedine vrste instalacija. </t>
  </si>
  <si>
    <t>Prije davanja ponude obavezno proučiti tehnički opis i grafički dio, te u slućaju nejasnoća, konzultirati se sa projektantom elektroinstalacija i investitorom.</t>
  </si>
  <si>
    <t>Izvođač elektroinstalacija je dužan voditi brigu o stanju postojećim elementima i kabelima elektroinstalacija jake i slabe struje koji se neće demontirati, a postoji mogućnost oštećenja zbog drugih građevinskih te obrtničkih radova u zoni zahvata.</t>
  </si>
  <si>
    <t>Izvođač radova dužan je izmjestiti ili osigurati od oštećenja instalacije koje nisu predviđene za demontažu (ne smiju biti predmet nesmetanog rada drugih struka na gradilištu), a za sva oštećenja izvođač radova dužan je pravovremeno obavjestiti nadzornog inženjera ili predstavnike investitora.</t>
  </si>
  <si>
    <t>30.</t>
  </si>
  <si>
    <t>Tokom demontažnih radova potrebno je izraditi fotodokumentaciju postojećeg stanja.</t>
  </si>
  <si>
    <t>31.</t>
  </si>
  <si>
    <t>Prije demontaže svih elemenata elektroinstalacija OBAVEZNO ispitati funkcionalnost te izraditi izvješće, posebice elemenata koji nisu u funkciji. Izvješće potpisuje nadzor, investitor i izvođač radova.
Neispravna ili nefunkcionalna oprema koja je predviđena za ponovno montiranje na isto mjesto po završetku građevinsko obrtničkih radova nije predmet troškovničkih stavki.</t>
  </si>
  <si>
    <t>32.</t>
  </si>
  <si>
    <t>Sve kabele tj. vodove prilikom odspajanja propisno obilježiti.</t>
  </si>
  <si>
    <t>33.</t>
  </si>
  <si>
    <t>Svu demontiranu opremu u zonama zahvata preuzima "Investitor" koji ujedno mora osigurati prostore za skladištenje demontirane opreme, kao i zaštitu od krađa i sl.</t>
  </si>
  <si>
    <t>34.</t>
  </si>
  <si>
    <t>Izvođač radova mora voditi evidenciju demontirane opreme kao i ocjenu o tehničkoj ispravnosti iste. Zapisnik o demontiranoj opremi predaje investitoru.</t>
  </si>
  <si>
    <t>35.</t>
  </si>
  <si>
    <t>U cijene izrada utora i polaganja instalacijskih cijevi, uračunati i gruba građevinska zatvaranja istih.</t>
  </si>
  <si>
    <t>Sunčana elektrana</t>
  </si>
  <si>
    <r>
      <rPr>
        <b/>
        <sz val="10"/>
        <rFont val="Calibri"/>
        <family val="2"/>
        <charset val="238"/>
        <scheme val="minor"/>
      </rPr>
      <t>NAPOMENA:</t>
    </r>
    <r>
      <rPr>
        <sz val="10"/>
        <rFont val="Calibri"/>
        <family val="2"/>
        <charset val="238"/>
        <scheme val="minor"/>
      </rPr>
      <t xml:space="preserve">
Montaža i spajanje FN modula na krov građevine (komplet do pune funkcionalnosti) uključuje:
-razmjeravanje za izradu podkonstrukcije
-izrada podkonstrukcije
-podizanje FN modula, postavljanje i učvršćivanje na podkonstrukciju
-električno povezivanje FN modula međusobno, te od zadnjeg modula pojedine petlje (stringa) do pretvarača, komplet s postavljanjem konektora
</t>
    </r>
  </si>
  <si>
    <t xml:space="preserve">Dobava, montaža i spajanje fotonaponskog modula:
-tehnologija: monokristal
-broj ćelija: 144
-dimenzije približno 2094x1038x30 mm
-vršna snaga  max 455 W
- dozvoljeni napon sustava: 1500V
- učinkovitost modula: minimalno 20%
- min 1,4m originalnog spojnog kabela
</t>
  </si>
  <si>
    <r>
      <rPr>
        <b/>
        <sz val="10"/>
        <rFont val="Calibri"/>
        <family val="2"/>
        <charset val="238"/>
        <scheme val="minor"/>
      </rPr>
      <t>NAPOMENA:</t>
    </r>
    <r>
      <rPr>
        <sz val="10"/>
        <rFont val="Calibri"/>
        <family val="2"/>
        <charset val="238"/>
        <scheme val="minor"/>
      </rPr>
      <t xml:space="preserve">
Montaža i spajanje pretvarača (komplet do pune funkcionalnosti) uključuje:
-unošenje i postavljanje izmjenjivača na zid (sukladno tehničkoj dokumentaciji)
-spajanje kabela istosmjerne (DC) strane s pretvaračem (sve petlje)
-spajanje kabela izmjenične (AC) strane s pretvaračem
- podešavanje i puštanje u pogon</t>
    </r>
  </si>
  <si>
    <r>
      <t>Dobava, montaža, spajanje i podešavanje fotonaponskog trofaznog izmjenjivača DC/AC: 
Ulazne karakteristike :
- DC snaga 80 kW +-5%
- DC napon 620 V
- MPP napon 200V do 950V</t>
    </r>
    <r>
      <rPr>
        <sz val="10"/>
        <color rgb="FFFF0000"/>
        <rFont val="Calibri"/>
        <family val="2"/>
        <charset val="238"/>
        <scheme val="minor"/>
      </rPr>
      <t xml:space="preserve">
</t>
    </r>
    <r>
      <rPr>
        <sz val="10"/>
        <rFont val="Calibri"/>
        <family val="2"/>
        <charset val="238"/>
        <scheme val="minor"/>
      </rPr>
      <t xml:space="preserve">Izlazne karakteristike :
-maks. snaga: AC 88.0kVA (88.0kW @ CosFi=1) +-5%
- Nazivni AC napon 3x230/400 V, 50 Hz
- Izmjenjivač bez transformatora
- sustav detekcije reverzne struje pojedinih grana fotonaponskih modula
- komunikacijski port
</t>
    </r>
  </si>
  <si>
    <r>
      <t xml:space="preserve">Dobava, montaža, spajanje razvodnog ormara elektrane - GRSE
</t>
    </r>
    <r>
      <rPr>
        <sz val="10"/>
        <rFont val="Calibri"/>
        <family val="2"/>
        <scheme val="minor"/>
      </rPr>
      <t xml:space="preserve">Dobava, montaža i spajanje glavne razdjelnice sunčane elektrane.
</t>
    </r>
    <r>
      <rPr>
        <sz val="10"/>
        <rFont val="Calibri"/>
        <family val="2"/>
        <charset val="238"/>
        <scheme val="minor"/>
      </rPr>
      <t xml:space="preserve">
-minimalno IP55 aluminijski ormar, plastificirani, dimenzija cca 600x800x250mm, tipske PG uvodnice
-odvodnik prenapona kl. B+C 275V, 25kA, 4p - 1kom
- osigurač-rastavljač sa kratkospojnicima, 
   vel.00, 4p s osiguračima 100A - 1kom
- osigurač-rastavljač sa kratkospojnicima, 
   vel.00, 3p s osiguračima 6A - 1kom
-automatski prekidač s termičkim, magnetskim i 
  naponskim okidačem, 160A, 4p - 2 kom
-naponski okidač za automatski prekidač - 1 kom
- automatski osigurač tip B, 4A, 1p - 1kom
- automatski osigurač tip B, 4A, 2p - 1kom
- zaštita od diferencijalne struje RCD VIGI uređajem tipa A, 1000/0,3A, 4p -1 kom
- ups uređaj za neprekinuto napajanje 230VAC
- frekevencijsko naponski zaštitni relej
</t>
    </r>
  </si>
  <si>
    <t>osigurač-rastavljač s D02 osiguračIima 160 A, 4P za ugradnu u  GRO razvodni ormar</t>
  </si>
  <si>
    <t>Dobava, montaža i spajanje ručnog isključnog tipkala za vanjsku montažu s natpisom "ISKLOP SUNČANE ELEKTRANE"</t>
  </si>
  <si>
    <t>Izvođenje potrebnih prodora za električne vodove kroz konstrukciju građevine. U cijenu stavke uključena je i sanacija prodora i mjesta prodora i izrada vodotijesnog brtvljenja.</t>
  </si>
  <si>
    <t>Dobava i spajanje konektora set 6 mm2 (MC4)
-muški ili ženski komplet metalnog konektora, brtve i kućišta, za spajanje nizova modulskih grana</t>
  </si>
  <si>
    <t>Dobava, montaža pocinčane kabelske kanalice E60 sa poklopcem širine 100mm, komplet s nosačem za ravni krov</t>
  </si>
  <si>
    <t>Dobava, polaganje i spajanje solarnog instalacijskog kabela
-DC kabel, pokositreni, finožičani, UV stabilizirani, dvostruko izolirani, presjeka 4 mm2</t>
  </si>
  <si>
    <t xml:space="preserve">Dobava, polaganje i spajanje izmjeničnog kabela
-Tip FG16R16 1x50mm2
</t>
  </si>
  <si>
    <t xml:space="preserve">Dobava, polaganje i spajanje izmjeničnog kabela
-Tip FG16R16 1x25mm2
</t>
  </si>
  <si>
    <t xml:space="preserve">Dobava, polaganje i spajanje  finožičanog kabela za ekvipotencijalizaciju metalne konstrukcije FN elektrane:
-P/F 1x6mm2
</t>
  </si>
  <si>
    <t>Dobava, polaganje i spajanje komunikacijskog kabela
-Tip U/UTP cat. 6</t>
  </si>
  <si>
    <t xml:space="preserve">Instalacijska  cijev DWP 125 </t>
  </si>
  <si>
    <t>Dobava i montaža aluminijske potkonstrukcije za montažu 198 komada FN panela na ravni krov TPO folijom, trokutasti potporni element s unaprijed postavljenim kutom nagiba modula od 10°, u cijenu uključiti limove za zaštitu od vjetra, nosace balasta i gumene podloške, brze spojnice, elementi podešenja i stabilizacije montaže FN panela - sve do pune funkcionalnosti</t>
  </si>
  <si>
    <t>Izrada nadstrešnice za zaštitu invertera i razvodnog ormara sunčane elektrane (GRSE) od atmosferilija (direktno sunčevo zračanje, padaline). 
Inverter i razvodni ormar se montiraju na zid.
Okvirne dimenzija vxš: 2500x1000mm</t>
  </si>
  <si>
    <t>Dobava betonskih balasta, 16kg, komples s protuklizna podloga koja pokriva cijelu površinu balasta</t>
  </si>
  <si>
    <t xml:space="preserve">Izrada elaborata proračuna protutereta (balasta) od strane ovlastenog inženejra građevinarstva prema odabranom tipu potkonstrukcije.
</t>
  </si>
  <si>
    <t>Beznaponsko ispitivanje električnih instalacija elektrane u skladu s propisima
-ispitivanje izolacije
-ispitivanje otpora uzemljivača
-ispitivanje zaštite od dodira
-ostala potrebna ispitivanja</t>
  </si>
  <si>
    <t xml:space="preserve">Elaborati EUM i izrada plana OPIP
</t>
  </si>
  <si>
    <t>Testiranje i puštanje u pogon
- parametriranje sustava 
- beznaponska ispitivanja SE
- mjerenje kvalitete el.energije (7 dana)
- izrada zapisnika
- izrada plana i programa ispitivanja SE
- provođenje ispitivanja u probnom pogonu sa mrežom
- izrada zapisnika
- ishođenje dozvole za trajni pogon</t>
  </si>
  <si>
    <t>Čišćenje, utovar i odvoz viška materijala i ostataka od gradnje na deponij na udaljenosti do 5 km.</t>
  </si>
  <si>
    <t>Izrada, doprema i ugradnja jednokrilnih zaokretnih protupožarnih vrata sa ostakljenjem dimenzija 30/60 cm EI2-60-C, dimenzija 100/210. Završna obloga alu limom minimalne debljine 1 mm. Završna obrada - tvorničko ličenje/plastifikacija u tonu po izboru projektanta. Sav potreban okov, povratna pumpa, brtve, ručke za otvaranje, brava i kvaka za protupožarna vrata - uključeni. Kvaka INOX sa bravom i cilindrom.</t>
  </si>
  <si>
    <t>ZIDARSKI OTVOR četverokrilne "harmonika" ostakljene stijene 300*210cm + KVAKA I BRAVA S CILINDROM</t>
  </si>
  <si>
    <t>ZIDARSKI OTVOR jednokrilnih ostakljenih vrata 110*210cm + KVAKA I BRAVA S CILINDROM</t>
  </si>
  <si>
    <t>ZIDARSKI OTVOR trokrilne fiksne staklene stijene  360*110cm</t>
  </si>
  <si>
    <t>S6</t>
  </si>
  <si>
    <t>Dobava materijala, izrada i ugradnja montažne fiksne pregradne stijene u WC-u. 
Stijena je visine 130/215 cm,  debljine 30 mm, izvodi se od panel ploča obloženih laminatom boje po izboru projektanta, obrubljenih ABS profilom debljine 3 mm sa zaobljenim rubovima r = 2 mm. Podnožje - nogice, visine 15 cm, Ф 20 mm podesive po visini, izrađene od nehrđajućeg čelika, vijkom M12 spojene s pregradom. Donja rozeta je od nehrđajućeg čelika obučena u nylon poklopac. 
U cijeni stavke izmjere na licu mjesta, sav spojni i pričvrsni materijal. Sve komplet sa završnom obradom i opšavima.</t>
  </si>
  <si>
    <t>fiksna pregradna stijena visine 130 cm</t>
  </si>
  <si>
    <t>vrata 70x115 cm</t>
  </si>
  <si>
    <t>staklena stijena 270/230-lijeva</t>
  </si>
  <si>
    <t>staklena stijena 270/230-desna</t>
  </si>
  <si>
    <t>vrata 110/230 - desna</t>
  </si>
  <si>
    <t xml:space="preserve">kom </t>
  </si>
  <si>
    <t>vrata 110/230 - lijeva</t>
  </si>
  <si>
    <t>ST 4a_staklo tip B</t>
  </si>
  <si>
    <t>ST 9_staklo tip B</t>
  </si>
  <si>
    <t>ST 10_staklo tip B</t>
  </si>
  <si>
    <t>ST 11</t>
  </si>
  <si>
    <t>puna vrata 100/230 - lijeva</t>
  </si>
  <si>
    <t>ST 11a</t>
  </si>
  <si>
    <t>ST 11b</t>
  </si>
  <si>
    <t>puna vrata 110/230 - lijeva</t>
  </si>
  <si>
    <t>ST 12</t>
  </si>
  <si>
    <t xml:space="preserve">puna dvorilna vrata 160/230 </t>
  </si>
  <si>
    <t>ST 12a</t>
  </si>
  <si>
    <t>ST 13_staklo tip A</t>
  </si>
  <si>
    <t xml:space="preserve">prozor dimenzija 120/90 </t>
  </si>
  <si>
    <t>ST 14_staklo tip A</t>
  </si>
  <si>
    <t xml:space="preserve">prozor dimenzija 120/130 </t>
  </si>
  <si>
    <t>ST 15_staklo tip A</t>
  </si>
  <si>
    <t>prozor dimenzija 180/130</t>
  </si>
  <si>
    <t>Vrtić Bukevje - troškovnik elektroinstalacija</t>
  </si>
  <si>
    <t>Elektroenergetske instalacije</t>
  </si>
  <si>
    <t>Sudjelovanje u ishođenju potrebnih suglasnosti od HEP-a.</t>
  </si>
  <si>
    <t>Dobava potrebnog materijala i pribora i osiguravanje napajanja električnom energijom za sve sudionike na gradilištu.</t>
  </si>
  <si>
    <r>
      <t xml:space="preserve">Ugradnja (bez dobave) tipskog samostojećeg razvodnog ormara </t>
    </r>
    <r>
      <rPr>
        <b/>
        <sz val="10"/>
        <rFont val="Arial CE"/>
        <charset val="238"/>
      </rPr>
      <t>SPMO.</t>
    </r>
    <r>
      <rPr>
        <sz val="10"/>
        <rFont val="Arial CE"/>
        <family val="2"/>
        <charset val="238"/>
      </rPr>
      <t xml:space="preserve"> Komplet sa montažnim temeljem.
</t>
    </r>
    <r>
      <rPr>
        <b/>
        <sz val="10"/>
        <rFont val="Arial CE"/>
        <charset val="238"/>
      </rPr>
      <t xml:space="preserve">Prije ugradnje i spajanja točne dimenzije i tip ormara dogovoriti s HEP-ODS, DP Elektra </t>
    </r>
  </si>
  <si>
    <t>Izrada gradilišnog ormarića</t>
  </si>
  <si>
    <t>automatski prekidač s termičkim, magnetskim i naponskim okidačem, 250A, 36 kA, 230V, 3-p</t>
  </si>
  <si>
    <t>tipkalo za isključenje glavne sklopke, s ravnom tipkom, (1-1), 6 A, 230 V, d 30 mm, crveno</t>
  </si>
  <si>
    <t>katodni odvodnik prenapona 0,275 kV, 40 kA</t>
  </si>
  <si>
    <t>osiguračko postolje NH000, 3-p s 3 kom osigurača NV 125 A</t>
  </si>
  <si>
    <t>osiguračko postolje NH000, 3-p s 3 kom osigurača NV 100 A</t>
  </si>
  <si>
    <t xml:space="preserve">osigurač rastavljač, 3p, sa osiguračima 50A, SBI, </t>
  </si>
  <si>
    <t>osigurač rastavljač, 3p, sa osiguračima 32A, SBI</t>
  </si>
  <si>
    <t>osigurač rastavljač, 3p, sa osiguračima 25A, SBI</t>
  </si>
  <si>
    <t>osigurač rastavljač, 3p, sa osiguračima 20A, SBI</t>
  </si>
  <si>
    <t>zaštitni uređaj diferencijalne struje greške (ZUDS), 40 A, 30 mA, 4-p</t>
  </si>
  <si>
    <t>vremenski relej IC ASTRO</t>
  </si>
  <si>
    <t>instalacijski sklopnik 16A, napon svitka 230V, 50 Hz, 1-p</t>
  </si>
  <si>
    <t>instalacijski sklopnik 40A, 3p, napon svitka 24V, 50 Hz, 3-p</t>
  </si>
  <si>
    <t>instalacijski sklopnik 10A, napon svitka 24V, 50 Hz, 1-p</t>
  </si>
  <si>
    <t>grebenasta sklopka (1-0-2), 16 A, 1-p, montaža na vrata</t>
  </si>
  <si>
    <t>grebenasta upravljačka sklopka (0-1), 16 A, 1-p, montaža na vrata</t>
  </si>
  <si>
    <t>grebenasta upravljačka sklopka (0-1), 40 A, 3-p, montaža na vrata</t>
  </si>
  <si>
    <t>signalna lampica crvena</t>
  </si>
  <si>
    <t>signalna lampica zelena</t>
  </si>
  <si>
    <t>transformator 230/24V 50VA</t>
  </si>
  <si>
    <t>automatski instalacijski osigurač 10 A/kar. C, 3-p, prekidne moći 10kA</t>
  </si>
  <si>
    <t>automatski instalacijski osigurač 16 A/kar. C, 3-p, prekidne moći 10kA</t>
  </si>
  <si>
    <t>automatski instalacijski osigurač 16 A/kar. C, 1-p, prekidne moći 10kA</t>
  </si>
  <si>
    <t>automatski instalacijski osigurač 10 A/kar. C, 1-p, prekidne moći 10kA</t>
  </si>
  <si>
    <t>automatski instalacijski osigurač 6 A/kar. C, 1-p, prekidne moći 10kA</t>
  </si>
  <si>
    <t>redne stezaljke raznih veličina</t>
  </si>
  <si>
    <t>plastični kanali i spojni materijal, vodiči za ožičenje glavnih i pomoćnih strujnih krugova, izolacijske ploče i pregrade</t>
  </si>
  <si>
    <t>postavljanje oznaka elemenata razdjelnice u skladu s oznakama na jednopolnoj shemi, natpis upozorenja o prisutnosti napona, o vrsti primijenjene zaštite od previsokog napona dodira, natpis s nazivom razdjelnice, jednopolna shema zaštićena plastičnom folijom, uputstvo za davanje prve pomoći u slučaju udara struje</t>
  </si>
  <si>
    <t>provjera ispravnosti montaže, i ispitivanje funkcionalnog djelovanja, izdavanje ispitnog protokola ovlaštenog ispitivača i svih potrebnih certifikata i atesta</t>
  </si>
  <si>
    <t>automatski prekidač s termičkim, magnetskim, naponskim i daljinskim okidačem 230 V, 125 A, 3-p</t>
  </si>
  <si>
    <t>katodni odvodnik prenapona Uc=0,275 kV, In=15 kA</t>
  </si>
  <si>
    <t>kombinirana zaštitna sklopka (KZS), C40 A, 30 mA, 4-p</t>
  </si>
  <si>
    <t>kombinirana zaštitna sklopka (KZS), C25 A, 30 mA, 4-p</t>
  </si>
  <si>
    <t>zaštitni uređaj diferencijalne struje greške (ZUDS), 25 A, 100 mA, 4-p</t>
  </si>
  <si>
    <t>automatski instalacijski osigurač 16 A/kar. C, 3-p</t>
  </si>
  <si>
    <t>automatski instalacijski osigurač 10 A/kar. C, 3-p</t>
  </si>
  <si>
    <t>automatski instalacijski osigurač 16 A/kar. C</t>
  </si>
  <si>
    <t>automatski instalacijski osigurač 10 A/kar. C</t>
  </si>
  <si>
    <t xml:space="preserve">Dobava, montaža i spajanje SOS sustava za instalaciju u WC za osobe smanjene pokretljivosti
</t>
  </si>
  <si>
    <t>SOS centrala (montira se u instalacijsku kutiju 4 modula iznad vratiju)</t>
  </si>
  <si>
    <t>potezno tipkalo (montaža u kutiju fi 60 mm)</t>
  </si>
  <si>
    <t>ostali nespecificirani elementi</t>
  </si>
  <si>
    <t xml:space="preserve">Dobava kabel kanala od perforiranog pocinčanog lima zajedno s poklopcem, spojnim elementima i potrebnim priborom za konzolnu montažu na zid/ovjes na strop. Stavka uključuje i izjednačenje potencijala kabelskih polica.
</t>
  </si>
  <si>
    <t>Širina kanala 600 mm</t>
  </si>
  <si>
    <t>Širina kanala 300 mm</t>
  </si>
  <si>
    <t>Širina kanala 200 mm</t>
  </si>
  <si>
    <t>Dobava zajedno s odgovarajućom ugradnom
kutijom, plastičnom maskom, montaža u zid i spajanje kompleta podžbuknih instalacijskih sklopki i priključnica:</t>
  </si>
  <si>
    <t>Jednopolna sklopka 10 A, 230 V
(2 modula)</t>
  </si>
  <si>
    <t>Izmjenična sklopka 10 A, 230 V
(2 modula)</t>
  </si>
  <si>
    <t>Križna sklopka, 10 A, 230 V
(2 modula)</t>
  </si>
  <si>
    <t>Priključnica, 16 A, 230 V, 2P+PE
(2 modula), sa zaštitom za djecu</t>
  </si>
  <si>
    <t>Priključnica s poklopcem, 16 A, 230 V, 2P+PE
(2 modula), sa zaštitom za djecu</t>
  </si>
  <si>
    <t>Priključnica, 16 A, 230 V, 2P+PE, 2-struka 
(4 modula), sa zaštitom za djecu</t>
  </si>
  <si>
    <t>Priključnica RJ45, cat. 6, 1-struka
(2 modula)</t>
  </si>
  <si>
    <t>Priključnica RJ45, cat. 6, 2-struka
(2 modula)</t>
  </si>
  <si>
    <t>Završna antenska priključnica s priključcima TV-RD-SAT</t>
  </si>
  <si>
    <t>Dobava potrebnog pribora i izrada  el. izvoda i spajanje napajanja ventilokonvektora te njegovo upravljanje</t>
  </si>
  <si>
    <t>Dobava potrebnog pribora i izrada  el. izvoda i spajanje napajanja rekuperatora i pripadajučeg grijača</t>
  </si>
  <si>
    <t>Dobava potrebnog pribora i izrada  el. izvoda i spajanje napajanja dizalice topline za PTV</t>
  </si>
  <si>
    <t>Dobava potrebnog pribora i izrada  el. izvoda i spajanje el. Grijača slivnika vode</t>
  </si>
  <si>
    <t>Dobava potrebnog pribora i izrada  el. izvoda i spajanje dizalice topline</t>
  </si>
  <si>
    <t>Dobava potrebnog pribora i izrada el. izvoda i spajanje napajanja ventilacijskog uređaja</t>
  </si>
  <si>
    <t>Dobava potrebnog pribora i spajanje napajanja ormarića podnog grijanja</t>
  </si>
  <si>
    <t>Dobava potrebnog pribora i spajanje napajanja detektora pokreta</t>
  </si>
  <si>
    <t>Dobava potrebnog pribora i spajanje napajanja detektora pokreta sa luxomatom</t>
  </si>
  <si>
    <t>Dobava potrebnog pribora i spajanje napajanja u upravljanja protupožarnim zaklopkama</t>
  </si>
  <si>
    <t>Dobava potrebnog materijala i pribora i spajanje napajanja razdjelnice eventualne hidrostanice</t>
  </si>
  <si>
    <t>Dobava potrebnog materijala i pribora, izrada podnog el. 3f izvoda za spajanje opreme i strojeva</t>
  </si>
  <si>
    <t>Dobava potrebnog materijala i pribora, izrada el. 1f izvoda.</t>
  </si>
  <si>
    <t>Dobava, montaža u zid i spajanje sabirne kutije vodiča za izjednačenje potencijala, opremljene nosačem za stezaljke i sabirnim stezaljkama.</t>
  </si>
  <si>
    <t>Izrada spoja metalnih dijelova i vodiča za izjednačenje potencijala. Spoj izvesti 
obujmicom od bakrenog lima i pobakrenim vijkom s maticom.</t>
  </si>
  <si>
    <t>Dobava, montaža i spajanja elementa za isključenje u slučaju hitnosti s tipkalom u crvenoj boji i natpisom "ISKLJUČENJE GLAVNE SKLOPKE U SLUČAJU HITNOSTI" (JPR).</t>
  </si>
  <si>
    <t xml:space="preserve">Dobava, ugradnja i spajanje Access pointa (WIFI) , komplet s nosačem za montažu. U jediničnu cijenu uključeno programiranje i parametriranje. </t>
  </si>
  <si>
    <t>Dobava cijevi, dubljenje betona, opeke i drugih materijala (cca. 20% ukupne duljine cijevi) i polaganje u spušteni strop, ispod GK obloge zida i u zid, zajedno s razvodnim kutijama do 100x100 mm.</t>
  </si>
  <si>
    <t>Instalacijska savitljiva cijev za beton d 63 mm</t>
  </si>
  <si>
    <t>Instalacijska savitljiva cijev za beton d 50 mm</t>
  </si>
  <si>
    <t>Instalacijska savitljiva cijev za beton d 32 mm</t>
  </si>
  <si>
    <t>Instalacijska savitljiva cijev za beton d 25 mm</t>
  </si>
  <si>
    <t>Instalacijska savitljiva cijev za beton d 20 mm</t>
  </si>
  <si>
    <t>Dobava vodova i kabela, polaganje po već pripremljenim trasama ili elementima razvoda i spajanje.</t>
  </si>
  <si>
    <t>NAYY 1x185mm2</t>
  </si>
  <si>
    <t>FG16R 1x50mm2</t>
  </si>
  <si>
    <t>FG16R 1x25mm2</t>
  </si>
  <si>
    <t>FG160R 5x16mm2</t>
  </si>
  <si>
    <t>FG160R 5x10mm2</t>
  </si>
  <si>
    <t>FG160R 5x6mm2</t>
  </si>
  <si>
    <t>FG160R 5x4mm2</t>
  </si>
  <si>
    <t>NYY 3×2,5 mm2</t>
  </si>
  <si>
    <t>NYY 3×1,5 mm2</t>
  </si>
  <si>
    <r>
      <t>NYM 5×1,5 mm</t>
    </r>
    <r>
      <rPr>
        <vertAlign val="superscript"/>
        <sz val="10"/>
        <rFont val="Arial CE"/>
        <family val="2"/>
        <charset val="238"/>
      </rPr>
      <t>2</t>
    </r>
    <r>
      <rPr>
        <sz val="10"/>
        <rFont val="Arial CE"/>
        <family val="2"/>
        <charset val="238"/>
      </rPr>
      <t xml:space="preserve"> </t>
    </r>
  </si>
  <si>
    <r>
      <t>NYM 5×2,5 mm</t>
    </r>
    <r>
      <rPr>
        <vertAlign val="superscript"/>
        <sz val="10"/>
        <rFont val="Arial CE"/>
        <family val="2"/>
        <charset val="238"/>
      </rPr>
      <t>2</t>
    </r>
    <r>
      <rPr>
        <sz val="10"/>
        <rFont val="Arial CE"/>
        <family val="2"/>
        <charset val="238"/>
      </rPr>
      <t xml:space="preserve"> </t>
    </r>
  </si>
  <si>
    <r>
      <t>NYM 3×2,5 mm</t>
    </r>
    <r>
      <rPr>
        <vertAlign val="superscript"/>
        <sz val="10"/>
        <rFont val="Arial CE"/>
        <family val="2"/>
        <charset val="238"/>
      </rPr>
      <t>2</t>
    </r>
    <r>
      <rPr>
        <sz val="10"/>
        <rFont val="Arial CE"/>
        <family val="2"/>
        <charset val="238"/>
      </rPr>
      <t xml:space="preserve"> </t>
    </r>
  </si>
  <si>
    <r>
      <t>NYM 4×1,5 mm</t>
    </r>
    <r>
      <rPr>
        <vertAlign val="superscript"/>
        <sz val="10"/>
        <rFont val="Arial CE"/>
        <family val="2"/>
        <charset val="238"/>
      </rPr>
      <t>2</t>
    </r>
  </si>
  <si>
    <r>
      <t>NYM 3×1,5 mm</t>
    </r>
    <r>
      <rPr>
        <vertAlign val="superscript"/>
        <sz val="10"/>
        <rFont val="Arial CE"/>
        <family val="2"/>
        <charset val="238"/>
      </rPr>
      <t>2</t>
    </r>
  </si>
  <si>
    <r>
      <t>PP 2×1,5 mm</t>
    </r>
    <r>
      <rPr>
        <vertAlign val="superscript"/>
        <sz val="10"/>
        <rFont val="Arial CE"/>
        <charset val="238"/>
      </rPr>
      <t>2</t>
    </r>
  </si>
  <si>
    <r>
      <t>PP 3×1,5 mm</t>
    </r>
    <r>
      <rPr>
        <vertAlign val="superscript"/>
        <sz val="10"/>
        <rFont val="Arial CE"/>
        <charset val="238"/>
      </rPr>
      <t>2</t>
    </r>
  </si>
  <si>
    <r>
      <t>NHXH-J E30 3x1,5mm</t>
    </r>
    <r>
      <rPr>
        <vertAlign val="superscript"/>
        <sz val="10"/>
        <rFont val="Arial CE"/>
        <family val="2"/>
        <charset val="238"/>
      </rPr>
      <t>2</t>
    </r>
  </si>
  <si>
    <t>LiYCY 8x1,5mm2</t>
  </si>
  <si>
    <t>LiYCY 5x1,5mm2</t>
  </si>
  <si>
    <t>LiYCY 4x1,5mm2</t>
  </si>
  <si>
    <t>JB-H(St)H E30 2x2x0,8 mm</t>
  </si>
  <si>
    <r>
      <t>P/F-Y 10 mm</t>
    </r>
    <r>
      <rPr>
        <vertAlign val="superscript"/>
        <sz val="10"/>
        <rFont val="Arial CE"/>
        <family val="2"/>
        <charset val="238"/>
      </rPr>
      <t>2</t>
    </r>
    <r>
      <rPr>
        <sz val="10"/>
        <rFont val="Arial CE"/>
        <family val="2"/>
        <charset val="238"/>
      </rPr>
      <t xml:space="preserve"> </t>
    </r>
  </si>
  <si>
    <r>
      <t>P/F-Y 6 mm</t>
    </r>
    <r>
      <rPr>
        <vertAlign val="superscript"/>
        <sz val="10"/>
        <rFont val="Arial CE"/>
        <family val="2"/>
        <charset val="238"/>
      </rPr>
      <t>2</t>
    </r>
    <r>
      <rPr>
        <sz val="10"/>
        <rFont val="Arial CE"/>
        <family val="2"/>
        <charset val="238"/>
      </rPr>
      <t xml:space="preserve"> </t>
    </r>
  </si>
  <si>
    <r>
      <t>P/F-Y 4 mm</t>
    </r>
    <r>
      <rPr>
        <vertAlign val="superscript"/>
        <sz val="10"/>
        <rFont val="Arial CE"/>
        <family val="2"/>
        <charset val="238"/>
      </rPr>
      <t>2</t>
    </r>
    <r>
      <rPr>
        <sz val="10"/>
        <rFont val="Arial CE"/>
        <family val="2"/>
        <charset val="238"/>
      </rPr>
      <t xml:space="preserve"> </t>
    </r>
  </si>
  <si>
    <t>Provjera ispravnosti montaže svih elemenata instalacije, provjera funkcionalnosti, provjera djelovanja zaštite od kratkog spoja i previsokog napona dodira, pribavljanje dokaza o kvaliteti izvedenih radova na instalaciji, probno puštanje u rad i primopredaja, sva potrebna ispitivanja, izdavanje ispitnih protokola ovlaštenog ispitivača i svih potrebnih certifikata i atesta.</t>
  </si>
  <si>
    <t>Rasvjetna tijela</t>
  </si>
  <si>
    <t>Dobava, montaža i spajanje svjetiljki s odgovarajućim izvorom svjetlosti i predspojnim priborom. Za ugradne svjetiljke stavka obuhvaća i izrezivanje rupa u stropu za ugradnju:</t>
  </si>
  <si>
    <r>
      <t>(S1)</t>
    </r>
    <r>
      <rPr>
        <sz val="10"/>
        <rFont val="Arial CE"/>
        <charset val="238"/>
      </rPr>
      <t xml:space="preserve"> Nadgradno rasvjetno tijelo izrađeno u mehaničkoj zaštititi IP66 i IK09, otporno na UV zračenje. Sadrži polikarbonatni difuzor pričvršćen s inoks kopčama. LED izvor svjetla, SDCM≤ 3, klasa energetske učinkovitosti C. Radna temperatura od -20 do +35°C. Svjetiljka mora zadovoljavati sve norme potrebne za izdavanje CE oznake. Garancija 5 godina.
Snaga svjetiljke maksimalno: 30W
Izlazni svjetlosni tok minimalno: 4550lm
Temperatura svjetla: 4000K
Učinkovitost: 151lm/W
Uzvrat boje - CRI:  &gt;80
Power factor: &gt; 0.92
Klasa el. Izolacije: I
Dimenzija svjetiljke: 1152x85x80mm (+-5%)
Životni vijek : L80B20 69000h
IP zaštita: IP66
Oznaka u projektu : S1</t>
    </r>
  </si>
  <si>
    <r>
      <t xml:space="preserve">(S2) </t>
    </r>
    <r>
      <rPr>
        <sz val="10"/>
        <rFont val="Arial CE"/>
        <charset val="238"/>
      </rPr>
      <t xml:space="preserve">Nadgradno rasvjetno tijelo izrađeno u mehaničkoj zaštititi IP66 i IK09, otporno na UV zračenje. Sadrži polikarbonatni difuzor pričvršćen s inoks kopčama. LED izvor svjetla, SDCM≤ 3, klasa energetske učinkovitosti C. Radna temperatura od -20 do +35°C. Svjetiljka mora zadovoljavati sve norme potrebne za izdavanje CE oznake. Garancija 5 godina.
Napajanje: 230V
SDCM: ≤ 3
Snaga svjetiljke maksimalno: 17W
Izlazni svjetlosni tok minimalno: 2650lm
Temperatura svjetla: 4000K
Učinkovitost: 155lm/W
Uzvrat boje - CRI:  &gt;80
Power factor: &gt; 0.88
Klasa el. Izolacije: I
Dimenzija svjetiljke: 1152x85x80mm (+-5%)
Životni vijek : L80B20 69000h
IP zaštita: IP66
</t>
    </r>
  </si>
  <si>
    <r>
      <t xml:space="preserve">(S3) </t>
    </r>
    <r>
      <rPr>
        <sz val="10"/>
        <rFont val="Arial CE"/>
        <charset val="238"/>
      </rPr>
      <t xml:space="preserve">Nadgradna stropna plafonijera izrađena od polikarbonata u IP66 i IK08 zaštiti, izolacijske klase 2. Sadrži uvučeni polikarbonatni difuzor. Kućište dostupno u bojama: bijela/bakar, siva 90006, siva antracit 7021, corten, siva antracit/gold. LED izvor svjetla energetske učinkovitosti klasa F, Fotobiološka grupa rizika RG0. Svjetiljka mora zadovoljavati sve norme potrebne za izdavanje CE oznake.  Garancija 5 godina.
Napajanje: 230V
SDCM: ≤ 3
Snaga svjetiljke maksimalno: 42W
Izlazni svjetlosni tok minimalno: 2032lm
Temperatura svjetla: 3000K
Učinkovitost: 48lm/W
Uzvrat boje - CRI:  &gt;80
UGR: &lt;19
Klasa el. Izolacije: II
Dimenzija svjetiljke: fi500x55mm (+-5%)
Životni vijek : L80B20 50000h
IP zaštita: IP66
Oznaka u projektu : S3
</t>
    </r>
  </si>
  <si>
    <r>
      <t xml:space="preserve">(S4) </t>
    </r>
    <r>
      <rPr>
        <sz val="10"/>
        <rFont val="Arial CE"/>
        <charset val="238"/>
      </rPr>
      <t xml:space="preserve">Nadgradna LED svjetiljka izrađena u IP33, IK08 zaštiti s mikroprizmatičnim uvučenim difuzorom, radi smanjena efekta bliještanja. LED izvor svjetla, kvalitete boje svjetla SDCM≤ 3, uzvrat boje &gt;80, fotobiološka grupa rizika RG1, klasa energetske učinkovitosti_. Radna temperatura od -20 do +35°C. Svjetiljka mora zadovoljavati sve norme potrebne za izdavanje CE oznake. Garancija 5 godina.
Napajanje: 230V
SDCM: ≤ 3
Snaga svjetiljke maksimalno: 18W
Izlazni svjetlosni tok minimalno: 2100lm
Temperatura svjetla: 3000K
Učinkovitost: 116lm/W
Uzvrat boje - CRI:  &gt;80
Power factor: &gt; 0.99
Klasa el. Izolacije: I
Dimenzija svjetiljke: fi166x86mm (+-5%)
Životni vijek : L80B20 84000h
IP zaštita: IP33
Oznaka u projektu: S4
</t>
    </r>
  </si>
  <si>
    <r>
      <t xml:space="preserve">(S5) </t>
    </r>
    <r>
      <rPr>
        <sz val="10"/>
        <rFont val="Arial CE"/>
        <charset val="238"/>
      </rPr>
      <t xml:space="preserve">Nadgradno rasvjetno tijelo izrađeno u mehaničkoj zaštititi IP66 i IK09, otporno na UV zračenje. Sadrži polikarbonatni difuzor pričvršćen s inoks kopčama. LED izvor svjetla, SDCM≤ 3, klasa energetske učinkovitosti C. Radna temperatura od -20 do +35°C. Svjetiljka mora zadovoljavati sve norme potrebne za izdavanje CE oznake. Garancija 5 godina.
Napajanje: 230V
SDCM: ≤ 3
Snaga svjetiljke maksimalno: 48W
Izlazni svjetlosni tok minimalno: 7050lm
Temperatura svjetla: 4000K
Učinkovitost: 146lm/W
Uzvrat boje - CRI:  &gt;80
Power factor: &gt; 0.92
Klasa el. Izolacije: I
Dimenzija svjetiljke: 1152x85x80mm (+-5%)
Životni vijek : L80B20 69000h
IP zaštita: IP66
Oznaka u projektu : S5
</t>
    </r>
  </si>
  <si>
    <r>
      <t xml:space="preserve">(S6) </t>
    </r>
    <r>
      <rPr>
        <sz val="10"/>
        <rFont val="Arial CE"/>
        <charset val="238"/>
      </rP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Garancija 6 godina.
Napajanje: 230V
SDCM: ≤ 3
Snaga svjetiljke maksimalno: 38W
Izlazni svjetlosni tok minimalno: 6261lm
Temperatura svjetla: 4000K
Učinkovitost: 164lm/W
Uzvrat boje - CRI:  &gt;80
UGR&lt;19
Power factor: 0,95
Klasa el. Izolacije: I
Dimenzija svjetiljke: 595x595x55mm (+-5%)
Životni vijek : L90B10 60000h 35°C
IP zaštita: IP40
Oznaka u projektu : S6
</t>
    </r>
  </si>
  <si>
    <r>
      <t xml:space="preserve">(S7) </t>
    </r>
    <r>
      <rPr>
        <sz val="10"/>
        <rFont val="Arial CE"/>
        <charset val="238"/>
      </rPr>
      <t xml:space="preserve">Nadgradna direktna svjetiljka izrađena  iz aluminijskog profila presjeka 45 x 68mm, plastificirana epoxy prahom u jednu od boja: crna, siva, bijela, rusty iron ili antracit siva. Sadrži satinirani difuzor izvučen od ruba profila 30mm. Izvor svjetla LED samohladivi čvrsti linearni moduli energetske učinkovitosti klase C. Izvor svjetla klasifikacije MacAdam3. Fotobiološka grupa rizika RG0. Svjetiljka mora zadovoljavati sve norme potrebne za izdavanje CE oznake.  Garancija 6 godina.
Napajanje: 230V
SDCM: ≤ 3
Snaga svjetiljke maksimalno: 9W
Izlazni svjetlosni tok minimalno: 1028lm
Temperatura svjetla: 4000K
Učinkovitost: 114lm/W
Uzvrat boje - CRI:  &gt;80
UGR: &lt;21
Power factor: 0,95
Klasa el. Izolacije: I
Dimenzija svjetiljke: 585x 45 x 68mm(+-5%)
Životni vijek : L90B10 60000h 35°C
IP zaštita: IP44
Oznaka u projektu : S7
</t>
    </r>
  </si>
  <si>
    <r>
      <t xml:space="preserve">(S8) </t>
    </r>
    <r>
      <rPr>
        <sz val="10"/>
        <rFont val="Arial CE"/>
        <charset val="238"/>
      </rPr>
      <t xml:space="preserve">Nadgradna LED svjetiljka izrađena u IP33, IK08 zaštiti s mikroprizmatičnim uvučenim difuzorom, radi smanjena efekta bliještanja. LED izvor svjetla, kvalitete boje svjetla SDCM≤ 3, uzvrat boje &gt;80, fotobiološka grupa rizika RG1, klasa energetske učinkovitosti_. Radna temperatura od -20 do +35°C. Svjetiljka mora zadovoljavati sve norme potrebne za izdavanje CE oznake. Garancija 5 godina.
Napajanje: 230V
SDCM: ≤ 3
Snaga svjetiljke maksimalno: 18W
Izlazni svjetlosni tok minimalno: 2200lm
Temperatura svjetla: 4000K
Učinkovitost: 122lm/W
Uzvrat boje - CRI:  &gt;80
Power factor: &gt; 0.99
Klasa el. Izolacije: I
Dimenzija svjetiljke: fi166x86mm (+-5%)
Životni vijek : L80B20 84000h
IP zaštita: IP33
Oznaka u projektu: S8
</t>
    </r>
  </si>
  <si>
    <r>
      <t xml:space="preserve">(S9) </t>
    </r>
    <r>
      <rPr>
        <sz val="10"/>
        <rFont val="Arial CE"/>
        <charset val="238"/>
      </rP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Garancija 6 godina.
Napajanje: 230V
SDCM: ≤ 3
Snaga svjetiljke maksimalno:23W
Izlazni svjetlosni tok minimalno:3653lm
Temperatura svjetla:4000K
Učinkovitost: 158lm/W
Uzvrat boje - CRI:  &gt;80
UGR&lt;19
Power factor: 0,95
Klasa el. Izolacije: I
Dimenzija svjetiljke: 595x595x55mm (+-5%)
Životni vijek : L90B10 60000h 35°C
IP zaštita: IP40
Oznaka u projektu : S9
</t>
    </r>
  </si>
  <si>
    <r>
      <t xml:space="preserve">(S10) </t>
    </r>
    <r>
      <rPr>
        <sz val="10"/>
        <rFont val="Arial CE"/>
        <charset val="238"/>
      </rP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Garancija 6 godina.
Napajanje: 230V
SDCM: ≤ 3
Snaga svjetiljke maksimalno: 40W
Izlazni svjetlosni tok minimalno: 5395lm
Temperatura svjetla: 4000K
Učinkovitost: 134lm/W
Uzvrat boje - CRI:  &gt;90
UGR&lt;19
Power factor: 0,95
Klasa el. Izolacije: I
Dimenzija svjetiljke: 595x595x55mm (+-5%)
Životni vijek : L90B10 60000h 35°C
IP zaštita: IP40
Oznaka u projektu : S10
</t>
    </r>
  </si>
  <si>
    <r>
      <t xml:space="preserve">(S11) </t>
    </r>
    <r>
      <rPr>
        <sz val="10"/>
        <rFont val="Arial CE"/>
        <charset val="238"/>
      </rPr>
      <t>Ovjesna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71W
Izlazni svjetlosni tok minimalno: 9610lm
Temperatura svjetla: 3000K
Učinkovitost: 135lm/W
Uzvrat boje - CRI:  &gt;80
UGR: &lt;21
Power factor: 0,95
Klasa el. Izolacije: I
Dimenzija svjetiljke: fi900x115(+-5%)
Životni vijek : L90B10 60000h 35°C
IP zaštita: IP20
Oznaka u projektu : S11</t>
    </r>
  </si>
  <si>
    <r>
      <t xml:space="preserve">(S12) </t>
    </r>
    <r>
      <rPr>
        <sz val="10"/>
        <rFont val="Arial CE"/>
        <charset val="238"/>
      </rPr>
      <t xml:space="preserve">Ovjesna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33W
Izlazni svjetlosni tok minimalno: 4125m
Temperatura svjetla: 3000K
Učinkovitost: 125lm/W
Uzvrat boje - CRI:  &gt;80
UGR: &lt;21
Power factor: 0,95
Klasa el. Izolacije: I
Dimenzija svjetiljke: fi650x115(+-5%)
Životni vijek : L90B10 60000h 35°C
IP zaštita: IP20
Oznaka u projektu : S12
</t>
    </r>
  </si>
  <si>
    <r>
      <t xml:space="preserve">(S13) </t>
    </r>
    <r>
      <rPr>
        <sz val="10"/>
        <rFont val="Arial CE"/>
        <charset val="238"/>
      </rPr>
      <t>Ovjesna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23W
Izlazni svjetlosni tok minimalno: 2580m
Temperatura svjetla: 3000K
Učinkovitost: 112lm/W
Uzvrat boje - CRI:  &gt;80
UGR: &lt;21
Power factor: 0,95
Klasa el. Izolacije: I
Dimenzija svjetiljke: fi450x115(+-5%)
Životni vijek : L90B10 60000h 35°C
IP zaštita: IP20
Oznaka u projektu : S13</t>
    </r>
  </si>
  <si>
    <r>
      <t xml:space="preserve">(S14) </t>
    </r>
    <r>
      <rPr>
        <sz val="10"/>
        <rFont val="Arial CE"/>
        <charset val="238"/>
      </rPr>
      <t>Ovjesna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122W
Izlazni svjetlosni tok minimalno: 16600lm
Temperatura svjetla: 3000K
Učinkovitost: 136lm/W
Uzvrat boje - CRI:  &gt;80
UGR: &lt;21
Power factor: 0,95
Klasa el. Izolacije: I
Dimenzija svjetiljke: fi1240x115(+-5%)
Životni vijek : L90B10 60000h 35°C
IP zaštita: IP20
Oznaka u projektu : S14</t>
    </r>
  </si>
  <si>
    <r>
      <t xml:space="preserve">(S15) </t>
    </r>
    <r>
      <rPr>
        <sz val="10"/>
        <rFont val="Arial CE"/>
        <charset val="238"/>
      </rPr>
      <t>Nadgradna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23W
Izlazni svjetlosni tok minimalno: 2580m
Temperatura svjetla: 3000K
Učinkovitost: 112lm/W
Uzvrat boje - CRI:  &gt;80
UGR: &lt;21
Power factor: 0,95
Klasa el. Izolacije: I
Dimenzija svjetiljke: fi450x115(+-5%)
Životni vijek : L90B10 60000h 35°C
IP zaštita: IP20
Oznaka u projektu : S15</t>
    </r>
  </si>
  <si>
    <r>
      <t xml:space="preserve">(S16) </t>
    </r>
    <r>
      <rPr>
        <sz val="10"/>
        <rFont val="Arial CE"/>
        <charset val="238"/>
      </rPr>
      <t>Nadgradna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33W
Izlazni svjetlosni tok minimalno: 4125m
Temperatura svjetla: 3000K
Učinkovitost: 125lm/W
Uzvrat boje - CRI:  &gt;80
UGR: &lt;21
Power factor: 0,95
Klasa el. Izolacije: I
Dimenzija svjetiljke: fi650x115(+-5%)
Životni vijek : L90B10 60000h 35°C
IP zaštita: IP20
Oznaka u projektu : S16</t>
    </r>
  </si>
  <si>
    <r>
      <t xml:space="preserve">(S17) </t>
    </r>
    <r>
      <rPr>
        <sz val="10"/>
        <rFont val="Arial CE"/>
        <charset val="238"/>
      </rPr>
      <t>Nadgradna direktna svjetiljka izrađena iz aluminijskog profila i limenog pokrova debljine 0,6mm,  svjetiljke će biti pojedinačno plastificirane epoxy prahom u jednu od boja: žutu boju RAL_1018; plavu boju RAL_5005; crvenu boju RAL_3028 i zelenu boju RAL_6029.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Sadrži standardni ovjesni pribor 1.5m. Garancija 6 godina.
Napajanje: 230V
SDCM: ≤ 3
Snaga svjetiljke maksimalno: 71W
Izlazni svjetlosni tok minimalno: 9610m
Temperatura svjetla: 3000K
Učinkovitost: 135m/W
Uzvrat boje - CRI:  &gt;80
UGR: &lt;21
Power factor: 0,95
Klasa el. Izolacije: I
Dimenzija svjetiljke: fi900x115(+-5%)
Životni vijek : L90B10 60000h 35°C
IP zaštita: IP20
Oznaka u projektu : S17</t>
    </r>
  </si>
  <si>
    <r>
      <t xml:space="preserve">(SV1) </t>
    </r>
    <r>
      <rPr>
        <sz val="10"/>
        <rFont val="Arial CE"/>
        <charset val="238"/>
      </rPr>
      <t xml:space="preserve">Nadgradna zidna direktna IP66 IK10 svjetiljka kućišta  iz lijevanog aluminija s vijcima od nehrđajućeg čelika. Plastificirano poliester prahom visoko antikorozijske zaštite na bazi cirkonija. Kućište dostupno u bojama: bijela, crna, siva 90006, siva antracit 7021 i corten. LED izvor svjetla klasifikacije MacAdam3. Fotobiološka grupa rizika RG0.   Svjetiljka mora zadovoljavati sve norme potrebne za izdavanje CE oznake.  Garancija 5 godina. 
Napajanje: 230V
SDCM: ≤ 3
Snaga svjetiljke maksimalno: 18W
Izlazni svjetlosni tok minimalno: 2327lm
Temperatura svjetla: 3000K
Učinkovitost: 129lm/W
Uzvrat boje - CRI:  &gt;80
Klasa el. Izolacije: I
Dimenzija svjetiljke: 220x80x115mm (+-5%)
Životni vijek : L80B10 60000h
IP zaštita: IP66
Oznaka u projektu : SV1
</t>
    </r>
  </si>
  <si>
    <r>
      <t xml:space="preserve">(SV2) </t>
    </r>
    <r>
      <rPr>
        <sz val="10"/>
        <rFont val="Arial CE"/>
        <charset val="238"/>
      </rPr>
      <t xml:space="preserve">Nadgradna zakretna zidna svjetiljka kućišta iz aluminija u IP66, IK07 i CLII zaštiti, zakretna u 5 različitih stupnjeva podesivosti. Visoka otpornost na oksidaciju zahvaljujući tretmanu kataforezom i UV-stabiliziranom premazu od poliestera, sadrži prozirno kaljeno staklo te asimetričnu optiku . Izvor svjetla LED, energetske učinkovitosti klase E, Fotobiološka grupa rizika RG0. Svjetiljka mora zadovoljavati sve norme potrebne za izdavanje CE oznake.  Garancija 5 godina.
Napajanje: 230V
SDCM: ≤ 3
Snaga svjetiljke maksimalno: 35W
Izlazni svjetlosni tok minimalno: 4329lm
Temperatura svjetla:3000K
Učinkovitost: 123lm/W
Uzvrat boje - CRI:  &gt;80
Klasa el. Izolacije: II
Dimenzija svjetiljke: 364x75x68mm (+-5%)
Životni vijek : L80B20 50000h
IP zaštita: IP66
Oznaka u projektu : SV2
</t>
    </r>
  </si>
  <si>
    <r>
      <t xml:space="preserve">(SV3) </t>
    </r>
    <r>
      <rPr>
        <sz val="10"/>
        <rFont val="Arial CE"/>
        <charset val="238"/>
      </rPr>
      <t xml:space="preserve">Ulična svjetiljka za montažu stup završnog prihvata promjera 60mm,sa asimetričnom optikom. Kućište svjetiljke izrađeno od tlačno lijevanog aluminija, nasad izrađen od aluminija, optički sustav načinjen od optičkih leća zaštićen kaljenim staklom. Svjetiljka mora zadovoljavati sve norme potrebne za izdavanje CE oznake. Garancija 5 godina.
Napajanje: 230V
SDCM: ≤ 3
Snaga svjetiljke maksimalno:40W
Izlazni svjetlosni tok minimalno: 4718lm
Temperatura svjetla: 3000K
Učinkovitost: 118lm/W
Uzvrat boje - CRI:  &gt;80
Klasa el. Izolacije: II
Zaštita od prenapona: ≥ 10kV
Dimenzija svjetiljke: fi451mm (+-5%)
IP zaštita: IP66
Oznaka u projektu: SV3
</t>
    </r>
  </si>
  <si>
    <r>
      <t xml:space="preserve">(SV4) </t>
    </r>
    <r>
      <rPr>
        <sz val="10"/>
        <rFont val="Arial CE"/>
        <charset val="238"/>
      </rPr>
      <t xml:space="preserve">Ulična svjetiljka za montažu stup završnog prihvata promjera 60mm,sa simetričnom optikom. Kućište svjetiljke izrađeno od tlačno lijevanog aluminija, nasad izrađen od aluminija, optički sustav načinjen od optičkih leća zaštićen kaljenim staklom. Svjetiljka mora zadovoljavati sve norme potrebne za izdavanje CE oznake. Garancija 5 godina.
Napajanje: 230V
SDCM: ≤ 3
Snaga svjetiljke maksimalno:40W
Izlazni svjetlosni tok minimalno: 4718lm
Temperatura svjetla: 3000K
Učinkovitost: 118lm/W
Uzvrat boje - CRI:  &gt;80
Klasa el. Izolacije: II
Zaštita od prenapona: ≥ 10kV
Dimenzija svjetiljke: fi451mm (+-5%)
IP zaštita: IP66
Oznaka u projektu: SV4
</t>
    </r>
  </si>
  <si>
    <t>Cinčani čelični stup fi 60mm, visine 6 metara. Završetak stupa fi60mm. Uz stup se isporučuje potrebna razdjelnica i ostala oprema za montažu. Za svjetiljke SV4 i SV4
Cinčani stup 6m(fi60mm) + razdjelnica i oprema</t>
  </si>
  <si>
    <r>
      <t xml:space="preserve">(P1) </t>
    </r>
    <r>
      <rPr>
        <sz val="10"/>
        <rFont val="Arial CE"/>
        <charset val="238"/>
      </rPr>
      <t xml:space="preserve">Stropno rasvjetno tijelo protupanične rasvjete s plexi piktogramom strelica ''dolje'',  zaštite IP65, kućišta i difuzora izrađenog od PC i ABS materijala, odsijača od PMMA materijala, elektronička predspojna naprava sa vlastitim napajanjem, sa inverterom za nužnu rasvjetu u pripravnom modu rada i hermetički zatvorenom baterijom autonomije 3h. Udaljenost uočavanja VD 24m. Svjetiljka mora zadovoljavati sve norme potrebne za izdavanje CE oznake.  Garancija na svjetiljku 2 godine, na bateriju 1 godina.
Napajanje: 230V
Snaga svjetiljke maksimalno: 3,5W
Izlazni svjetlosni tok minimalno: 331lm
Temperatura svjetla: 5000K
Uzvrat boje - CRI:  &gt;70
Klasa el. Izolacije: II
Dimenzija svjetiljke: 269x144x42mm (+-5%)
Dimenzije piktogram table: 250x125mm
IP zaštita: IP65
Oznaka u projektu : P1
</t>
    </r>
  </si>
  <si>
    <r>
      <t xml:space="preserve">(P2) </t>
    </r>
    <r>
      <rPr>
        <sz val="10"/>
        <rFont val="Arial CE"/>
        <charset val="238"/>
      </rPr>
      <t xml:space="preserve">Nadgradno rasvjetno tijelo protupanične rasvjete s optikom za osvjetljavanje otvorenih prostora, kućišta izrađenog od PC materijala, 220÷240VAC/50÷60Hz napajanje, elektronička predspojna naprava sa vlastitim napajanjem, sa inverterom za nužnu rasvjetu u pripravnom/stalnom modu rada i hermetički zatvorenom hibridnom (LiFePO4 6.4V) baterijom autonomije 3h, s elektronskom zaštitom protiv potpunog pražnjenja baterije, 2P+T priključne stezaljke za max, autotest. presjek kabela 2.5mm². Svjetiljka mora zadovoljavati sve norme potrebne za izdavanje CE oznake.
Napajanje: 230V
Snaga svjetiljke maksimalno: 1.5W
Izlazni svjetlosni tok minimalno: 140lm
Temperatura svjetla: 5000K
Uzvrat boje - CRI:  &gt;70
Klasa el. Izolacije: II
Dimenzija svjetiljke: fi145x35mm (+-5%)
Autonomija: 3sata
IP zaštita: IP20
Oznaka u projektu : P2
</t>
    </r>
  </si>
  <si>
    <r>
      <t xml:space="preserve">(P3) </t>
    </r>
    <r>
      <rPr>
        <sz val="10"/>
        <rFont val="Arial CE"/>
        <charset val="238"/>
      </rPr>
      <t xml:space="preserve">Stropno rasvjetno tijelo protupanične rasvjete s plexi dvostranim piktogramom strelica ''lijevo/desno'', zaštite IP65, kućišta i difuzora izrađenog od PC i ABS materijala, odsijača od PMMA materijala, elektronička predspojna naprava sa vlastitim napajanjem, sa inverterom za nužnu rasvjetu u pripravnom modu rada i hermetički zatvorenom baterijom autonomije 3h. Udaljenost uočavanja VD 24m. Svjetiljka mora zadovoljavati sve norme potrebne za izdavanje CE oznake.  Garancija na svjetiljku 2 godine, na bateriju 1 godina.
Napajanje: 230V
Snaga svjetiljke maksimalno: 3,5W
Izlazni svjetlosni tok minimalno: 190lm
Temperatura svjetla: 5000K
Uzvrat boje - CRI:  &gt;70
Klasa el. Izolacije: II
Dimenzija svjetiljke: 269x144x42mm (+-5%)
Dimenzije piktogram table: 250x125mm
IP zaštita: IP65
Oznaka u projektu : P3
</t>
    </r>
  </si>
  <si>
    <r>
      <t xml:space="preserve">(P4) </t>
    </r>
    <r>
      <rPr>
        <sz val="10"/>
        <rFont val="Arial CE"/>
        <charset val="238"/>
      </rPr>
      <t xml:space="preserve">Stropno rasvjetno tijelo protupanične rasvjete s plexi piktogramom strelica ''dolje'',  zaštite IP65, kućišta i difuzora izrađenog od PC i ABS materijala, odsijača od PMMA materijala, elektronička predspojna naprava sa vlastitim napajanjem, sa inverterom za nužnu rasvjetu u pripravnom modu rada i hermetički zatvorenom baterijom autonomije 3h. Udaljenost uočavanja VD 24m. Svjetiljka mora zadovoljavati sve norme potrebne za izdavanje CE oznake.  Garancija na svjetiljku 2 godine, na bateriju 1 godina.
Napajanje: 230V
Snaga svjetiljke maksimalno: 3,5W
Izlazni svjetlosni tok minimalno: 190lm
Temperatura svjetla: 5000K
Uzvrat boje - CRI:  &gt;70
Klasa el. Izolacije: II
Dimenzija svjetiljke: 269x144x42mm (+-5%)
Dimenzije piktogram table: 250x125mm
IP zaštita: IP65
Oznaka u projektu : P4
</t>
    </r>
  </si>
  <si>
    <r>
      <t xml:space="preserve">(P5) </t>
    </r>
    <r>
      <rPr>
        <sz val="10"/>
        <rFont val="Arial CE"/>
        <charset val="238"/>
      </rPr>
      <t xml:space="preserve">Zidno rasvjetno tijelo protupanične rasvjete s piktogram naljepnicom strelica ''dolje'', Zaštite IP65, kućišta i difuzora izrađenog od PC i ABS materijala, odsijača od PMMA materijala, elektronička predspojna naprava sa vlastitim napajanjem, sa inverterom za nužnu rasvjetu u pripravnom modu rada i hermetički zatvorenom baterijom autonomije 3h. Udaljenost uočavanja VD 24m. Svjetiljka mora zadovoljavati sve norme potrebne za izdavanje CE oznake.  Garancija na svjetiljku 2 godine, na bateriju 1 godina.
Napajanje: 230V
Snaga svjetiljke maksimalno: 3,5W
Izlazni svjetlosni tok minimalno: 190lm
Temperatura svjetla: 5000K
Uzvrat boje - CRI:  &gt;70
Klasa el. Izolacije: II
Dimenzija svjetiljke: 269x144x42mm (+-5%)
IP zaštita: IP65
Oznaka u projektu : P5
</t>
    </r>
  </si>
  <si>
    <r>
      <t xml:space="preserve">(P6) </t>
    </r>
    <r>
      <rPr>
        <sz val="10"/>
        <rFont val="Arial CE"/>
        <charset val="238"/>
      </rPr>
      <t xml:space="preserve">Stropno rasvjetno tijelo protupanične rasvjete, Zaštite IP65, kućišta i difuzora izrađenog od PC i ABS materijala, odsijača od PMMA materijala, elektronička predspojna naprava sa vlastitim napajanjem, sa inverterom za nužnu rasvjetu u pripravnom modu rada i hermetički zatvorenom baterijom autonomije 3h. Udaljenost uočavanja VD 24m. Svjetiljka mora zadovoljavati sve norme potrebne za izdavanje CE oznake.  Garancija na svjetiljku 2 godine, na bateriju 1 godina.
Napajanje: 230V
Snaga svjetiljke maksimalno: 3,5W
Izlazni svjetlosni tok minimalno: 190lm
Temperatura svjetla: 5000K
Uzvrat boje - CRI:  &gt;70
Klasa el. Izolacije: II
Dimenzija svjetiljke: 269x144x42mm (+-5%)
IP zaštita: IP65
Oznaka u projektu : P6
 </t>
    </r>
  </si>
  <si>
    <r>
      <t xml:space="preserve">(P7) </t>
    </r>
    <r>
      <rPr>
        <sz val="10"/>
        <rFont val="Arial CE"/>
        <charset val="238"/>
      </rPr>
      <t xml:space="preserve">Nadgradno rasvjetno tijelo protupanične rasvjete s optikom za osvjetljavanje otvorenih prostora, kućišta izrađenog od PC materijala, 220÷240VAC/50÷60Hz napajanje, elektronička predspojna naprava sa vlastitim napajanjem, sa inverterom za nužnu rasvjetu u pripravnom/stalnom modu rada i hermetički zatvorenom hibridnom (LiFePO4 6.4V) baterijom autonomije 3h, s elektronskom zaštitom protiv potpunog pražnjenja baterije, 2P+T priključne stezaljke za max, autotest. presjek kabela 2.5mm². Svjetiljka mora zadovoljavati sve norme potrebne za izdavanje CE oznake.
Napajanje: 230V
Snaga svjetiljke maksimalno: 1.5W
Izlazni svjetlosni tok minimalno: 170lm
Temperatura svjetla: 5000K
Uzvrat boje - CRI:  &gt;70
Klasa el. Izolacije: II
Dimenzija svjetiljke: fi145x35mm (+-5%)
Autonomija: 3sata
IP zaštita: IP20
Oznaka u projektu : P7
</t>
    </r>
  </si>
  <si>
    <r>
      <t xml:space="preserve">(P8) </t>
    </r>
    <r>
      <rPr>
        <sz val="10"/>
        <rFont val="Arial CE"/>
        <charset val="238"/>
      </rPr>
      <t xml:space="preserve">Zidno rasvjetno tijelo protupanične rasvjete s piktogram naljepnicom strelica ''lijevo'', zaštite IP65, kućišta i difuzora izrađenog od PC i ABS materijala, odsijača od PMMA materijala, elektronička predspojna naprava sa vlastitim napajanjem, sa inverterom za nužnu rasvjetu u pripravnom modu rada i hermetički zatvorenom baterijom autonomije 3h. Udaljenost uočavanja VD 24m. Svjetiljka mora zadovoljavati sve norme potrebne za izdavanje CE oznake. Garancija na svjetiljku 2 godine, na bateriju 1 godina.
Napajanje: 230V
Snaga svjetiljke maksimalno: _W
Izlazni svjetlosni tok minimalno: 190lm
Temperatura svjetla: 5000K
Uzvrat boje - CRI:  &gt;70
Klasa el. Izolacije: II
Dimenzija svjetiljke: 269x144x42mm (+-5%)
IP zaštita: IP65
Oznaka u projektu : P8
</t>
    </r>
  </si>
  <si>
    <r>
      <t xml:space="preserve">(P9) </t>
    </r>
    <r>
      <rPr>
        <sz val="10"/>
        <rFont val="Arial CE"/>
        <charset val="238"/>
      </rPr>
      <t>Nadgradno rasvjetno tijelo protupanične rasvjete s optikom za osvjetljavanje otvorenih prostora, kućišta izrađenog od PC materijala, 220÷240VAC/50÷60Hz napajanje, elektronička predspojna naprava sa vlastitim napajanjem, sa inverterom za nužnu rasvjetu u pripravnom/stalnom modu rada i hermetički zatvorenom hibridnom (LiFePO4 6.4V) baterijom autonomije 3h, s elektronskom zaštitom protiv potpunog pražnjenja baterije, 2P+T priključne stezaljke za max, autotest. presjek kabela 2.5mm². Svjetiljka mora zadovoljavati sve norme potrebne za izdavanje CE oznake.
Napajanje: 230V
Snaga svjetiljke maksimalno: 1.5W
Izlazni svjetlosni tok minimalno: 280lm
Temperatura svjetla: 5000K
Uzvrat boje - CRI:  &gt;70
Klasa el. Izolacije: II
Dimenzija svjetiljke: fi145x35mm (+-5%)
Autonomija: 3sata
IP zaštita: IP20
Oznaka u projektu : P9</t>
    </r>
  </si>
  <si>
    <t>Provjera ispravnosti montaže svih svjetiljaka, provjera funkcionalnosti, pribavljanje certifikata i atesta proizvođača.</t>
  </si>
  <si>
    <t>Instalacija komunikacija</t>
  </si>
  <si>
    <t>Dobava, montaža i spajanje samostojećeg komunikacijskog ormara RACK 19", 60/60 cm,  visine 22U, kompletno opremljen i ožičen prema specifikaciji:
kao tip: Digitus ili jednakovrijedno
U cijenu uključiti sve potrebne radove montaže i spajanja svih sastavnih dijelova ormara, sav nespecificiran sitni spojni i montažni materijal. Prije izrade izraditi montažni nacrt sa smještajem opreme u ormaru i dati ga na odobrenje IT službi investitora. Nakon izrade ormara, isporučiti shemu stvarno izvedenog stanja dopunjenu priključnim planom.</t>
  </si>
  <si>
    <t>ormar 22U, 60/60cm</t>
  </si>
  <si>
    <t>bočne stranice za ormar</t>
  </si>
  <si>
    <t>ventilatorska jedinica 19", 2 ventilatora, s termostatom</t>
  </si>
  <si>
    <t>podnožje prednje i stražnje</t>
  </si>
  <si>
    <t>nosač po širini za 19" šine</t>
  </si>
  <si>
    <t>perforirana šina 17x73mm, duljine 1000mm</t>
  </si>
  <si>
    <t>kanal za vertikalni razvod kabela, 22U</t>
  </si>
  <si>
    <t>sabirnica za uzemljenje</t>
  </si>
  <si>
    <t>rasvjeta ormara 19", 1x8W</t>
  </si>
  <si>
    <t>set kabela za uzemljenje</t>
  </si>
  <si>
    <t>napojni panel 19" s 7×230 V, 1U, s prenaponskom zaštitom</t>
  </si>
  <si>
    <t>polica 19" 300 mm, 1/2U, 50kg, 600-900mm</t>
  </si>
  <si>
    <t>ladica za prespajanje optičkih kabela, 24-porta</t>
  </si>
  <si>
    <t>patch kabel optički SC/SC, duplex, MM, 2m</t>
  </si>
  <si>
    <t>horizontalni 19" kabel manager - vodilica</t>
  </si>
  <si>
    <t>patch panel 24xRJ45, UTP cat. 6, komplet sa 24 utičnih modula</t>
  </si>
  <si>
    <t>ISDN patch panel, za 5x5 porta RJ45, visine 1U</t>
  </si>
  <si>
    <t>ISDN modul s 5 porta RJ45</t>
  </si>
  <si>
    <t>patch kabel U/UTP cat. 6, duljine 1m (kabele isporučiti u dvije različite boje - pola količine za LAN instalaciju i pola količine za telefoniju)</t>
  </si>
  <si>
    <t>patch kabel U/UTP cat. 6, duljine 2m (kabele isporučiti u dvije različite boje - pola količine za LAN instalaciju i pola količine za telefoniju)</t>
  </si>
  <si>
    <t>patch kabel U/UTP cat. 6, duljine 3m (kabele isporučiti u dvije različite boje - pola količine za LAN instalaciju i pola količine za telefoniju)</t>
  </si>
  <si>
    <t>patch kabel U/UTP cat. 6, duljine 5m (kabele isporučiti u dvije različite boje - pola količine za LAN instalaciju i pola količine za telefoniju)</t>
  </si>
  <si>
    <t>razni sitni montažni materijal (vijci, matice, odstojnici...)</t>
  </si>
  <si>
    <t>ožičenje, oznake i provjera funkcionalnosti</t>
  </si>
  <si>
    <t>Ispitivanje kabela na kategoriju 6 i izdavanje ispitnog protokola od strane ovlaštenog ispitivača</t>
  </si>
  <si>
    <t>Instalacijska savitljiva cijev za beton d 40 mm</t>
  </si>
  <si>
    <t>Dobava vodova i kabela, polaganje po već pripremljenim trasama ili elementima razvoda i spajanje</t>
  </si>
  <si>
    <t>UTP cat. 6</t>
  </si>
  <si>
    <t>Provjera ispravnosti montaže svih elemenata instalacije, pribavljanje dokaza o kvaliteti izvedenih radova na instalaciji, ispitivanje funkcionalnosti, sva potrebna ispitivanja, pribavljanje svih potrebnih certifikata i atesta i primopredaja.</t>
  </si>
  <si>
    <t>NAPOMENA:
Instalacijski pribor (priključnice itd.) specificiran je u energetskom dijelu troškovnika.</t>
  </si>
  <si>
    <t>RTV instalacija</t>
  </si>
  <si>
    <t>Mjerenje signala na lokaciji postavljanja antenskog sustava od strane ovlaštene osobe i izdavanje ispitnog protokola.</t>
  </si>
  <si>
    <t>Dobava i montaža ormarića za smještaj opreme 
RTV instalacije.</t>
  </si>
  <si>
    <t>Dobava, montaža i spajanje digitalnog RTV sustava sljedećih karakteristika:</t>
  </si>
  <si>
    <t>antene za mogućnost prijema svih dostupnih zemaljskih programa, komplet sa antenskim stupom</t>
  </si>
  <si>
    <t>satelitska antena s mogućnošću prijema programa s 2 satelita</t>
  </si>
  <si>
    <t>multiswitch sustav s radijalnim razvodom do svake 
prilključnice (za 8 korisnika)</t>
  </si>
  <si>
    <t>Dobava cijevi, dubljenje opeke i drugih materijala i polaganje cijevi zajedno s razvodnim kutijama do 100x100 mm.</t>
  </si>
  <si>
    <t>Instalacijska savitljiva cijev ticino d 40 mm.</t>
  </si>
  <si>
    <t>Instalacijska savitljiva cijev ticino d 20 mm.</t>
  </si>
  <si>
    <t>Dobava kabela, polaganje po već pripremljenim trasama ili elementima razvoda i spajanje.</t>
  </si>
  <si>
    <t>DG 113</t>
  </si>
  <si>
    <t>Ispitivanje i mjerenje razine signala za jedno priključno mjesto.</t>
  </si>
  <si>
    <t>Gromobran, izjednačenje potencijala</t>
  </si>
  <si>
    <t>Dobava pocinčane čelične trake 30x4 mm za izradu temeljnog uzemljivača. Traku položiti okomito pomoću držača na sloj betona 
minimalne debljine 10 cm. U slučaju armiranih temelja zavariti traku svakih 2 m duljine na armaturu varom minimalne duljine 5 cm. Prije zalijevanja betonom provjeriti da li su izvedeni svi izvodi s uzemljivača.</t>
  </si>
  <si>
    <t>Dobava pocinčane čelične trake 30x4 mm 
prosječne duljine 2,5 m i izrada izvoda s 
uzemljivača za odvode, metalne površine u i na objektu</t>
  </si>
  <si>
    <t>Dobava pocinčane čelične trake 20x3 mm 
prosječne duljine 2,5 m i izrada izvoda s 
uzemljivača za ekvipotencijalizaciju na metalne mase. U stavku uključiti križnu spojnicu na strani uzemljivača i spoj na vijak ili varenjem na strani opreme.</t>
  </si>
  <si>
    <t>Izrada spoja izvoda s uzemljivača ili vertikalnih odvoda i metalnih površina na i u objektu. Spoj izraditi varom duljine minimalno 5 cm obostrano u visini minimalno 10 cm od gotovog poda. Var 
zaštititi dvostrukim antikorozivnim premazom crvene boje</t>
  </si>
  <si>
    <t>Dobava pocinčane čelične trake 20x3 mm i izrada odvoda. Traku zavariti varom na čelični stup.</t>
  </si>
  <si>
    <t>Dobava pocinčane čelične trake 30x4 mm          duljine 3 m i izrada izvoda s uzemljivača za spoj s razdjelnicama (GRO...). Spoj izvesti pocinčanim vijkom M 8x30 mm.</t>
  </si>
  <si>
    <t>Dobava žice od aluminijske legure promjera 8 mm i izrada hvataljki po krovu. Hvataljke pričvrstiti odgovarajućim nosačima na svakih 1 m duljine.</t>
  </si>
  <si>
    <t>Dobava i spajanje križnog komada za međusobni spoj traka kod grananja. Spoj prema važećim standardima.</t>
  </si>
  <si>
    <t>Dobava, montaža i spajanje aluminijskog gromobranskog šiljka promjera 16(10)mm, duljine 2m, komplet sa izolacijskim odstojnikom duljine 0,5m i temeljem.</t>
  </si>
  <si>
    <t>Dobava kutije za mjerni spoj prema važećim standardima i ugradnja u/na krov te izrada spoja izvoda s uzemljivača i odvoda. Spoj izraditi na preklop s dva pocinčana vijka M 8x15 i zaštiti ga dvostrukim antikorozivnim premazom crvene boje</t>
  </si>
  <si>
    <t>Mjerenje otpora uzemljenja, provjera galvanske povezanosti svih metalnih površina i masa međusobno, provjera otpora uzemljenja svakog rastavljivog spoja, izrada revizione knjige gromobranske instalacije, pribavljanje potrebne atestne dokumentacije, dokumentacije o kvaliteti radova i ugrađenog materijala, te primopredaja.</t>
  </si>
  <si>
    <t>Zemljani i građevinski radovi - kabelska kanalizacija</t>
  </si>
  <si>
    <t>Strojni iskop kanala u zemljištu "I/II" kategorije za polaganje kabela, sa pravilnim odsjecanjem bočnih strana i odbacivanjem iskopanog materijala min. 1m od ruba rova. Dubina rova 0,8 m a širina rova ca 1,2m. Zatrpavanje rova materijalom iz iskopa. Zatrpavanje izvesti u slojevima od 20 cm uz nabijanje. Obračun po m3 iskopanog sraslog materijala za razuprti rov.</t>
  </si>
  <si>
    <r>
      <t>m</t>
    </r>
    <r>
      <rPr>
        <vertAlign val="superscript"/>
        <sz val="10"/>
        <rFont val="Arial CE"/>
        <charset val="238"/>
      </rPr>
      <t>3</t>
    </r>
  </si>
  <si>
    <t>Ručni iskop kanala u zemljištu "I/II" kategorije za polaganje kabela, sa pravilnim odsjecanjem bočnih strana i odbacivanjem iskopanog materijala min. 1m od ruba rova. Dubina rova 0,8 m a širina rova ca 1,2m. Zatrpavanje rova materijalom iz iskopa. Zatrpavanje izvesti u slojevima od 20 cm uz nabijanje. Obračun po m3 iskopanog sraslog materijala za razuprti rov.</t>
  </si>
  <si>
    <t xml:space="preserve">Dobava i ugradnja zaštitnog sloja pijeska u rov sa planiranjem istog. Pijesak je granulacije 0-4 mm. Prije polaganja kablova pijesak se planira po dnu rova u sloju debljine 10 cm. Nakon polaganja kablova vrši se zatrpavanje sa pijeskom tako da iznad tjemena kabla bude minimalno 10 cm pijeska. Jedinična cijena sadrži dobavu pijeska, raznos duž rova, ubacivanje u rov i planiranje. Obračun po m3 ugrađenog pijeska. </t>
  </si>
  <si>
    <t>Dobava i montaža u trasu kabelske kanalizacije (u zelenoj/pješačkoj površini) tipskog kabelskog zdenca kao tip MZ D1/125, 125kN, vanjskih dimenzija 78x108x98cm. Cijena uključuje iskop zemlje II/III kategorije, zatrpavanje zemljom oko stijenki nakon postavljanja i odvoz ili rasipavanje viška zemlje.
(SPOJ NA DTK)</t>
  </si>
  <si>
    <t>Dobava cijevi i polaganje u prethodno iskopani rov u zemlji</t>
  </si>
  <si>
    <t>DWP cijev d 50 mm</t>
  </si>
  <si>
    <t>DWP cijev d 160 mm</t>
  </si>
  <si>
    <t>Dobava i polaganje PVC trake za upozorenje s natpisom "POZOR - TELEKOMUNIKACIJSKI KABEL"</t>
  </si>
  <si>
    <t>Dobava i polaganje PVC trake za upozorenje s natpisom "POZOR - ENERGETSKI KABEL"</t>
  </si>
  <si>
    <t>Dobava i postavljanje plastičnih štitnika kabela .</t>
  </si>
  <si>
    <t>Geodetsko snimanje trase izvedenog vanjskog podzemnog kabelskog razvoda prije zatrpavanja rova i ucrtavanje u odgovarajuće katastarske planove.</t>
  </si>
  <si>
    <t>Dokumentacija izvedbenog projekta</t>
  </si>
  <si>
    <t>OPĆENITO</t>
  </si>
  <si>
    <t>Cijena za svaku točku ovog troškovnika mora obuhvatiti dobavu, spajanje, te dovođenje stavke u stanje potpune funkcionalnosti.</t>
  </si>
  <si>
    <t>U cijenu treba ukalkulirati sav potreban spojni, montažni, pridržni i ostali materijal potreban za potpuno funkcioniranje pojedine stavke.</t>
  </si>
  <si>
    <t>Prilikom izrade ponude treba imati u vidu najnovije važeće propise za pojedine vrste instalacije.</t>
  </si>
  <si>
    <t>Potvrdu narudžbe prije definitivne isporuke specificirane opreme izvođač radova obavezno je dužan provjeriti kod projektanta. Izmjena pojedinih dijelova opreme “zamjenskim dijelovima” bez prethodne pismene suglasnosti projektanta isključuje odgovornost projektanta za predviđenu funkcionalnost postrojenja.</t>
  </si>
  <si>
    <t>Svi ponuđači dužni su kompletan opseg vlastite isporuke uskladiti s traženom kompletnom funkcijom, respektirajući pri tom sve predviđene i tražene parametre, uz čvrste, pismeno potvrđene garancije. Sva eventualna potrebna razrađivanja, usklađenja i slično, u opsegu su dotične isporuke, a sve pripadne troškove snosi ponuđač.</t>
  </si>
  <si>
    <t>Izvođač je dužan prijenos, ugradnju i svu građevinsku pripomoć izvesti o svom trošku, te sve te radove nuditi u jediničnim cijenama ovog troškovnika.</t>
  </si>
  <si>
    <t>Rekapitulacija</t>
  </si>
  <si>
    <t>F</t>
  </si>
  <si>
    <t>G</t>
  </si>
  <si>
    <t>H</t>
  </si>
  <si>
    <t>cijena stavke</t>
  </si>
  <si>
    <t xml:space="preserve">OPREMA ZA GRIJANJE I HLAĐENJE
</t>
  </si>
  <si>
    <t>Dobava i ugradnja:</t>
  </si>
  <si>
    <t xml:space="preserve">Visokoučinkovita inverterska dizalica topline sa zrakom hlađenim kondenzatorom kompaktne izvedbe za vanjsku ugradnju.
</t>
  </si>
  <si>
    <t xml:space="preserve">Uređaj je opremljen s četiri inverterska DC kompresora, dva rashladna kruga, elektronskim ekspanzijskim ventilom, pločastim isparivačem, zračnim kondenzatorom, aksijalnim frekventno reguliranim ventilatorima, elektro ormarom, cirkulacijskom crpkom, inercijskim spremnikom, osjetnikom protoka,  mikroprocesorskim upravljačem, sigurnosnim ventilom, presostatima visokog i niskog tlaka.
</t>
  </si>
  <si>
    <t xml:space="preserve">U sklopu uređaja nalazi se elektroupravljački ormar s energetskim, zaštitnim i upravljačkim sustavima. Mikroprocesorski upravljač upravlja svim dijelovima i funkcijama sustava kao što su proporcionalno – integralna kontrola polazne temperature vode, kontrola tlaka kondenzacije, zaštita kompresora od preopterećenja, vremensko vođenje, sustav samodijagnostike  i automatskog prikaza kvara, funkcije pred-alarma visokog i niskog tlaka, </t>
  </si>
  <si>
    <t>brojanje radnih sati kompresora, nadzor faza, osjetnik protoka, daljinsko paljenje i gašenje, kontakt za zbirni signal alarma, prikaz postavnih vrijednosti, grešaka i parametara, mogućnost ulaznog signala za ograničenje el. snage  i svom radnom i zaštitnom automatikom te svim ostalim potrebnim priborom, priključcima i dijelovima za rad do potpune pogonske gotovosti.</t>
  </si>
  <si>
    <t>Tehničke karakteristike uređaja:</t>
  </si>
  <si>
    <t>medij = voda + glikol 30%</t>
  </si>
  <si>
    <t>Radna tvar  = R-32 ili jednakovrijedna</t>
  </si>
  <si>
    <t>Tip kompresora = 4 x inverterski kompresor</t>
  </si>
  <si>
    <t>Tip regulacije: kontinuirana inverterska regulacija snage</t>
  </si>
  <si>
    <t>Hlađenje</t>
  </si>
  <si>
    <r>
      <t>Q</t>
    </r>
    <r>
      <rPr>
        <vertAlign val="subscript"/>
        <sz val="11"/>
        <color indexed="8"/>
        <rFont val="Calibri"/>
        <family val="2"/>
        <charset val="238"/>
        <scheme val="minor"/>
      </rPr>
      <t xml:space="preserve">H </t>
    </r>
    <r>
      <rPr>
        <sz val="11"/>
        <color indexed="8"/>
        <rFont val="Calibri"/>
        <family val="2"/>
        <charset val="238"/>
        <scheme val="minor"/>
      </rPr>
      <t xml:space="preserve">  (min-max)= 100-120 kW kod tw = 7/12°C i tok = 35°C</t>
    </r>
  </si>
  <si>
    <r>
      <t>N</t>
    </r>
    <r>
      <rPr>
        <vertAlign val="subscript"/>
        <sz val="11"/>
        <color indexed="8"/>
        <rFont val="Calibri"/>
        <family val="2"/>
        <charset val="238"/>
        <scheme val="minor"/>
      </rPr>
      <t>EL..</t>
    </r>
    <r>
      <rPr>
        <sz val="11"/>
        <color indexed="8"/>
        <rFont val="Calibri"/>
        <family val="2"/>
        <charset val="238"/>
        <scheme val="minor"/>
      </rPr>
      <t xml:space="preserve"> (min-max)= 40,0-45,0 kW</t>
    </r>
  </si>
  <si>
    <r>
      <t>Q</t>
    </r>
    <r>
      <rPr>
        <vertAlign val="subscript"/>
        <sz val="11"/>
        <color indexed="8"/>
        <rFont val="Calibri"/>
        <family val="2"/>
        <charset val="238"/>
        <scheme val="minor"/>
      </rPr>
      <t xml:space="preserve">H </t>
    </r>
    <r>
      <rPr>
        <sz val="11"/>
        <color indexed="8"/>
        <rFont val="Calibri"/>
        <family val="2"/>
        <charset val="238"/>
        <scheme val="minor"/>
      </rPr>
      <t xml:space="preserve"> (min-max)= 100-120 kW kod tw+g = 7/12°C i tok = 35°C</t>
    </r>
  </si>
  <si>
    <r>
      <t>N</t>
    </r>
    <r>
      <rPr>
        <vertAlign val="subscript"/>
        <sz val="11"/>
        <color indexed="8"/>
        <rFont val="Calibri"/>
        <family val="2"/>
        <charset val="238"/>
        <scheme val="minor"/>
      </rPr>
      <t>EL.</t>
    </r>
    <r>
      <rPr>
        <sz val="11"/>
        <color indexed="8"/>
        <rFont val="Calibri"/>
        <family val="2"/>
        <charset val="238"/>
        <scheme val="minor"/>
      </rPr>
      <t>(min-max)= 40,0-45,0 kW</t>
    </r>
  </si>
  <si>
    <t>SEER (min-max)= 4,0-5,0</t>
  </si>
  <si>
    <t>Grijanje</t>
  </si>
  <si>
    <r>
      <t>Qg</t>
    </r>
    <r>
      <rPr>
        <vertAlign val="subscript"/>
        <sz val="11"/>
        <color indexed="8"/>
        <rFont val="Calibri"/>
        <family val="2"/>
        <charset val="238"/>
        <scheme val="minor"/>
      </rPr>
      <t xml:space="preserve"> </t>
    </r>
    <r>
      <rPr>
        <sz val="11"/>
        <color indexed="8"/>
        <rFont val="Calibri"/>
        <family val="2"/>
        <charset val="238"/>
        <scheme val="minor"/>
      </rPr>
      <t xml:space="preserve"> (min-max)= 110-120 kW kod tw = 45/40°C i tok = 7°C</t>
    </r>
  </si>
  <si>
    <r>
      <t>N</t>
    </r>
    <r>
      <rPr>
        <vertAlign val="subscript"/>
        <sz val="11"/>
        <color indexed="8"/>
        <rFont val="Calibri"/>
        <family val="2"/>
        <charset val="238"/>
        <scheme val="minor"/>
      </rPr>
      <t>EL..</t>
    </r>
    <r>
      <rPr>
        <sz val="11"/>
        <color indexed="8"/>
        <rFont val="Calibri"/>
        <family val="2"/>
        <charset val="238"/>
        <scheme val="minor"/>
      </rPr>
      <t xml:space="preserve"> (min-max)= 35,0-40,0 kW</t>
    </r>
  </si>
  <si>
    <r>
      <t>Qg</t>
    </r>
    <r>
      <rPr>
        <vertAlign val="subscript"/>
        <sz val="11"/>
        <color indexed="8"/>
        <rFont val="Calibri"/>
        <family val="2"/>
        <charset val="238"/>
        <scheme val="minor"/>
      </rPr>
      <t xml:space="preserve"> </t>
    </r>
    <r>
      <rPr>
        <sz val="11"/>
        <color indexed="8"/>
        <rFont val="Calibri"/>
        <family val="2"/>
        <charset val="238"/>
        <scheme val="minor"/>
      </rPr>
      <t>(min-max)= 50-60 kW kod tw+g = 45/40°C i tok = -16°C</t>
    </r>
  </si>
  <si>
    <r>
      <t>N</t>
    </r>
    <r>
      <rPr>
        <vertAlign val="subscript"/>
        <sz val="11"/>
        <color indexed="8"/>
        <rFont val="Calibri"/>
        <family val="2"/>
        <charset val="238"/>
        <scheme val="minor"/>
      </rPr>
      <t>EL..</t>
    </r>
    <r>
      <rPr>
        <sz val="11"/>
        <color indexed="8"/>
        <rFont val="Calibri"/>
        <family val="2"/>
        <charset val="238"/>
        <scheme val="minor"/>
      </rPr>
      <t xml:space="preserve"> (min-max)= 25,0-35,0 kW</t>
    </r>
  </si>
  <si>
    <t>SCOP W35 (min-max)= 3,5-4,5</t>
  </si>
  <si>
    <t>SCOP W55 (min-max)= 2,5-3,5</t>
  </si>
  <si>
    <t xml:space="preserve">Hidraulički modul s cirkulacijskom pumpom </t>
  </si>
  <si>
    <t>Protok (min-max)= 5,5-6,5 l/s</t>
  </si>
  <si>
    <t>Raspoloživi statički tlak (min-max)= 80-120 kPa</t>
  </si>
  <si>
    <t>Volumen integriranog spremnika (min-max)= 200-400L</t>
  </si>
  <si>
    <t>Električni podatci</t>
  </si>
  <si>
    <t xml:space="preserve">Napajanje = 400/3/50 Hz </t>
  </si>
  <si>
    <t>Maksimalna struja (min-max) =  110-120 A</t>
  </si>
  <si>
    <t>Maksimalna električna snaga (min-max) = 70,0-75,0  kW</t>
  </si>
  <si>
    <t>Ostali podaci</t>
  </si>
  <si>
    <t>Raspon radne temperature grijanja (°C): od -20°C do +44°C</t>
  </si>
  <si>
    <t>Zvučni tlak @ 1m(min-max): 65-70 dB(A)</t>
  </si>
  <si>
    <t>Priključci vode = 2 1/2“</t>
  </si>
  <si>
    <t>Tražena konfiguracija:</t>
  </si>
  <si>
    <t>Cirkulacijska pumpa</t>
  </si>
  <si>
    <t>Integrirani akumulacijski inercijski spremnik</t>
  </si>
  <si>
    <t>U cijenu uključiti sve potrebne elemente za potpunu funkcionalnost upravljanja te sav potreban spojni i montažni materijal do potpune gotovosti.</t>
  </si>
  <si>
    <t xml:space="preserve">Spremnika za spremanje ogrjevne i rashladne vode, za sustave s dizalicama
topline, s toplinskom izolacijom.
Dozvoljena temperatura ogrjevne vode
polaznog voda do 95°C i pogonski tlak grijanja do 3 bara.
Tehnički podaci
• Volumen spremnika(min-max) 1000-1100 l
minimalno 4 priključka polaznog/povratnog voda R 3"
minimalno  4 priključka za uranjajuće čahure R 1/2"
</t>
  </si>
  <si>
    <t>Jednostruki ionski omekšivač vode kapaciteta 1,1 - 1,5 m3/h uključivo sav potrebni spojni i montažni materijal i pribor. Uređaje se sastoji od mehaničkog filtera DN 25 i jednostrukog omekšivača vode s automatskim upravljanjem. Radni tlak uređaja od 2,5 - 6 bar, količina slole 30 litara, kapacitet 120 m3/°dH, temperatura medija od 4- 35 °C. Količina soli za regeneraciju 3,0-7,2 kg.</t>
  </si>
  <si>
    <t>Dozvoljeno je odstupanje tehničkim karakteritika proizvod  od projektnih parametara ±5%</t>
  </si>
  <si>
    <t>Punjenje uređaja za demineralizaciju vode sa ionskom smolom.</t>
  </si>
  <si>
    <t xml:space="preserve">Uređaj za vakuumsko odplinjavanje i nadopunjavanje sustava grijanja, hlađenja i solara. Uređaj odlikuje visoka učinkovitost ciklonsko vakuumsko otplinjavanja -0.9 bar, kompaktna izvedba i visoki radni učin. Napredni sustav upravljanja uređajem putem upravljačke ploče s 3,5 " i zaslonom u boji. Mogučnost spajanje na BMS sustave, Modbus protokola, ulazno/izlaznih signala kao i daljinsko upravljanje sustavom održavanja tlaka putem vizualnog prikaza preko  web servera. </t>
  </si>
  <si>
    <t>Nadzor sustava za nadopunjavanje vode s mogućnošću regulacije nadopunjavanja i vakkumskog otplinjavanje vode za nadopunjavanje.  meki start rada pumpi s regulacijom brzine vrtnje pumpi. Radno područje uređaja od 1 do 2.5 bara. Dodatak antifriza do 50 %. Ugradnja uređaja na zid.</t>
  </si>
  <si>
    <t xml:space="preserve"> Zaštitnik povratnog voda s nepovratnim ventilom, komorom za izjednačavanje tlakova, sigurnosnim ventilom, zapornim ventilom i hvatačem nečistoće. Tjelo ventila iz bronce nazivnog tlaka PN 10. Priključak na ventil G 1/2"</t>
  </si>
  <si>
    <t xml:space="preserve">Ekspanzijska posuda valjkastog oblika s butilnim mjehom za sustave grijanja i hlađenja . Materijal posude čelik s nogama u podnožju za uspravnu ugradnju na pod. Spoj na posudu s donje strane s priključkom DN20 putem servisnog ventila. Radno područje butilnog mjeha od +5 do +70 °C, posude od -10 do 120 °C. </t>
  </si>
  <si>
    <t>Servisni ventil izrađen iz mesinga namijenjen za održavanje i demontažu ekspanzijske posude. Zatvaranje venila moguće je samo s priloženim imbus ključem. Venil opremljen ispusnom slavinom DN 20  za priključak crijeva za brzo pražnjenje.</t>
  </si>
  <si>
    <t xml:space="preserve">U stavku uključiti sigurnosni ventil  Psv= 3 bar DN15
 </t>
  </si>
  <si>
    <t>80 litara</t>
  </si>
  <si>
    <t>b.</t>
  </si>
  <si>
    <t>140 litara</t>
  </si>
  <si>
    <t xml:space="preserve">Kabliranje i spajanje opreme u strojarnici sa automatikom, te provjera ispravnosti, puštanje u pogon automatike uz podešavanje potrebnih parametara i spajanje potrebne opreme i  osjetnika temperature na automatiku. </t>
  </si>
  <si>
    <t xml:space="preserve">Dobava i ugradnja:
Razdjeljivač  za krugove grijanja/hlađenja  s prirubničkim i navojnim priključcima za manometar, termometar i priključkom za punjenje instalacije, antikorozivno zaštičen izvana temeljnom bojom.
</t>
  </si>
  <si>
    <t>Priključci (prema shemi ):
2 kruga grijanja + primarni krug</t>
  </si>
  <si>
    <t>DN 100 kom 1 - primarni krug</t>
  </si>
  <si>
    <t>DN 80 kom 1</t>
  </si>
  <si>
    <t>DN 65 kom 1</t>
  </si>
  <si>
    <t>U cijenu uključiti sav potreban spojni i montažni materijal do potpune gotovosti i funkcionalnosti.</t>
  </si>
  <si>
    <t>Dobava i ugradnja:
Izolacije razdjelnika, s parnom branom koja ima zatvorene ćelije s otporom difuziji vodene pare µ =7000, koja pri izgaranju ne stvara otrovni plin i samogasiva je, klase B1 ili jednakovrijedno, uključivo ljepilo i spojne trake.</t>
  </si>
  <si>
    <t>Izolacijske ploče, debljina izolacije 19 mm.</t>
  </si>
  <si>
    <t xml:space="preserve">Dobava i ugradnja:
Sabirnika  za krugove grijanja/hlađenja prirubničkim i navojnim priključcima za manometar, termometar i priključkom za punjenje instalacije, antikorozivno zaštičen izvana temeljnom bojom.
</t>
  </si>
  <si>
    <t>Dobava i ugradnja:
Izolacije sabirnika,  s parnom branom koja ima zatvorene ćelije s otporom difuziji vodene pare µ =7000, koja pri izgaranju ne stvara otrovni plin i samogasiva je, klase B1 ili jednakovrijedno, uključivo ljepilo i spojne trake.</t>
  </si>
  <si>
    <t>Rastavljivi pločasti izmjenjivač topline glikol/voda 130 kW.
Dizalica topline primar/sekundar.
Grijanje:
primarni krug 45/40°C
dp=30 kPa
sekundarni krug 40/35°C
dp=30 kPa
Hlađenje:
primarni krug 7/12°C
dp=30 kPa
sekundarni krug 9/14°C
dp=30 kPa</t>
  </si>
  <si>
    <t>U cijenu uključiti sve potrebne elemente za potpunu funkcionalnost te sav potreban spojni i montažni materijal do potpune gotovosti.</t>
  </si>
  <si>
    <t>Dobava i ugradnja visokoučinkovite optočne crpka za grijanje s mokrim rotorom bez potrebe održavanja, sa navojnim ili prirubničkim spojem, sinkronim motorom i integriranom elektronskom regulacijom snage za bezstepenu regulaciju diferencijalnog tlaka, sa visokim stupnjem iskoristivosti i visokim pokretnim momentom, uključujući automatsku funkciju deblokiranja.</t>
  </si>
  <si>
    <t>oznaka na shemi: P1
PRIMARNI KRUG - GLIKOL
 q(min-max)=20,5-22,0 m3/h
 dp(min-max)= 6,5-7,5 m
Pel(min-max)=500-750 W ,400 V</t>
  </si>
  <si>
    <t>oznaka na shemi: P2
PRIMARNI KRUG - VODA
 q(min-max)=20,5-22,0 m3/h
 dp(min-max)=7,5-9,0 m
Pel(min-max)=500-750 W ,400 V</t>
  </si>
  <si>
    <t>c.</t>
  </si>
  <si>
    <t>oznaka na shemi: P3
 VENTILOKONVEKTORI - GRIJANJE/HLAĐENJE
 q(min-max)=12,2 -13,5 m3/h
 dp(min-max)= 11,5-13,0m
Pel(min-max)=500-750 W ,400 V</t>
  </si>
  <si>
    <t>d.</t>
  </si>
  <si>
    <t>oznaka na shemi: P4
PODNO GRIJANJE
 q(min-max)=11,2-13,0 m3/h
 dp(min-max)= 11,0-12,0 m
Pel(min-max)=500-750 W ,400 V</t>
  </si>
  <si>
    <t>Puštanje u pogon zrakom hlađene dizalice topline uključivo sljedeće: vizulanu provjera oštećenja, radne tvari, curenja ulja ili vode, ugradnje i podloge jedinice, provjera mjera za sprječavanje vibracija. provjera električnih priključaka, napona i frekvencije napajanja svih triju faza, provjera naponske ravnoteže, rad uljnih grijača, opterećenja kompresora, provjera temperatura i tlakova ulja, radne tvari i vode, provjera funkcionalnosti prekidača protoka, temeljita provjera nepropusnosti u rashladnom krugu (uporabom detektora) od strane ovlaštenog servisera uz izdavanje potrebnih uputa za korištenje, atesta i garancija.</t>
  </si>
  <si>
    <t xml:space="preserve">Set antivibracijskih nosivih nogica za instalaciju dizalice topline na predviđeno vanjsko postolje Izrađeno od galvanizirajućeg čelika s elastomerom. </t>
  </si>
  <si>
    <t>Cijevni kompenzator (fleksibilni spoj) za ugradnju na cjevovod grijanja/hlađenja kod dizalice topline.</t>
  </si>
  <si>
    <t>DN100</t>
  </si>
  <si>
    <t xml:space="preserve">Visokoučinkoviti ciklonski separator  za taložne čestice i/ili mikro mjehuriće . Jedinstvena ciklonska tehnologija omogučava do 9 puta bolju separaciju od standardnih separatora. Separacija čestica do veličine 5µm u komoru za taloženje na dnu separatora. </t>
  </si>
  <si>
    <t>Efikasnost separatora povećava se povečanjem protoka kroz separator i ugradnjom megnetnog uloška za bolju separaciju magnetitnog mulja. Mogučnost ugradnje u horizontalni i vetikalni razvod. Ventil za ispust može se ugraditi u 4 položaja. Radno područje od za PN 16 od -10 - 110 °C , PN 25 od -10 - 180 °C.  Dodatak antifriza do 50%.
Ugradnja magnetnog uloška snage 1000 T.</t>
  </si>
  <si>
    <t>DN 100</t>
  </si>
  <si>
    <t>U cijenu uključiti  sav potreban spojni i montažni materijal do potpune gotovosti.</t>
  </si>
  <si>
    <t>prirubničkog troputnog prekretnog ventil DN100 PN6, 130°C, za ugradnju na instalaciju grijanja za prekretanje kod promjene režima grijanja/hlađenja</t>
  </si>
  <si>
    <t xml:space="preserve"> izrađen od sivog ljeva
 Uključene protuprirubnice, brtve i vijci. 
Za distribuciju i prekretanje</t>
  </si>
  <si>
    <t>Karakteristike:
- DN 100
- prirubnički
- hod vretena 20 mm
- kvs 63 m3/h
- protok pri ΔP 120 mbar 26,0 (m3/h)</t>
  </si>
  <si>
    <t>U cijenu uključiti sav potreban spojni i montažni materijal do potpune gotovosti.</t>
  </si>
  <si>
    <t>motorni pogon za troputi ventil</t>
  </si>
  <si>
    <t>Motornog pogona za troputne mješajuće  ventile ugrađene na instalaciju grijanja za prekretanje kod promjene režima grijanja/hlađenja, s uključenom spojkom</t>
  </si>
  <si>
    <t>Karakteristike:
- napajanje 230VAC, 50/60Hz
- 2-/3- točkovni
- vrijeme aktivacije 30s</t>
  </si>
  <si>
    <t xml:space="preserve">Ventila za hidrauličko balansiranje u sustavima grijanja i hlađenja izrađeni iz Nodularnog lijeva sa proporcionalnom karakteristikom prigušenja. Ventil  s ugrađenim mjernim priključcima za instrument za podešavanje protoka, te ručnim kolom sa numeričkom digitalnom skalom od 0.0 do 8.0 za predpodešavanje ventila i mogućnosti blokiranja podešenog položaja. Mogučnost mjerenja protoka, diferencijalnog tlaka, temperature i raspoloživog radnog tlaka crpke. Radno područje ventila od -20 do 120/150 °C, te razred tlaka PN 16/25. Stavka obvezno uključuje jednokratno podešavanje protoka pomoću originalnog mjernog instrumenta  i izradu zapisnika o postignutim protocima. </t>
  </si>
  <si>
    <t>DN 65</t>
  </si>
  <si>
    <t>DN 80</t>
  </si>
  <si>
    <t xml:space="preserve">Dobava i ugradnja mehaničkog filtera za ugradnju na krug hlađenja, komplet sa protuprirubnicama, zajedno sa brtvenim, spojnim i montažnim materijalom </t>
  </si>
  <si>
    <t>DN100- prirubnički</t>
  </si>
  <si>
    <t xml:space="preserve">Dobava i ugradnja mehaničkog filtera hladne vode, komplet sa navojnim spojem, zajedno sa brtvenim, spojnim i montažnim materijalom </t>
  </si>
  <si>
    <t>DN25- navojni</t>
  </si>
  <si>
    <t xml:space="preserve">Dobava i ugradnja prolaznog zapornog ventila, komplet sa navojnim spojem, zajedno sa brtvenim, spojnim i montažnim materijalom </t>
  </si>
  <si>
    <t xml:space="preserve">Dobava i ugradnja prolaznog zapornog ventila, komplet sa protuprirubnicama, zajedno sa brtvenim, spojnim i montažnim materijalom </t>
  </si>
  <si>
    <t>DN65- prirubnički</t>
  </si>
  <si>
    <t>DN80- prirubnički</t>
  </si>
  <si>
    <t xml:space="preserve">Dobava i ugradnja nepovratnog ventila, komplet sa navojnim spojem, zajedno sa brtvenim, spojnim i montažnim materijalom </t>
  </si>
  <si>
    <t xml:space="preserve">Dobava i ugradnja nepovratnog ventila, komplet sa protuprirubnicama, zajedno sa brtvenim, spojnim i montažnim materijalom </t>
  </si>
  <si>
    <t xml:space="preserve">Dobava i ugradnja ON/OFF ventil, sa elektromotornim pogonom 
otvaranje u režimu grijanja/ 
zatvaranje u režimu hlađenja
, komplet sa protuprirubnicama, zajedno sa brtvenim, spojnim i montažnim materijalom </t>
  </si>
  <si>
    <t xml:space="preserve">Dobava i ugradnja leptirastih zaklopka, komplet sa protuprirubnicama, zajedno sa brtvenim, spojnim i montažnim materijalom </t>
  </si>
  <si>
    <t>Troputnog regulacijskog ventila s motornim pogonom, jednakopostotne karakteristike( EQM) A-AB ili linearne karakteristike B-AB,  za sustave grijanja i hlađenja. Hod ventila za DN 15-20  12mm, DN 25-50  14mm, DN 65-100 20/30mm i DN 125-150 50mm . 
Radno područje od -15 do 150 ° C.
 Tijelo ventila izrađeno od bronze nazivnog tlaka PN 16.
 Spajanje putem navojnog priključka do DN 50, iznad DN 50 prirubnički. 
  zajedno sa svom pripadajućom opremom za montažu i protuprirubnicama:</t>
  </si>
  <si>
    <t>pribor:
temperaturni osjetnik  sa cijevnim nastavkom za uronski osjetnik i motorni pogon</t>
  </si>
  <si>
    <t>DN50 - prirubnički</t>
  </si>
  <si>
    <t>DN65 - prirubnički</t>
  </si>
  <si>
    <t xml:space="preserve">Dobava i ugradnja ventila za punjenje i praženjenje, komplet sa navojnim spojem, zajedno sa brtvenim, spojnim i montažnim materijalom </t>
  </si>
  <si>
    <t>DN25</t>
  </si>
  <si>
    <t>termometar
mjernog područja:</t>
  </si>
  <si>
    <t>0-120°C</t>
  </si>
  <si>
    <t>Okrugli manometar s pipalom odozada, ø100, 
uključivo manometarska slavina, dimenzije R ½“, NP 6
mjernog područja:</t>
  </si>
  <si>
    <t>0-6 bar</t>
  </si>
  <si>
    <t>Automatski odzračni lončić zajedno sa spojnim i montažnim materijalom.</t>
  </si>
  <si>
    <t>Odzračne posude iz cijevi volumena 3 l kompet s cijevi NO15 (L=8 m) i kuglastom slavinom R15. Sve oličeno temeljnom bojom i izolirano izolacijom s parnom branom debljine 19 mm u plaštu od aluminijskog lima.</t>
  </si>
  <si>
    <t>Čelične bešavne cijevi (grijanje i hlađenje),  u kompletu s cijevnim lukovima i ostalim fazonskim komadima, fitinzima, T-komadima i redukcijama, 
dimenzije:</t>
  </si>
  <si>
    <t>Č.DN 20</t>
  </si>
  <si>
    <t>Č.DN 25</t>
  </si>
  <si>
    <t>Č.DN 65</t>
  </si>
  <si>
    <t>Č.DN 80</t>
  </si>
  <si>
    <t>Č.DN 100</t>
  </si>
  <si>
    <t>Dobava i ugradnja toplinske izolacije cjevovoda rashladnog medija, s fleksibilnim crijevima od spužvastog materijala na bazi sintetičkog kaučuka (elastomer), zatvorene ćelijaste strukture, s pokrovom od polietilenske folije, slijedećih svojstava:
- koeficijent otpora difuziji vodene pare:  m = 7000
- vodljivost                                     l = 0,036 W/mK
- debljina                                       s=19 mm
za cijev:</t>
  </si>
  <si>
    <t>Protupožarno brtvljenje prodora za prolaz instalacije grijanja, klase otpornosti EI90, zajedno sa svim potrebnim materijalom i radom.</t>
  </si>
  <si>
    <t>Oslonci, konzole i nosači za oslanjanje i vođenje cjevovoda izrađeni iz tipskih čeličnih profila, lima i šipki.</t>
  </si>
  <si>
    <t>Balansiranje, podaševanje i puštanje u pogon sustava grijanja/hlađenja od strane ovlaštenog proizvođača opreme.</t>
  </si>
  <si>
    <t xml:space="preserve">Izrada ožičenja i kabliranje automatike, temperaturnih osjetnika, crpki te svih ostalih elemenata za ispravno funkcioniranje sustava nove automatike strojarnice. </t>
  </si>
  <si>
    <t>Automatika za vođenje sustava grijanja i hlađenje u strojarnici.
Sučelje za vizualizaciju sustava grijanja. Služi za prikaz poruka o pogreškama, prikaz stvarnih i postavnih vrijednosti temperatura cjelokupnog sustava grijanja/hlađenja, te za grafički prikaz elemenata i mrežni nadzor kako bi bili u mogućnosti analizirati podatke te omogućiti optimizacije rada sustava grijanja.</t>
  </si>
  <si>
    <t>Licenca za sustav nadzora
• Kompletan pregled projekta sa svim kontrolerima i priključenim mjeračima topline (opcija), osjetnicima temperature i tlakova (opcija)
• Prikaz hidrauličkog dijagrama sustava potrošača s vrijednostima. Ovaj prikaz omogućuje vizualizaciju  za svaki povezani krug toplinske podstanice, vidljivost svih elemenata izvedenih u  sekundarnoj mreži  (uključuje parametre; temperatura, brzina protoka (opcija), mjerenje potrošnje toplinske energije (opcija))
• Statistička procjena snimljenih i arhiviranih podataka preko grafikona  i tablica 
• Snimanje svih podesivih parametara i aktualnih vrijednosti temperatura u 
• Središnja sinkronizacija datuma / vremena  osnovnog modula za daljinsko grijanje 
• Izravno postavljanje izlaznih releja ili uključivanje krugova grijanja</t>
  </si>
  <si>
    <t>• Kompletno upravljanje alarmom, tj. prijavom svih alarma kao što su osjetnici, komunikacijske greške, itd. s datumom i vremenom te prosljeđivanje poruka na mjerodavnu adresu
• Pristup putem pametnog telefona, tablet računala ili zaslona s web preglednikom je moguće bez instalacije dodatnih softvera
• Opcionalna  optimizacija troškovne učinkovitosti i distribucija energije kontroliranjem vanjskih izvora energije prebacivanjem potrošača uključeno ili isključeno.
• Izborni prikaz poruka upozorenja iz uređaja za upozorenje
• Centralno ažuriranje za sve povezane kontroleri
• Nekoliko korisnika može pristupiti sustavu istodobno zbog integriranog multi-user sustava</t>
  </si>
  <si>
    <t>Funkcije
• Pristup putem pametnog telefona, tablet računala ili zaslona s web preglednikom je moguće bez instalacije dodatnog softvera
pomoću poslužitelja
• Sve funkcije podliježu korisničkim pravima provjere, s različitim nivoima pristupa informacijama (kotlovničar, vlasnik, usluga korisnika)</t>
  </si>
  <si>
    <t xml:space="preserve">• Svi podaci o korisniku i mjeračima potrošnje su šifrirani za prijenos od pojedniačnih kontrolera prema Hoval® Supervisor-u, omogućava zaštitu od manipulacije neovlaštenih osoba
• Podaci se mogu razmjenjivati između različitih sustavi (ERP ili sustavi višeg nivoa) </t>
  </si>
  <si>
    <t>• Daljinska dijagnoza i održavanje sustava može se regulairati na daljinu putem interneta
• Za transparentan energetski učinkoviti rad cijelog sustava daljinskog grijanje
• može se koristi u različitim aplikacijama
• Za izravnu integraciju generatora topline preko poslužitelja</t>
  </si>
  <si>
    <t>Sastoji se od:
- Licenca za sustav nadzora
- mrežni Modul
- Kompjuter
- Industrijski kompjuterski preklopnik
- Elektro ormar s elektro shemom</t>
  </si>
  <si>
    <t>Hladna tlačna proba cjelokupne grijane cijevne instalacije u prostoru strojarnice, vodom pod tlakom 3,3 bara, u trajanju min. 3 sata, po prethodnom odvajanju sigurnosnih ventila i membranskih ekspanzijskih posuda i zatvaranju zapornih ventila prema vanjskim cijevnim razvodima grijane vode. 
Ispitivanje započinje nakon odzračivanja cijevne mreže i stabilizaciji temperature ispitnog medija. Manometar ne smije pokazivati pad tlaka u instalaciji. 
Ispitivanje provodi izvoditelj radova u prisutnosti nadzornog inženjera. 
O rezultatima ispitivanja sačiniti zapisnik.
Obvezan je upis u građevinski dnevnik.</t>
  </si>
  <si>
    <t>Topla proba i funkcionalno ispitivanje instalacija strojarnice u cjelini koje uključuje provjeru: regulacijskih i sigurnosnih elemenata (radni i granični termostat), protoka, pritiska i temperature, praćenje temperaturnih dilatacija cjevovoda i kompenzacije volumnih dilatacija vode, kontrolu mjernih i brtvenih elemenata itd. Stavka podrazumjeva odzračivanje  ogrjevne instalacije. Po uspješno provedenim ispitivanjima trebaju biti izdani odgovarajući dokumenti o ispravnosti. Ispitivanje provodi izvoditelj radova i ovlašteni serviser za automatsku regulaciju u prisutnosti nadzornog inženjera  i rukovatelja centralnog grijanja ovaštenog od vlasnika/korisnika zgrade.  
O rezultatima ispitivanja sačiniti zapisnik.
Obvezan je upis u građevinski dnevnik.</t>
  </si>
  <si>
    <r>
      <t>Izrada Funkcionalne sheme strojarnice  s uputama za korištenje s kratkim uputama za stavljanje u pogon, isključivanje iz pogona i otklanjanje smetnji. Na njoj trebaju biti navedeni - parametri kotlovnice : nazivni učin, temperaturi režimi rada, radni pritisci, pritisak baždarenja sigurnosnih ventila, karakteristike goriva itd),
- osnovni podaci o vlasniku, 
- dokumentacija na osnovi koje je strojarnica  izvedena,
- izvoditelju  radova, 
- ovlaštenim serviserima  postrojenja opreme;
Shema treba biti izrađena na podlozi od plastike,</t>
    </r>
    <r>
      <rPr>
        <sz val="11"/>
        <rFont val="Calibri"/>
        <family val="2"/>
        <charset val="238"/>
        <scheme val="minor"/>
      </rPr>
      <t xml:space="preserve">  uokvirena i ovješena na zidu strojarnice.</t>
    </r>
  </si>
  <si>
    <t xml:space="preserve">Obuka rukovatelja centralnog grijanja, ovlaštenog od vlasnika/korisnika zgrade, po prethodno predanim uputstvima za rukovanje i održavanje: 
-  za stavljanje u pogon i isključivanje iz pogona  strojarnice, 
- za aktivnosti otklanjanje smetnji u radu strojarnice 
O provedenoj obuci i predaji rekonstruirane strojarnice vlasniku na korištenje treba izraditi  zapisnik i izvršiti  upis u dnevnik 
</t>
  </si>
  <si>
    <t>Dobava etilen glikola  za hlađenje i grijanje u omjeru 30% glikola / 70% vode, omjer smrzavanja -16°C, te punjenje i odzračivanje sustava.
Volumen instalacije:</t>
  </si>
  <si>
    <t>lit.</t>
  </si>
  <si>
    <t>OPREMA ZA GRIJANJE I PRIPREMU PTV-a</t>
  </si>
  <si>
    <t>Dizalice topline za potrebe grijanja PTV-a.</t>
  </si>
  <si>
    <t>Tehničke karakteristike uređaja</t>
  </si>
  <si>
    <t xml:space="preserve">Vanjska jedinica dizalice topline  pripremu PTV
Pel. (min-max)=1,0-1,5 kW; 230 V
freonska veza ∅6,35/∅9,52 mm
buka (min-max)= 60-65dB(A) </t>
  </si>
  <si>
    <t xml:space="preserve">Unutarnja jedinica (spremnik) dizalice topline za pripremu PTV
V(min-max)=250-350 lit.
Pel.(min-max)=2,0-2,5 kW; 230 V (el. grijač)
Pel.pumpa (min-max)=  0,5-1,0 kW
Pel.uk (min-max)= 2,5-3,5kW, 230 V
freonska veza ∅6,35/∅9,52 mm
</t>
  </si>
  <si>
    <t>U cijenu uključiti sav
 spojni i montažni materijal</t>
  </si>
  <si>
    <t>Dobava i ugradnja nosača za vanjsku  jedinicu dizalice topline koja će se ugraditi na krov građevine  zajedno sa spojnim i montažnim materijalom</t>
  </si>
  <si>
    <t>Dobava i montaža do potpune funkcionalnosti bakrenih cijevi u kolutu ili šipci za freonsku instalaciju plinske i tekuće faze namjenjene za rashladni medij R32 ili jednakovrijedni. U cijeni ovjes te potreban materijal za spajanje.</t>
  </si>
  <si>
    <t xml:space="preserve"> Φ 6,35 mm</t>
  </si>
  <si>
    <t xml:space="preserve"> Φ 9,52 mm</t>
  </si>
  <si>
    <t>Dobava i montaža do potpune funkcionalnosti toplinske izolacije bakrenih cijevi ogrijevnog/rashladnog medija s parnom branom. Zajedno sa potrebnim spojnim i montažnim materijalom do potpune funkcionalnosti uređaja i sustava.
Za dimenziju cijevi:</t>
  </si>
  <si>
    <t>Dobava i montaža do potpune funkcionalnosti toplinske izolacije bakrenog cijevnog razvoda u vanjskom prostoru mineralnom vunom u oblozi od Al lima.</t>
  </si>
  <si>
    <t xml:space="preserve">Dobava i montaža bus komunikacijske veze od vanjske jedinice do unutarne jedinice dizalice topline - izvode se dvožilnim oklopljenim kablom LIYCY 2x0,75mm2 ili jednakovrijedno uključivo  zaštitni bužiri, ovjes, kabliranje, kablove, spajanje uređajate potreban montažni materijal. 
</t>
  </si>
  <si>
    <t>Puštanje u pogon  split sustava uključivo podešavanje postavki automatike, provjeru nepropusnosti freonske instalacije, vakumiranje i dopunjavanje rashladnog sredstva od strane ovlaštenog servisa uz izdavanje potrebnih uputa za korištenje, atesta i garancija.</t>
  </si>
  <si>
    <t>Izrada ožičenja i kabliranje automatike, temperaturnih osjetnika,  crpke DT te svih ostalih elemenata za ispravno funkcioniranje sustava.</t>
  </si>
  <si>
    <t xml:space="preserve">Dobava i ugradnja:
Visokoučinkovita elektronska cirkulacijska crpka. </t>
  </si>
  <si>
    <t xml:space="preserve">'OZNAKA U SHEMI P0
'recirkulacija PTV
P=9...80 W, 230V 
q(min-max)=0,5-1,0 m3/h
 dp(min-max)=4,0-5,0 m 
</t>
  </si>
  <si>
    <t xml:space="preserve">Dobava i ugradnja prolaznog zapornog ventila za PTV, zajedno sa spojnim i montažnim materijalom </t>
  </si>
  <si>
    <t>DN20 - navojni</t>
  </si>
  <si>
    <t>DN25 - navojni</t>
  </si>
  <si>
    <t xml:space="preserve">Dobava i ugradnja nepovratnog ventila za PTV, zajedno sa spojnim i montažnim materijalom </t>
  </si>
  <si>
    <t>DN15 - navojni</t>
  </si>
  <si>
    <t xml:space="preserve">Dobava i ugradnja ekspanzijske posude za PTV zajedno sa pripadajućim sigurnosnim ventilom DN15,ventilom protiv zatvaranja DN 15, monometrom, kozolom te sa svim potrebnim spojnim i montažnim materijalom </t>
  </si>
  <si>
    <t>30 lit.</t>
  </si>
  <si>
    <t xml:space="preserve">Dobava i montaža sigurnosne grupe hladne vode za PTV koja se sastoji od mjedenog ventila (1 kom), nepovratnog ventila (1 kom), filtera za vodu (1 kom), sigurnosnog ventila  (1 kom), manometra s manometarskom slavinom mjernog područja 0-10 bar   (1 kom), za spoj na instalaciju hladne vode, zajedno s potrebnim spojnim i montažnim materijalom. </t>
  </si>
  <si>
    <t>Čelične bešavne cijevi,  u kompletu s cijevnim lukovima i ostalim fazonskim komadima, fitinzima, T-komadima i redukcijama, 
dimenzije:</t>
  </si>
  <si>
    <t>Dobava i ugradnja toplinske izolacije cjevovoda ogrjevnog medija, s fleksibilnim crijevima od spužvastog materijala na bazi sintetičkog kaučuka (elastomer), zatvorene ćelijaste strukture, s pokrovom od polietilenske folije, slijedećih svojstava
- koeficijent otpora difuziji vodene pare:  m = 3000
- vodljivost                                     l = 0,038 W/mK
- debljina                                       s=13 mm
za cijevi:</t>
  </si>
  <si>
    <t>Predaja potvrđenih jamstva, uputa o načinu rukovanja ugrađenom opremom na hrvatskom jeziku, te elaborata o izvršenim radovima</t>
  </si>
  <si>
    <t>Punjenje sustava grijanja vodom, odzračivanje, hladna tlačna proba vodom tlaka 4 bara mjereno na najnižem mjestu instalacije,  popravak eventualno propusnih mjesta, te izradu izvješća o izvršenoj tlačnoj probi</t>
  </si>
  <si>
    <t>Topla proba sustava grijanja</t>
  </si>
  <si>
    <t>INSTALACIJA GRIJANJA
-PODNO GRIJANJE</t>
  </si>
  <si>
    <t>Č.DN 32</t>
  </si>
  <si>
    <t>Č.DN 40</t>
  </si>
  <si>
    <t>Č.DN 50</t>
  </si>
  <si>
    <t>f.</t>
  </si>
  <si>
    <t>Dobava i ugradnja cjevovoda PE-Xc za podno grijanje. U cijenu je potrebno uračunati spojni i montažni materijal, dimenzija</t>
  </si>
  <si>
    <t>Φ16x2,0</t>
  </si>
  <si>
    <t>Dobava i ugradnja ploča za podno grijanje s čepovima zajedno sa spojnim i montažnim  materijalom.</t>
  </si>
  <si>
    <r>
      <t>m</t>
    </r>
    <r>
      <rPr>
        <vertAlign val="superscript"/>
        <sz val="11"/>
        <color indexed="8"/>
        <rFont val="Calibri"/>
        <family val="2"/>
        <charset val="238"/>
        <scheme val="minor"/>
      </rPr>
      <t>2</t>
    </r>
  </si>
  <si>
    <t>Dobava emulzije za podno grijanje kao dodatka estrihu zbog toplinske dilatacije. Emulzija se dodaje prilikom izgradnje samog estriha. U cijenu nije uračunata izgradnja estriha.</t>
  </si>
  <si>
    <t>pakiranje 10 kg</t>
  </si>
  <si>
    <t>Dobava i ugradnja polazno povratnog razdjelnika  za podno grijanje, komplet sa ventilima na ulazu i izlazu, integriranim regulatorima protoka na polaznim vodovima i termostatskim ventilima na povratnim vodovima, euro spojnicama za spajanje pojedinog kruga na razdjelnik, te sa svim spojnim i montažnim materijalom:</t>
  </si>
  <si>
    <t>5 - kruga</t>
  </si>
  <si>
    <t>8 - kruga</t>
  </si>
  <si>
    <t>9 - kruga</t>
  </si>
  <si>
    <t>11 - kruga</t>
  </si>
  <si>
    <t>12 - kruga</t>
  </si>
  <si>
    <t>Dobava i ugradnja termoelektričnog pogona za otvaranje i zatvaranje ventila na razdjelnicima za sustav podnog grijanja, zajedno sa spojnim i montažnim materijalom.</t>
  </si>
  <si>
    <t>Dobava i ugradnja sobnog regulatora temperature namijenjenog za pojedinačnu regulaciju prostorija grijanih sustavom podnog grijanja, zajedno sa spojnim i montažnim materijalom.</t>
  </si>
  <si>
    <t>Dobava i ugradnja baznog elementa namijenjenog za jednostavno spajanje sobnih regulatora temperature i termoelektričnih pogona, zajedno sa spojnim i montažnim materijalom.</t>
  </si>
  <si>
    <t>Dobava i ugradnja baznog elementa pumpe
namijenjenog za uključivanje pumpi za krugove podnog grijanja, zajedno sa spojnim i montažnim materijalom.</t>
  </si>
  <si>
    <t>Dobava i ugradnja podžbuknog ormarića za smještaj razdjelnika podnog grijanja, zajedno sa spojnim i montažnim materijalom:</t>
  </si>
  <si>
    <t xml:space="preserve">do 5 kruga </t>
  </si>
  <si>
    <t xml:space="preserve">do 8 kruga </t>
  </si>
  <si>
    <t xml:space="preserve">do 9 kruga </t>
  </si>
  <si>
    <t xml:space="preserve">do 11 kruga </t>
  </si>
  <si>
    <t xml:space="preserve">do 12 kruga </t>
  </si>
  <si>
    <t>Uštemavanje zidova  za ugradnju podžbuknog ormarića za razdjelnike, te naknadna sanacija.</t>
  </si>
  <si>
    <t>Izrada ožičenja za regulaciju podnog grijanja. U stavku uključiti sav potreban spojni i montažni materijal, do potpune funkcionalnosti.</t>
  </si>
  <si>
    <t>Ventili za hidrauličko balansiranje izrađen iz  legure otporne na starenje i odcinčavanje. Ventili  sa proporcionalnom karakteristikom prigušenja, mjernim priključcima za instrument za podešavanje protoka. Opremljeni ručnim kolom sa numeričkom digitalnom skalom od 0.0 do 4.0 za predpodešavanje i mogućnosti blokiranja podešenog položaja(, sa priključkom za ispust vode ili signalni vod).Radno područje ventila od -20 do 120/150 °C i tlačni razred PN 25. Stavka obvezno uključuje jednokratno podešavanje protoka pomoću originalnog mjernog instrumenta  i izradu zapisnika o postignutim protocima. Ventili su sa navojnim priključkom.</t>
  </si>
  <si>
    <t>DN15</t>
  </si>
  <si>
    <t>DN20</t>
  </si>
  <si>
    <t xml:space="preserve">Ventili za hidrauličko balansiranje u sustavima grijanja i hlađenja izrađeni iz  lijeva sa proporcionalnom karakteristikom prigušenja. Ventil  s ugrađenim mjernim priključcima za instrument za podešavanje protoka, te ručnim kolom sa numeričkom digitalnom skalom od 0.0 do 8.0 za predpodešavanje ventila i mogućnosti blokiranja podešenog položaja. Mogučnost mjerenja protoka, diferencijalnog tlaka, temperature i raspoloživog radnog tlaka crpke. Radno područje ventila od -20 do 120/150 °C, te razred tlaka PN 16/25. Stavka obvezno uključuje jednokratno podešavanje protoka pomoću originalnog mjernog instrumenta i izradu zapisnika o postignutim protocima. Spoj na ventil putem prirubnica. </t>
  </si>
  <si>
    <t>Protupožarno brtvljenje prodora za prolaz instalacije grijanjaizmeđu granica požarnih sektora, klase otpornosti EI90 ili jednakovrijedno, zajedno sa svim potrebnim materijalom i radom.</t>
  </si>
  <si>
    <t>DN32</t>
  </si>
  <si>
    <t>DN50</t>
  </si>
  <si>
    <t>DN65</t>
  </si>
  <si>
    <t>Balansiranje kompletnog sustava podnog grijanja od strane proizvođača ugrađene opreme, uključujući sva potrebna predpodešenja i puštanje u pogon.</t>
  </si>
  <si>
    <t xml:space="preserve">INSTALACIJA GRIJANJA I HLAĐENJA-
VENTILOKONVEKTORI
</t>
  </si>
  <si>
    <t>Dobava i montaža:</t>
  </si>
  <si>
    <t>Parapetni ventilokonvektor za dvocijevni sustav grijanja i hlađenja, proizvod ima ukrasnu masku s usisom zraka odozdo.  Uređaj je opremljen s trorednim (ili četverorednim) izmjenjivačem, tro-brzinskim ventilatorom,  tavom za skupljanje kondenzata, izmjenjivim filterom, te kompletno ožičen sa svim ostalim potrebnim priključcima.  Uz ventilokonvektor se isporučuju dodatna okapnica za odvod kondenzata i nogice.</t>
  </si>
  <si>
    <t>Tehničke karakteristike:</t>
  </si>
  <si>
    <t xml:space="preserve">Qhl (min-max)= 2,2-3,7 kW za tw = 9/14 °C; tz= 26 °C
Qgr (min-max)= 1,9-3,4 kW za  tw = 40/35 °C; tz= 22 °C
qw (min-max)= 0,10-0,15 l/s pri srednjoj brzini hlađenje
dp (min-max)= 15,0-20,0 kPa pri srednjoj brzini hlađenje
qw (min-max)= 0,10-0,15 l/s pri srednjoj brzini grijanje
dp (min-max)= 10,0-15,0 kPa pri srednjoj brzini grijanje
Vzr (min-max)= 410-770 m3/h
Lp (min-max)= 25-45 dB(A) 
Lw (min-max)= 35-55 dB(A)
Ne (min-max)= 35-80 W / 230 V
</t>
  </si>
  <si>
    <t>U cijenu uključiti sav potreban spojni i montažni materijal.</t>
  </si>
  <si>
    <r>
      <t>Kazetni  ventilokonvektor sa ispuhivanjem zraka na četiri strane predviđen za dvocijevni sustav priključenja i ugradnju u spušteni strop, uključivo izolirana okapnica za sakupljanje kondenzata, crpka kondenzata, odzračnik,</t>
    </r>
    <r>
      <rPr>
        <sz val="11"/>
        <color rgb="FFFF0000"/>
        <rFont val="Calibri"/>
        <family val="2"/>
        <charset val="238"/>
        <scheme val="minor"/>
      </rPr>
      <t xml:space="preserve"> </t>
    </r>
    <r>
      <rPr>
        <sz val="11"/>
        <rFont val="Calibri"/>
        <family val="2"/>
        <charset val="238"/>
        <scheme val="minor"/>
      </rPr>
      <t>ventilatorska sekcija s trobrzinskim elektromotorom, izmjenjivim filterom, kompletnim unutarnjim ožičenjem i elektroupravljačkom kutijom. Uz ventilokonvektor se isporučuje pripadajući usisno istrujni panel.</t>
    </r>
  </si>
  <si>
    <t xml:space="preserve">Qhl (min-max)= 1,7-3,3 kW za tw = 9/14 °C; tz= 26 °C
Qgr (min-max)= 1,4-3,1 kW za  tw = 40/35 °C; tz= 22 °C
qw (min-max)= 0,10-0,15 l/s pri srednjoj brzini hlađenje
dp (min-max)= 5,0-10,0 kPa pri srednjoj brzini hlađenje
qw (min-max)= 0,10-0,15 l/s pri srednjoj brzini grijanje
dp (min-max)= 3,0-4,0 kPa pri srednjoj brzini grijanje
Vzr (min-max)= 310-720 m3/h
Lp (min-max)= 23-45 dB(A) 
Lw (min-max)= 32-55 dB(A)
Ne (min-max)= 25-70 W / 230 V
</t>
  </si>
  <si>
    <t xml:space="preserve">Qhl (min-max)= 2,2-3,7 kW za tw = 9/14 °C; tz= 26 °C
Qgr (min-max)= 1,9-3,6 kW za  tw = 40/35 °C; tz= 22 °C
qw (min-max)= 0,10-0,15 l/s pri minimalnoj brzini hlađenje
dp (min-max)= 6,0-6,5 kPa pri minimalnoj brzini hlađenje
qw (min-max)= 0,10-0,15 l/s pri minimalnoj brzini grijanje
dp (min-max)= 4,0-4,5 kPa pri minimalnoj brzini grijanje
Vzr (min-max)= 420-900 m3/h
Lp (min-max)= 30-50 dB(A)
Lw (min-max)= 40-60 dB(A)
Ne (min-max)= 30-90 W / 230 V
</t>
  </si>
  <si>
    <r>
      <t>Kazetni ventilokonvektor sa ispuhivanjem zraka na jednoj strani predviđen za dvocijevni sustav priključenja i ugradnju u spušteni strop, uključivo izolirana okapnica i pumpica za kondenzat, odzračnik,</t>
    </r>
    <r>
      <rPr>
        <sz val="11"/>
        <color rgb="FFFF0000"/>
        <rFont val="Calibri"/>
        <family val="2"/>
        <charset val="238"/>
        <scheme val="minor"/>
      </rPr>
      <t xml:space="preserve"> </t>
    </r>
    <r>
      <rPr>
        <sz val="11"/>
        <rFont val="Calibri"/>
        <family val="2"/>
        <charset val="238"/>
        <scheme val="minor"/>
      </rPr>
      <t xml:space="preserve">ventilatorska sekcija s trobrzinskim elektromotorom, izmjenjivim filterom, kompletnim unutarnjim ožičenjem i elektroupravljačkom kutijom.  Priključak odvoda kondenzata je na visini 100 mm iznad usisne rešetke i dna spuštenog stropa. Uređaj je opremljen s kružnim istrujnim difuzorima pomoću kojih korisnik može po želji usmjeriti ispuh zraka. </t>
    </r>
  </si>
  <si>
    <t xml:space="preserve">Qhl (min-max)= 1,0-1,8 kW za tw = 9/14 °C; tz= 26 °C
Qgr (min-max)= 0,9-1,7 kW za  tw = 40/35 °C; tz= 22 °C
qw (min-max)= 0,05-0,10 l/s pri srednjoj brzini hlađenje
dp (min-max)= 3,0-3,5 kPa pri srednjoj brzini hlađenje
qw (min-max)= 0,05-0,10 l/s pri srednjoj brzini grijanje
dp (min-max)= 1,5-2,0 kPa pri srednjoj brzini grijanje
Vzr (min-max)= 200-380 m3/h
Lp (min-max)= 23-40 dB(A) 
Lw (min-max)= 30-50 dB(A)
Ne (min-max)= 23-45 W / 230 V
</t>
  </si>
  <si>
    <t xml:space="preserve">Qhl (min-max)= 1,9-3,1 kW za tw = 9/14 °C; tz= 26 °C
Qgr (min-max)= 1,6-2,7 kW za  tw = 40/35 °C; tz= 22 °C
qw (min-max)= 0,10-0,15 l/s pri srednjoj brzini hlađenje
dp (min-max)=  5,0-10,0 kPa pri srednjoj brzini hlađenje
qw (min-max)= 0,10-0,15 l/s pri srednjoj brzini grijanje
dp (min-max)= 5,0-7,0 kPa pri srednjoj brzini grijanje
Vzr (min-max)= 360-620 m3/h
Lp (min-max)= 30-50 dB 
Lw (min-max)= 40-55 dB
Ne (min-max)= 30-75 W / 230 V
</t>
  </si>
  <si>
    <t>Upravljačka programabilna jedinica za ventilokonvektore s digitalnom komunikacijom, LCD zaslonom s mogućnošću upravljanja do 10 jedinica u master/slave konfiguraciji, s ugrađenim temperaturnim osjetnikom za upravljanje radom grijanja i hlađenja terminalnih jedinica i regulaciju na strani vode. Sklop osigurava: regulaciju sobne temperature preko ON/OFF ventila, ručno i automatsko biranja brzine vrtnje ventilatora (3 brzine), ručno prebacivanje moda ljeto/zima, mogućnost postavljanja tjednog programa, režimi rada: isključeno ili stanje pripravnosti, ručni i automatski način rada.</t>
  </si>
  <si>
    <t>Ožičenje za napajanje i komunikaciju: 3 x 0,75 mm2</t>
  </si>
  <si>
    <t>Relejna kutija za spajanje na ventilokonvektor i povezivanje s prostornim elektroničkim regulacijskim sklopom kao i međusobno povezivanje jedinica u master/slave konfiguraciji. Kontrolira brzinu vrtnje ventilatora i upravlja pogonom ventila jedinice. Mogućnost rada s termostatom za kontrolu usisa zraka, režima ljeto/zima te uključivanja i isključivanja  ventilatora u ovisnosti o temperaturi izmjenjivača.</t>
  </si>
  <si>
    <t xml:space="preserve">Puštanje u pogon ventilokonvektora i regulacije od strane ovlaštenog servisera, uz davanje potrebne atestne i garancijske dokumentacije te uputa za upotrebu, sve na hrvatskom jeziku. </t>
  </si>
  <si>
    <t xml:space="preserve">Dobava i ugradnja zapornog ventila za ugradnju prije spoja ventilokonvektora i rekuperatora  na cijevnu mrežu, zajedno sa potrebnim spojnim i montažnim materijalom </t>
  </si>
  <si>
    <t xml:space="preserve">Dobava i ugradnja fleksibilne  cijevi L=0,35 m za spoj ventilokonvektora/rekuperatora  na cjevnu mrežu, zajedno sa potrebnim spojnim i montažnim materijalom </t>
  </si>
  <si>
    <t xml:space="preserve">Dobava i ugradnja : </t>
  </si>
  <si>
    <t>Prolazni regulacijski ventil neovisan o promjeni diferencijalnog tlaka za sustave grijanja i hlađenja. Ventil s funkcijama regulaciju protoka, diferencijalnog tlaka i temperature te mogućnošću zatvaranja, mjerenja protoka, mjerenja raspoloživog diferencijalnog  tlaka crpke .</t>
  </si>
  <si>
    <t xml:space="preserve">Kučište ventila izrađeno od  legure otporne na koroziju, vreteno od nehrđajučeg čelika brtvljeno . Jednostavno podešavanje i pristup ventilu s strane pogona. Mogučnost ugradnje u svim položajima pomoću navojnog spoja s vanjskim navojem. Ventil je predviđen za  regulaciju  s pogonima s navojnim priključkom M 30x1,5 . </t>
  </si>
  <si>
    <t>DN 10 (21,5 - 120 l/h)</t>
  </si>
  <si>
    <t>DN 15LF (44 - 245 l/h)</t>
  </si>
  <si>
    <t>DN 15 (88 - 470 l/h)</t>
  </si>
  <si>
    <t>DN 20 (210 - 1150 l/h)</t>
  </si>
  <si>
    <t>DN 25 (370 - 2150 l/h)</t>
  </si>
  <si>
    <t>Dobava i ugradnja automatskih ozračnih lončića sa zapornim venitlom za ugradnju na instalaciju grijanja, zajedno sa potrebnim spojnim i montažnim materijalom.</t>
  </si>
  <si>
    <t xml:space="preserve">Čelične bešavne cijevi za grijanje i hlađenje  u kompletu s cijevnim lukovima i ostalim fazonskim komadima, fitinzima, T-komadima i redukcijama, 
</t>
  </si>
  <si>
    <t>Č.DN 15</t>
  </si>
  <si>
    <t>g.</t>
  </si>
  <si>
    <t>h.</t>
  </si>
  <si>
    <t>Dobava i ugradnja revizijskih vratašća dimenzija 40x40 cm radi  servisiranja i  balansiranja ABQM ventila kod ventilokonvektora .</t>
  </si>
  <si>
    <t>DN80</t>
  </si>
  <si>
    <t>Balansiranje, podeševanje i puštanje u pogon sustava grijanja i hlađenja od strane ovlašetnog proizvođača opreme.</t>
  </si>
  <si>
    <t>Punjenje sustava vodom, odzračivanje, hladna tlačna proba vodom tlaka 4 bara mjereno na najnižem mjestu instalacije,  popravak eventualno propusnih mjesta, te izradu izvješća o izvršenoj tlačnoj probi</t>
  </si>
  <si>
    <t>jed.
mjere</t>
  </si>
  <si>
    <t>kol.</t>
  </si>
  <si>
    <t xml:space="preserve">jedinična cijena
</t>
  </si>
  <si>
    <t xml:space="preserve">cijena stavke
</t>
  </si>
  <si>
    <t>INSTALACIJA GRIJANJA I  HLAĐENJA KUHINJA</t>
  </si>
  <si>
    <t xml:space="preserve">Inverterski split sustav  s funkcijama grijanja, odvlaživanja i optočnog ventiliranja. Uređaj se sastoji od vanjske inverterske kompresorsko kondenzatorske i unutarnje zidne jedinice. Unutarnja jedinica za ugradnju visoko na zid opremljena je ventilatorom, izmjenjivačem topline za direktnu ekspanziju,  elektronikom, filterom, ionizatorom zraka i svim drugim elementima potrebnim za zaštitu, kontrolu i regulaciju uređaja i temperature. </t>
  </si>
  <si>
    <t>Qh (min-max)= 4,0-7,0 kW</t>
  </si>
  <si>
    <t>Nel (min-max)= 1,0-1,5 kW</t>
  </si>
  <si>
    <t>SEER (min-max)= 5,5-6,5</t>
  </si>
  <si>
    <t>Energetska klasa = A++</t>
  </si>
  <si>
    <t>tok  = 35°C</t>
  </si>
  <si>
    <t>tp   = 27°C ST, 19°C VT</t>
  </si>
  <si>
    <t>Qg (min-max)= 5,0-5,5 kW</t>
  </si>
  <si>
    <t>Nel  (min-max)= 1,0-1,5 kW</t>
  </si>
  <si>
    <t>SCOP (min-max)= 3,0-5,0</t>
  </si>
  <si>
    <t>Energetska klasa = A+</t>
  </si>
  <si>
    <t>tok  = 7°C ST, 6°C VT</t>
  </si>
  <si>
    <t>tp   = 20°C ST</t>
  </si>
  <si>
    <t>Unutarnja jedinica</t>
  </si>
  <si>
    <t>Protok zraka V' (min-max) = 700-1000 m3/h</t>
  </si>
  <si>
    <t>Odvlaživanje (min-max)= 1,5-2,0 lit/h</t>
  </si>
  <si>
    <t>Razina zvučnog tlaka (min-max)= 25-45 dB(A)</t>
  </si>
  <si>
    <t>Vanjska jedinica</t>
  </si>
  <si>
    <t>Napajanje  = 230/1/50 hZ</t>
  </si>
  <si>
    <t>Zvučni tlak (min-max)= 50-55 dB(A)</t>
  </si>
  <si>
    <t>Dozvoljena duljina cijevi = 25 m</t>
  </si>
  <si>
    <t>Priključci freonskih cijevi = 6,35/12,7 mm</t>
  </si>
  <si>
    <t>Radna tvar R-32 ili jednakovrijedno</t>
  </si>
  <si>
    <t>Radno područje u hlađenju: od -10 do 43°C</t>
  </si>
  <si>
    <t>Radno područje u grijanju: od -15 do 24°C</t>
  </si>
  <si>
    <t>U cijenu uključiti sav potrebnan spojni i montažni materijal do potpune funkcionalnosti.</t>
  </si>
  <si>
    <t>Dobava i ugradnja nosača za vanjsku klima jedinicu koja će se ugraditi na krov zgrade zajedno sa spojnim i montažnim materijalom.</t>
  </si>
  <si>
    <t>Dobava i ugradnja predizoliranih bakrenih cijevi za spoj vanjskih i unutarnjih jedinica, zajedno sa spojnim i montažnim materijalom, dimenzija:</t>
  </si>
  <si>
    <t>∅ 6,4</t>
  </si>
  <si>
    <t>∅ 12,7</t>
  </si>
  <si>
    <r>
      <t>Dobava i ugradnja elektro kabela 7x1,50 mm</t>
    </r>
    <r>
      <rPr>
        <vertAlign val="superscript"/>
        <sz val="11"/>
        <color theme="1"/>
        <rFont val="Calibri"/>
        <family val="2"/>
        <charset val="238"/>
        <scheme val="minor"/>
      </rPr>
      <t>2</t>
    </r>
    <r>
      <rPr>
        <sz val="10"/>
        <rFont val="Arial"/>
        <family val="2"/>
        <charset val="238"/>
      </rPr>
      <t xml:space="preserve"> za spoj vanjske i unutarnje jedinice klima uređaja. U cijenu je potrebno uključiti i zaštitne savitljive cijevi  te ostali spojni, montažni i ovjesni materijal.</t>
    </r>
  </si>
  <si>
    <t>Vakumiranje cjevovoda, ispitivanje instalacije te eventualno nadopunjavanje sustava plinom, spajanje na elektro instalaciju, puštanje u pogon sustava od strane ovlaštenog servisa uz davanje potrebne atestne i garancijske dokumentacije te uputa za upotrebu, sve na hrvatskom jeziku.</t>
  </si>
  <si>
    <t>Dobava i ugradnja plina za nadopunjavanje sustava hlađenja.</t>
  </si>
  <si>
    <t>CIJELOGODIŠNJE HLAĐENJE SERVER SOBE</t>
  </si>
  <si>
    <t>Qh (min-max)= 2,0-3,0 kW</t>
  </si>
  <si>
    <t>Nel  = 0,8 (0,3-1,2) kW</t>
  </si>
  <si>
    <t>SEER (min-max)= 6,0-7,0</t>
  </si>
  <si>
    <t>Qg (min-max)= 2,5-3,0 kW</t>
  </si>
  <si>
    <t>Nel (min-max)= 0,5-1,0 kW</t>
  </si>
  <si>
    <t>SCOP (min-max)= 4,0-4,5</t>
  </si>
  <si>
    <t>Protok zraka V' (min-max)= 400-600 m3/h</t>
  </si>
  <si>
    <t>Odvlaživanje (min-max)= 1,0-1,5 lit/h</t>
  </si>
  <si>
    <t>Razina zvučnog tlaka (min-max)= 20-40 dB(A)</t>
  </si>
  <si>
    <t>Zvučni tlak (min-max)= 45-50 dB(A)</t>
  </si>
  <si>
    <t>Dozvoljena duljina cijevi = 20 m</t>
  </si>
  <si>
    <t>Priključci freonskih cijevi = 6,35/9,52 mm</t>
  </si>
  <si>
    <t>∅ 9,52</t>
  </si>
  <si>
    <t xml:space="preserve">VENTILACIJA KUHINJE </t>
  </si>
  <si>
    <t xml:space="preserve">Dobava i montaža:
</t>
  </si>
  <si>
    <t>Samostalni ventilacijski uređaj za dobavu 100% svježeg vanjskog zraka u kompaktnoj izvedbi. Uređaj je namijenjen za vanjsku ili unutarnju ugradnju i ima funkcije filtracije, rekuperacije, grijanja, hlađenja, odvlaživanja, sušenja zraka.
Uređaj radi s konstantnom temperaturom ubacivanja i kontrolom sadržaja vlage u zraku tijekom ljetnih mjeseci što temeljnom sustavu hlađenja omogućuje rad u  senzibilnom području i znatnu uštede energije, povećanje udobnosti i održavanje zadanih mikroklimatskih uvjeta u prostoru.</t>
  </si>
  <si>
    <t xml:space="preserve">Uređaj ima potpuno odvojene struje zraka kako bi se izbjeglo miješanje i kontaminacija s otpadnim zrakom koji može  sadržavati neželjene plinove, viruse, mirise i bakterije.
Uređaj je opremljen filterima zraka F7/G4 ili jednakovrijedno, tlačnim i odsisnim frekventnim ventilatorima s EC motorima, glikolnim </t>
  </si>
  <si>
    <t>rekuperatorom, integriranom dizalicom topline s inverterskim kompresorima, isparivačem, dogrijačem, kondenzatorom, četveroputnim ventilom, diferencijalnim presostatima zaprljanosti filtera, automatikom i drugim sigurnosnim i regulacijskim elementima, elemenata automatske regulacije  i elektro upravljačkog ormara i svim ostalim potrebnim priborom, priključcima i dijelovima za rad do potpune pogonske gotovosti.</t>
  </si>
  <si>
    <t>V' (min-max)= 1600 / 3500 m³/h 
Δpext tlak (min-max)= 430-460 Pa / max 600 Pa
Δpext odsis (min-max)= 430-460 Pa / max 600 Pa
Hlađenje
tok =35/24°C db/wb
tp = 26/18°C db/wb
Qh uk (min-max)= 19,0-19,5 kW
Qh osj (min-max)= 11,5-12,0 kW
ti = 17,0°C
Q dogrijača (min-max)= 2,0-2,5 kW
ti = 20°C
EER (min-max)= 2,5-3,5
Grijanje
tp = 20/12°C db/wb
tok = -15,6/-16,0°C db/wb
Qg (min-max)= 27,5-28,5 kW
ti = 22,0°C
COP (min-max)= 3,5-4,0</t>
  </si>
  <si>
    <t xml:space="preserve">Rashladni krug
Radna tvar = R 410A ili jednakovrijedno
Br. kompresora = 1
Stupnjevi regulacije  = 20-100% inverter
Električni podaci
Napajanje  = 400/3/50 Hz
Nel (min-max)= 8,0-8,5 kW - pri radnim uvjetima hlađenja
Nel (min-max)= 8,5-9,0 kW - pri radnim uvjetima grijanja
Maksimalna struja (min-max)= 25,0-30,0 A
Ostali podaci
Zvučni tlak (min-max)= 60-65 dB(A) @ 1 m
</t>
  </si>
  <si>
    <t>U cijenu uključiti sav spojni i montažni materijal.</t>
  </si>
  <si>
    <t>Visoko učinkovita specijalna kuhinjska ventilacijska napa izrađena od nehrđajućeg čelika za izvlačenje odvodnog zraka i dobavu svježeg zraka sa visoko učinkovitim lamelarnim separatorima aerosola masnoće, integriranom LED rasvjetom u konstrukciji nape, integriranim sustavom UV filtracije</t>
  </si>
  <si>
    <t xml:space="preserve">Dimenzije nape:
Dužina: 3650 mm
Širina: 1200 mm
Visina: 435 mm
Dozvoljeno je odstupanje tehničkim karakteritika proizvod  od projektnih parametara ±5%
</t>
  </si>
  <si>
    <t xml:space="preserve">Priključak odvodnog zraka
Količina minimalno: 2 komada
Protok odvodnog zraka (min-max)= 2000-2100 m3/h
Ukupan pad tlaka odvodnog zraka (min-max)= 60-63 Pa
</t>
  </si>
  <si>
    <t xml:space="preserve">Priključak dovodnog zraka:
Dimenzija: 250 x 250 mm
Količina: 2 komada
Protok dovodnog zraka (min-max)= 1800-1900m3/h
Ukupan pad tlaka dovodnog zraka (min-max)= 40-50 Pa
</t>
  </si>
  <si>
    <t xml:space="preserve">Lamelarni filteri masnoće perivi u perilici posuđa sa učinkovitosti odvajanja čestica aerosola masnoće do 85% za veličine čestica do 5 mikrona pri nominalnom protoku zraka kroz filter.
Vrsta: Lamelarni filter za masnoću 400x400
Količina: 4 komada
</t>
  </si>
  <si>
    <t xml:space="preserve">Tlačne rešetke za dobavu svježeg zraka:
Količina: 8 komada
</t>
  </si>
  <si>
    <t xml:space="preserve">Integrirana LED rasvjeta, za osvjetljenje aktivnog prostora ispod nape, intenzitet osvjetljenja min. 500 lux (800 lux iz iskustva), neutralno bijela 4500K
Količina: 2 komada
</t>
  </si>
  <si>
    <t>Pozicija: UV filtracija - Odsisna napa</t>
  </si>
  <si>
    <t xml:space="preserve">UV sustav filtracije odsisnog zraka iz kuhinje. 
Pozicija ugradnje: Odsisna napa - termički blok
UV sustav sastoji se od nadzorne elektronike, VUV lampi, opružnih klema za prihvat lampi, diferencijalnog senzora protoka zraka te sigurnosnih magnetnih prekidača.
VUV lampe ugrađene izravno u odsisne elemente kuhinjske nape.
Upravljački ormar
Dimenzije: 400x600x150 mm
Količina: 1 komad
VUV lampe:
Količina: 2 komada
</t>
  </si>
  <si>
    <t>Dobava i montaža fleksibilnog ventilacijskog spoja za spoj klima komora  i kvadratnih ventilacijskih kanala, zajedno s materijalom za ugradnju i pričvršćenje.</t>
  </si>
  <si>
    <t>560x540 mm</t>
  </si>
  <si>
    <t>490x625 mm</t>
  </si>
  <si>
    <t>Elementi automatske regulacije sustava venitlacije kuhinje u polju (NAPOMENA: nije obuhvaćena elektroinstalacija za napojni kabel elektroormara niti za žičani daljinski upravljač, nisu uključeni strojarski radovi povezivanja opreme u polju, ugradnja ventila i sl., kablovi za senzore trebaju biti oklopljeni radi eliminacije mogućih smetnji):</t>
  </si>
  <si>
    <t>predprogramirani regulator sa ekranom, 28 ulaza/izlaza, 1 RS485, 1 TCP/IP, web server-kom 1</t>
  </si>
  <si>
    <t>Ekspanzija, 4 AI, 4 DI, 3 AO, 4 DO, RS485, Ethernet-kom 1</t>
  </si>
  <si>
    <t>Upravljački panel (ekran/tipke)-kom 1</t>
  </si>
  <si>
    <t>Kabel 10 m za upravljački panel / touch 7"-kom 1</t>
  </si>
  <si>
    <t>Kanalni osjetnik PT1000, -30...70°C sa kućištem IP65-kom 1</t>
  </si>
  <si>
    <t>Kanalni osjetnik PT1000, -30...70°C, kabel 1,5 m-kom 1</t>
  </si>
  <si>
    <t>Sobni osjetnik PT1000, 0...50°C-kom 1</t>
  </si>
  <si>
    <t>Diferencijalni presostat zraka, 20-300 Pa sa kosim nastavcima 5 kom, 2 m cijev-kom 4</t>
  </si>
  <si>
    <t>Krilna sklopka za zrak, radna temperatura -40...+80°C, u kanalu -10...+85°C: kom 4</t>
  </si>
  <si>
    <t>U cijenu uključiti sav potreban spojni i montažni materijal do potpune funkcionalnosti.</t>
  </si>
  <si>
    <t>Elektroormar za ugradnju na zid, uključivo DDC, napajanje i zaštita ventilatora</t>
  </si>
  <si>
    <t>Upravljački ormarić za ugradnju u prostor kuhinje (0-1-2), status krilna sklopka,  status/kvar ventilacija.</t>
  </si>
  <si>
    <t>Ugradnja i elektro povezivanje opreme u polju (senzori, presostati, pogoni žaluzija, na unaprijed položenu elektroinstalaciju-bez elektroinstalacije, bez napajanja).</t>
  </si>
  <si>
    <t>Specijslistički radovi programiranja automatike kuhinjskih napa, klima komore , puštanje u pogon, obuka korisnika.</t>
  </si>
  <si>
    <t>Puštanje u pogon klima komore, pripadajućeg upravljača i ostale opreme od strane ovlaštenog servisera, uz davanje potrebne atestne i garancijske dokumentacije te uputa za upotrebu, sve na hrvatskom jeziku.</t>
  </si>
  <si>
    <t>Dobava i montaža zračnih spiro kanala izrađenih iz pocinčanog čeličnog lima, izrada fazonskih i  prelaznih komada, te sav potreban brtveni, spojni i montažni materijal.</t>
  </si>
  <si>
    <t>φ 100</t>
  </si>
  <si>
    <t>φ 150</t>
  </si>
  <si>
    <t xml:space="preserve">Izrada, dobava i ugradnja kanala za zrak, pravokutnog presjeka, izrađenih iz pocinčanog lima sa svim spojnim, brtvenim i ovjesnim materijalom. Izražena težina odgovara težini razvijenog plašta kanalskog razvoda. U jediničnu cijenu potrebno je uračunati i izolaciju debljine 13 mm, dodatak na spojeve, usmjerne limove,  prirubnice, odrez, ovjesni, spojni i brtveni materijal. </t>
  </si>
  <si>
    <t>Dobava i montaža izolacije 19-25 mm za izolaciju kanala, zajedno sa svom opremom potrebnom za montažu izolacije na kanal. Obračun po površini kanala.</t>
  </si>
  <si>
    <t>Dobava i montaža dodatne izolacije iz mineralne vune 50 mm u Al plaštu ventilacijskih kanala koji se vode po vanjskom prostoru, zajedno sa svom opremom potrebnom za montažu izolacije na kanal. Obračun po površini kanala.</t>
  </si>
  <si>
    <t>Izrada i montaža ovjesa i nosača kanala cjevovoda te ventilatora, izrađenih od profilnog čelika, uključivo vijčani materijal, materijal za varenje, te antikorozivnu zaštitu.</t>
  </si>
  <si>
    <t>Revizijskog otvora na kanalima za potrebe čišćenja kanala.
Točnu dimenziju otvora i poziciju prodora odrediti na licu mjesta.</t>
  </si>
  <si>
    <t>Probni pogon, balansiranje i podešavanje ugrađene opreme prema zahtjevima projekta, te izrada elaborata o izvršenim mjerenjima i postignutim rezultatima u odnosu na projektirane veličine.</t>
  </si>
  <si>
    <t>Dobava i montaža ručne regulacijske zaklopke, s regulacijskim pločicama za regulaciju protoka zraka te u kompletu s ključem za podešavanje i obujmicama s gumenim brtvenim prstenom. Namjenjen za horizontalnu ili vertikalnu ugradnju u cilindrične kanale. Zajedno sa svim potrebnim spojnim i montažni materijalom.</t>
  </si>
  <si>
    <t>Dobava i montaža ventilacijske rešetke za usis zraka za ugradnju na okrugli kanal, zajedno s leptirastom zaklopkom okvirom, protuovirom i materijalom za ugradnju i pričvršćenje.</t>
  </si>
  <si>
    <t>75x225 mm</t>
  </si>
  <si>
    <t>Provjera izvršenog balansiranja sistema s finim podešavanjem količina prema projektu i funkcionalno ispitivanje zadimljavanjem, 
snimanjem učinkovitosti sustava od strane ovlaštene organizacije za tu vrstu posla s izdavanjem pismenog izvješća o nalazu.</t>
  </si>
  <si>
    <t>INSTALACIJA VENTILACIJE (REKUPERACIJA )</t>
  </si>
  <si>
    <t xml:space="preserve">Dobava ventilacijske jedinice za unutarnju podstropnu ugradnju, opremljena je EC ventilatorima, 100% bypass, filtracija G4  ili jednakovrijedno na tlaku i odsisu, plastični protusmjerni izmjenjivač, integrirani vodeni grijač/hladnjak, vanjski električni predgrijač, isključna zaklopka sa povratnom oprugom na strani usisa sviježeg zraka.
Isporučuje se sa  kontrolnim sustavom sa integriranom zaštitom od smrzavanja i zidnim upravljačem.
</t>
  </si>
  <si>
    <t xml:space="preserve">Osobine kućišta prema:
- mehanička čvrstoća: D1
- propuštanje kućišta: L2
- toplinska izolacija: T2
- klasa toplinskih mostova: TB1
ili jednakovrijedno 
</t>
  </si>
  <si>
    <t xml:space="preserve">Dimenzije kućišta uređaja (bez dodataka):
Dužina: 	1800 mm
Visina: 	384 mm
Dubina: 	970 mm
Dozvoljeno je odstupanje tehničkim karakteritika proizvod  od projektnih parametara ±5%
</t>
  </si>
  <si>
    <t>Zvučna snaga kućišta
 (LwA)(min-max):	47,0-49 dB (A)</t>
  </si>
  <si>
    <t xml:space="preserve">Povrat topline:
Rad zimi:
-ulaz (ODA):	-16 °C / 95 % r.H.
- izlaz (SUP):	16 °C / 8 % r.H.
- ulaz (ETA):	20 °C / 40 % r.H.
-izlaz (EHA):	-4 °C / 100 % r.H.
Rekuperacija:	89,0 % / 6,7 kW
Rad ljeti:
-ulaz (ODA):	31 °C / 50 % r.H.
-izlaz (SUP):	27 °C / 63 % r.H.
-ulaz (ETA):	26 °C / 50 % r.H.
-izlaz (EHA):	30 °C / 39 % r.H.
Rekuperacija:	79,0 % / 0,8 kW
Dozvoljeno je odstupanje tehničkim karakteritika proizvod  od projektnih parametara ±5%
</t>
  </si>
  <si>
    <t xml:space="preserve">Vanjski električni predgrijač:
Maksimalna snaga:	2,0 kW
Potrebna snaga:	1,5 kW
Napajanje:	230 V
Nazivna struja:	9,0 A
Ulazni spojni komad:	Ø 250 mm
Izlazni spojni komad:	Ø 250 mm
Temperatura prije grijača:	-16 °C
Temperatura nakon grijača:	-9 °C
Pad tlaka(min-max):	3-5 Pa
</t>
  </si>
  <si>
    <t>Integrirani vodeni grijač/hladnjak: 
Broj redova:	3
Volumen(min-max) :	1,0-2,0 l
Miješajuća jedinica
Ventil: četveroputni ventil 
Pumpa:
Miješajuća jedinica se ugrađuje na licu mjesta.</t>
  </si>
  <si>
    <t xml:space="preserve">Režim hlađenja:
Medij:	voda
Ulazni protok:	9 °C
Povratni protok:	14 °C
Snaga u radnoj točki:	2,9 kW
Maksimalna snaga:	3,8 kW
Pad tlaka (min-max):6,0-8,0 kPa
Protok medija u primarnom krugu:	500 l/h
Podaci o zraku:
Temperatura prije hladnjaka:	27 °C
Temperatura nakon hladnjaka:	18 °C
Temperatura dovodnog zraka:	19 °C
Pad tlaka(min-max):42-45 Pa
</t>
  </si>
  <si>
    <t xml:space="preserve">Režim grijanja:
Medij:	voda
Ulazni protok:	40 °C
Povratni protok:	35 °C
Snaga u radnoj točki:	1,1 kW
Maksimalna snaga:	2,8 kW
Pad tlaka(min-max):	2,0-3,0 kPa
Protok medija u primarnom krugu
(min-max):190-200 l/h
Podaci o zraku:
Temperatura prije grijača:	16 °C
Temperatura nakon grijača:	22 °C
Temperatura dovodnog zraka:	22 °C
Pad tlaka(min-max):42-45 Pa
</t>
  </si>
  <si>
    <t xml:space="preserve">
Ventilator tlak/odsis(min-max): (600-750 m3/h - 100-150 Pa)
 EC-ventilator s kontinuiranom regulacijom,  lopatice savinute prema nazad.
- Napon:	230 V/ 50 Hz
- Klasa zaštite:	IP 54 ili jednakovrijedno
Nazivne vrijednosti:
- Potrošnja električne energije:2,5 A
- Potrošnja energije(min-max):	385-500 W
</t>
  </si>
  <si>
    <t xml:space="preserve">Regulacija: Digitalna regulacija aMotion
Glavni regulacijski modul 
Za upravljanje i nadzor ventilacijskog uređaja preko LAN-a/Interneta.
Kao standardna oprema dolazi 
-sučelje za komunikaciju. 
Upravljačka jedinica:
 upravljač jednostavan za korištenje za prikaz funkcija uređaja i integriranim osjetnikom sobne temperature. 
</t>
  </si>
  <si>
    <t xml:space="preserve">Unutarnji osjetnici:
Osjetnik temperature vanjskog zraka: ANS T1
Osjetnik temperature dovodnog zraka: ANS TM1
Osjetnik temperature odvodnog zraka: ANS T2
Osjetnik temperature ispušnog zraka: ANS TM2
Kapilarni termostat vodenog grijača/hladnjaka: 016-H6927-107 - 3m
Osjetnik tlaka dovodnog filtra: 0 - 500 Pa (on / off)
Osjetnik tlaka odvodnog filtra: 0 - 500 Pa (on / off)
Pokretači:
Zaklopka dovodnog zraka: LF24,24V, Otvori - zatvori,sa povratnom oprugom
Zaklopka bypass: CM24,24V, Otvori - zatvori, 3-točke
Miješalica vodenog grijača/hladnjaka : LM24A-SR,24V, stalno (0-10V)
ili jednakovrijedno
</t>
  </si>
  <si>
    <t xml:space="preserve">Dobava ventilacijske jedinice za unutarnju podstropnu ugradnju, opremljena je EC ventilatorima, 100% bypass, filtracija G4 ili jednakovrijedno na tlaku i odsisu, plastični protusmjerni izmjenjivač, integrirani vodeni grijač/hladnjak, vanjski električni predgrijač, isključna zaklopka sa povratnom oprugom na strani usisa sviježeg zraka.
Isporučuje se sa  kontrolnim sustavom sa integriranom zaštitom od smrzavanja i zidnim upravljačem.
</t>
  </si>
  <si>
    <t xml:space="preserve">Osobine kućišta:
- mehanička čvrstoća: D1
- propuštanje kućišta: L2
- toplinska izolacija: T2
- klasa toplinskih mostova: TB1
ili jednakovrijedno
</t>
  </si>
  <si>
    <t xml:space="preserve">Dimenzije kućišta uređaja (bez dodataka):
Dužina: 	2300 mm
Visina: 	455 mm
Dubina: 	1600 mm
Dozvoljeno je odstupanje tehničkim karakteritika proizvod  od projektnih parametara ±5%
</t>
  </si>
  <si>
    <t>Zvučna snaga kućišta (LwA)
(min-max):61,0-62,0 dB (A)</t>
  </si>
  <si>
    <t>Povrat topline:
Odgovara klasi H1 ili jednakovrijedno
Rad zimi:
-ulaz (ODA):	-16 °C / 95 % r.H.
- izlaz (SUP):	18 °C / 7 % r.H.
- ulaz (ETA):	20 °C / 40 % r.H.
-izlaz (EHA):	-5 °C / 100 % r.H.
Rekuperacija:	94,0 % / 14,8 kW
Rad ljeti:
-ulaz (ODA):	31 °C / 50 % r.H.
-izlaz (SUP):	27 °C / 64 % r.H.
-ulaz (ETA):	26 °C / 50 % r.H.
-izlaz (EHA):	30 °C / 39 % r.H.
Rekuperacija:	84,0 % / 1,8 kW
Dozvoljeno je odstupanje tehničkim karakteritika proizvod  od projektnih parametara ±5%</t>
  </si>
  <si>
    <t xml:space="preserve">Vanjski električni predgrijač:
Vrsta:	EPO-V 315/6,0
Maksimalna snaga:	6,0 kW
Potrebna snaga:	3,8 kW
Napajanje:	400 V
Nazivna struja(min-max):8,0-10,0 A
Ulazni spojni komad:	Ø 315 mm
Izlazni spojni komad:	Ø 315 mm
Temperatura prije grijača:	-16 °C
Temperatura nakon grijača:	-7 °C
Pad tlaka(min-max):6-7 Pa
</t>
  </si>
  <si>
    <t>Integrirani vodeni grijač/hladnjak: 
Broj redova:	3
Miješajuća jedinica: 
Ventil: četveroputni ventil 
Pumpa</t>
  </si>
  <si>
    <t xml:space="preserve">Režim hlađenja:
Medij:	voda
Ulazni protok:	9 °C
Povratni protok:	14 °C
Snaga u radnoj točki:	6,7 kW
Maksimalna snaga:	7,4 kW
Pad tlaka(min-max):19,0-20 kPa
Protok medija u primarnom krugu:1150 l/h
Podaci o zraku:
Temperatura prije hladnjaka:	27 °C
Temperatura nakon hladnjaka:	17 °C
Temperatura dovodnog zraka:	18 °C
Pad tlaka(min-max):46-48 Pa
</t>
  </si>
  <si>
    <t xml:space="preserve">Režim grijanja:
Medij:	voda
Ulazni protok:	40 °C
Povratni protok:	35 °C
Snaga u radnoj točki:	1,4 kW
Maksimalna snaga:	4,4 kW
Pad tlaka(min-max):2,0-3,0 kPa
Podaci o zraku:
Temperatura prije grijača:	18 °C
Temperatura nakon grijača:	21 °C
Temperatura dovodnog zraka:	22 °C
Pad tlaka(min-max):46-48 Pa
</t>
  </si>
  <si>
    <t xml:space="preserve">
Ventilator tlak/odsis(min-max): (1250-1350 m3/h - 200-230 Pa)
 EC-ventilator s kontinuiranom regulacijom,  lopatice savinute prema nazad.
- Napon:	230 V/ 50 Hz
- Klasa zaštite:	IP 54 ili jednakovrijedno
Nazivne vrijednosti:
- Potrošnja električne energije(min-max):	3,0-4,0 A
- Potrošnja energije(min-max):	780-1000 W
</t>
  </si>
  <si>
    <t xml:space="preserve">Regulacija: Digitalna regulacija 
Glavni regulacijski modul 
Za upravljanje i nadzor ventilacijskog uređaja preko LAN-a/Interneta.
Kao standardna oprema dolazi -sučelje za komunikaciju. 
Upravljačka jedinica:
upravljač jednostavan za korištenje za prikaz funkcija uređaja i integriranim osjetnikom sobne temperature. 
</t>
  </si>
  <si>
    <t xml:space="preserve">Unutarnji osjetnici:
Osjetnik temperature vanjskog zraka: ANS T1
Osjetnik temperature dovodnog zraka: ANS TM1
Osjetnik temperature odvodnog zraka: ANS T2
Osjetnik temperature ispušnog zraka: ANS TM2
Kapilarni termostat vodenog grijača/hladnjaka: 016-H6927-107 - 3m
Osjetnik tlaka dovodnog filtra: 0 - 500 Pa (on / off)
Osjetnik tlaka odvodnog filtra: 0 - 500 Pa (on / off)
Pokretači:
Zaklopka dovodnog zraka: LF24,24V, Otvori - zatvori,sa povratnom oprugom
Zaklopka bypass: LM24A,24V, Otvori - zatvori, 3-točke
Miješalica vodenog grijača/hladnjaka : LM24A-SR,24V, stalno (0-10V)
ili jednakovrijedno
</t>
  </si>
  <si>
    <t>Dobava i montaža fleksibilnog ventilacijskog spoja za spoj rekuperatora zraka i okruglih ventilacijskih kanala, zajedno s materijalom za ugradnju i pričvršćenje.</t>
  </si>
  <si>
    <t>φ 250</t>
  </si>
  <si>
    <t>φ 315</t>
  </si>
  <si>
    <t>350x200 mm</t>
  </si>
  <si>
    <t>Dobava i montaža:
Prigušivač zvuka za ugradnju na okrugli kanal, zajedno sa potrebnim spojni mi montažnim materijalom.</t>
  </si>
  <si>
    <t>φ 160
L=500 mm</t>
  </si>
  <si>
    <t>φ 200
L=500 mm</t>
  </si>
  <si>
    <t>φ 200
L=1000 mm</t>
  </si>
  <si>
    <t>Stropni vrtložni distributer zraka sa podešavajućim lamelama za ubacivanje zraka. Podešavanje smjera i kuta ubacivanja zraka se izvodi promjenom položaja lamela, a sve prema tehničkim uputama proizvođača. Distributer zraka se sastoji od priključne kutije sa ručnim regulatorom količine zraka smještenim horizontalno, pločom za raspršivanje i umirenje struje zraka, traverzom za pričvršćenje istrujne ploče i kvadratnom odn. okruglom istrujnom pločom  sa podešavajućim lamelama.</t>
  </si>
  <si>
    <t>U cijenu uključiti sve potrebne elemente za potpunu funkcionalnost, 1 m fleksibilne cijevi po distributeru za spoj između kanala i distributera, upravljanja te sav potreban spojni i montažni materijal do potpune gotovosti.</t>
  </si>
  <si>
    <t xml:space="preserve"> 500x24,∅198</t>
  </si>
  <si>
    <t>75x325 mm</t>
  </si>
  <si>
    <t>75x425 mm</t>
  </si>
  <si>
    <t>125x525 mm</t>
  </si>
  <si>
    <t>φ 125</t>
  </si>
  <si>
    <t>φ 200</t>
  </si>
  <si>
    <t>Izrada i montaža ovjesa i nosača kanala i cjevovoda , rekuperatora, izrađenih od profilnog čelika, uključivo vijčani materijal, materijal za varenje, te antikorozivnu zaštitu.</t>
  </si>
  <si>
    <t xml:space="preserve">Dobava i montaža neprovidne rešetke za ugradnju u vrata, zajedno sa protuokviom te montažnim, spojnim i brtvenim materijalom. </t>
  </si>
  <si>
    <t>525x125 mm</t>
  </si>
  <si>
    <t>Revizijskog otvora zbog servisiranja i  balansiranje regulacijske zaklopke .Dimenzija 400x400 mm</t>
  </si>
  <si>
    <t>Dobava i montaža protupožarne zaklopke sa elektromagnetnim pogonom klase otpornosti EI90 min. za ugradnju kod prolaza kanala kroz različite požarne sektore zajedno sa spojnim i montažnim materijalom. U cijenu uračunati protupožarno brtvljenje oko zaklopke.</t>
  </si>
  <si>
    <t>Puštanje u pogon i kontrola sustava venitlacije , od strane ovlaštenog servisa.</t>
  </si>
  <si>
    <t>Ispitivanje ljetne i zimske mikroklime te izdavanje Uvjerenja od strane ovlaštene ustanove za ispitivanje radnog okoliša. Ispitivanja se vrše kad se steknu vanjski uvjeti za izvođenje istih (ljeto odnosno zima).</t>
  </si>
  <si>
    <t>Geodetsko iskolčenje trase vanjskog vodovoda prije izvođenja radova-dužina 465 m</t>
  </si>
  <si>
    <t>Geodetsko iskolčenje trase vanjske kanalizacije prije izvođenja radova-dužina 452 m</t>
  </si>
  <si>
    <t xml:space="preserve">Izrada, dobava i ugradnja stavki vanjske bravarije izvesti u sistemima aluminijskih profila s prekidom toplinskog mosta . Svi primijenjeni sistemi za vanjsku ugradnju moraju zadovoljiti opće zahtjeve "Tehničkog propisa o racionalnoj uporabi energije i toplinskoj zaštiti u zgradama" (NN 128/15) te posebni projektni zahtjev da ukupni koeficijenti prolaza topline za ostakljena vrata iznose Ud ≤ 1,1 W/m2K, puna vrata Ud ≤ 1,1 W/m2K, prozore Uw ≤ 1,1 W/m2K. 
Kvaliteta aluminijskih profila je HRN EN 573: EN AW 6060 T66 ili jednakovrijedno ____________________________.
Tražena razina zaštite od buke ugrađenih elemenata iznosi Rw= 35 (-1,-3). 
Smjer otvaranja otvarajućih elemenata mora biti u skladu s projektnom dokumentacijom.  Ugradbene dubine nosivih profila fasade i debljine stakla prema potrebi provjeriti od strane statičara.
Sastavni dio podloga za ponudu i isporuku bravarskih stavki čine sheme iz projekta i radionički nacrti izrađeni od strane izvođača bravarskih radova, ovjereni od strane glavnog investitora. 
</t>
  </si>
  <si>
    <t xml:space="preserve">Izrada, dobava i ugradnja ulaznih vrata od aluminijskih profila s prekidom toplinskog mosta i povišenim toplinsko-izolativnim svojstvima, osnovne ugradbene dubine 75 mm. Prekid toplinskog mosta postiže se pomoću PVC izolatora između vanjskog i unutarnjeg dijela profila. 
Povišena toplinska izolat. sistema se postiže na slijedeći način: 
- u profilu, između izolatora su ugrađeni umeci od PE pjene s 
  dobrim izolativnim svojstvima  (λ=0.031 W/mK), koji prekidaju 
  toplinske tokove 
- PVC profili za prekid toplinskog mosta profila štoka (izolatori) su 
  trokomorni.  
- vanjska i unutarnja brtva stakla specijalno su konstruirane tako da 
  prekidaju toplinske tokove uokolo ruba stakla - imaju produžetke. 
Brtvljenje između krila i štoka vrata izvedeno je pomoću dviju EPDM brtvi - vanjske i unutarnje. Staklo je u krilo/štok učvršćeno pomoću unutarnje letvice s držačem, te zabrtvljeno EPDM brtvama s obje strane. Kombinacija stakla i alu panela prema izboru investitora.      
</t>
  </si>
  <si>
    <t>Ugradnju vanjskih prozora izvesti u skladu s radioničkim nacrtima, ovjerenim od strane glavnog investitora, a koji u moraju obuhvaćati slijedeće elemente ugradnje prozora (npr. RAL smjernice ili jedankovrijedno ____________________):
- ugradnju prozora na pravilnu liniju izoterme 
- paronepropusnost spoja s unutarnje strane s paronepropusnom folijom  i vodonepropusnost s   vanjske s paropropusnom-vodonepropusnom folijom - RAL ugradnja.
- odgovarajuću širinu bočne fuge između štoka i zida širine  
- ugradnju stakla s okvirom u skladu sa zahtjevima zaštite od buke</t>
  </si>
  <si>
    <t>Ostakljenje prozora s čvrstim parapetom visine &gt; 75 cm:
TIP A: 6 LowE - 16 mm 90% Ar - 4 - 16 mm 90% Ar - 4 LowE
Ostakljenje polja bez parapeta, ulaznih vrata - sigurnosno staklo:
TIP B: 8 mm (kaljeno, LowE) -16 mm 90% Ar - 6 mm - 16 mm 90%   Ar - 44.2 LowE
Staklo za unutarnju izgradnju:
TIP C: 55.2, sigurnosni lamistal   
LowE sloj se nalazi na poz. 2 i 5 gledano izvana.
Koeficijent prolaza topline ostakljenja: Ug ≤ 0,8 W/m2K
Solarni faktor (uk. prolaz energije prema unutra):    g   ≤ 55%
Distancer stakla, osim strukturalne fasade, pvc: Ψ  ≤ 0.055 W/mK.
Izradu, obradu, proračun debljine i ugradnju stakla izvršiti u skladu s Tehničkim propisom za staklene konstrukcije (NN 53/17). Debljine stakla provjeriti od strane ovlaštenog statičara-prema potrebi na pojedinim stavkama ugraditi staklo veće debljine. Kao osiguranje od pucanja kod kaljenog stakla obavezno predvidjeti Heat Soak Test (HST) ili jednakovrijedan test ________________________, a kod laminiranog stakla obavezno pobrusiti rubove.
Izvođač radova je prije izrade obavezan osigurati uzorke s tipovima stakla odabranim od strane glavnog investitora.</t>
  </si>
  <si>
    <t>prozor dim 120/90 cm
Izrada, dobava i ugradnja 1 krilnog prozora koji se sastoji od 1 zaokretno otklopnog krila u sistemu s prekidom toplinskog mosta i  poboljšanim izolativnim svojstvima. Otvaranje prema unutra.
Traženi Uw ≤ 1,1 W/m2K
Ostakljenje: TIP A: 6 LowE - 16 mm 90% Ar - 4 - 16 mm 90% Ar - 4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klupčicu te plastifikaciju prema izboru investitora uključiti u cijenu. Ugradnja prema RAL smjernicama, bez toplinskih mostova, iznutra paronepropusno, izvana paropropusno-vodonepropusno zabrtvljeni priključci na nosivu konstrukciju - sve izvesti odgovarajućim folijama - RAL ugradnja.
Klupčice prema opisu u općim uvjetima.</t>
  </si>
  <si>
    <t>prozor dim 120/130
Izrada, dobava i ugradnja 1 krilnog prozora koji se sastoji od 1 zaokretno otklopnog krila u sistemu s prekidom toplinskog mosta i  poboljšanim izolativnim svojstvima. Otvaranje prema unutra.
Traženi Uw ≤ 1,1 W/m2K
Ostakljenje: TIP A: 6 LowE - 16 mm 90% Ar - 4 - 16 mm 90% Ar - 4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klupčicu te plastifikaciju prema izboru investitora uključiti u cijenu. Ugradnja prema RAL smjernicama, bez toplinskih mostova, iznutra paronepropusno, izvana paropropusno-vodonepropusno zabrtvljeni priključci na nosivu konstrukciju - sve izvesti odgovarajućim folijama - RAL ugradnja.
Klupčice prema opisu u općim uvjetima.</t>
  </si>
  <si>
    <t>prozor dim 180/130 cm
Izrada, dobava i ugradnja 2 krilnog prozora koji se sastoji od 1 zaokretno otklopnog krila u sistemu s prekidom toplinskog mosta i  poboljšanim izolativnim svojstvima. Otvaranje prema unutra.
Traženi Uw ≤ 1,1 W/m2K
Ostakljenje: TIP A: 6 LowE - 16 mm 90% Ar - 4 - 16 mm 90% Ar - 4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klupčicu te plastifikaciju prema izboru investitora uključiti u cijenu. Ugradnja prema RAL smjernicama, bez toplinskih mostova, iznutra paronepropusno, izvana paropropusno-vodonepropusno zabrtvljeni priključci na nosivu konstrukciju - sve izvesti odgovarajućim folijama - RAL ugradnja.
Klupčice prema opisu u općim uvjetima.</t>
  </si>
  <si>
    <t>ST Al1 - vjetrobran</t>
  </si>
  <si>
    <t>ST Al2 - kuhinja</t>
  </si>
  <si>
    <t>ST Al3 - kuhinja</t>
  </si>
  <si>
    <t>ST Al4 - kuhinja</t>
  </si>
  <si>
    <t>područje - Zagrebačka županija</t>
  </si>
  <si>
    <t>Opločnici sa završnim slojem i završnom obradom iz standardne palete proizvođača po izboru investitora.</t>
  </si>
  <si>
    <t xml:space="preserve">Unutrašnja vrata su sa brtvama između krila i dovratnika prema detaljima kao kod tipskih proizvoda . Predviđena su za suhu ugradbu ,sa dovratnikom na puni poprečni profil zida ( "futer štok" )  i opšavnim letvama 15x75 mm, drveni dijelovi su završno trokratno ličeni PU lakom u bijeloj boji. Tehnoligija ličenja prema proizvođaču, odnosno ličenje u komorama specijaliziranim za tu namjenu. sa svim potrebnim predradnjama. (vratna krila, dovratnici i opšavne letve) u tonu po izboru projektanta, okovana potrebnim okovom te se dopremaju na gradilište u zaštitnom pakiranju. Vratno krilo je  izrađeno na drvenom okviru obostrano obloženo MDF pločama i ispunjeno papinatim saćem. Dovratnik je puni drveni dimenzija prema dimenziji zida-obuhvatni štok. Po cijelom opsegu dovratnika na koji dosjeda vratno krilo ugraditi odgovarajući gumeni brtveni profil. Okov  sa bravom sa cilinder uloškom ili sa bravom za WC(kvaka u cijeni do 120 kn) odnosno sa panik letvom. Uz sve stolarske stavke ugraditi prema potrebnoj situaciji na licu mjesta odbojnike na podu ili zidu. U cijeni stavke uračunati kompletan okov, brave i kvake prema izboru projektanta, sav horizontalni i vertikalni transport, potrebna radna skela, brtvljenja i sav sitni materijal i pribor. Boja unutarnjih vratiju je RAL 9016.
Tražena razina zaštite od buke ugrađenih elemenata iznosi Rw= 35 (-1,-3). </t>
  </si>
  <si>
    <r>
      <t xml:space="preserve">Dobava, montaža i spajanje razdjelnice 
</t>
    </r>
    <r>
      <rPr>
        <b/>
        <sz val="10"/>
        <rFont val="Arial CE"/>
        <charset val="238"/>
      </rPr>
      <t>GRO</t>
    </r>
    <r>
      <rPr>
        <sz val="10"/>
        <rFont val="Arial CE"/>
        <family val="2"/>
        <charset val="238"/>
      </rPr>
      <t xml:space="preserve"> izrađene kao tipski ormar s vratima, komplet s trokut bravom i pripadajućim ključem, ugradnom kutijom i opremljene sa:
</t>
    </r>
    <r>
      <rPr>
        <b/>
        <sz val="10"/>
        <rFont val="Arial CE"/>
        <charset val="238"/>
      </rPr>
      <t xml:space="preserve">
TOČAN BROJ I TIP ELEMENATA U ORMARU ODREDITI IZVEDBENIM PROJEKTOM PREMA PRIMJENJENIM RJEŠENJIMA IZ GLAVNOG PROJEKTA
Prije izrade razvodnog ormara izvođač je dužan izraditi radionički nacrt razvodnog ormara sa dimenzijama ormara i isti dati na odobrenje nadzornom inženjeru.</t>
    </r>
    <r>
      <rPr>
        <sz val="10"/>
        <rFont val="Arial CE"/>
        <family val="2"/>
        <charset val="238"/>
      </rPr>
      <t xml:space="preserve">
</t>
    </r>
  </si>
  <si>
    <r>
      <t xml:space="preserve">Dobava, montaža i spajanje razdjelnice 
</t>
    </r>
    <r>
      <rPr>
        <b/>
        <sz val="10"/>
        <rFont val="Arial CE"/>
        <charset val="238"/>
      </rPr>
      <t>RO-KUH</t>
    </r>
    <r>
      <rPr>
        <sz val="10"/>
        <rFont val="Arial CE"/>
        <family val="2"/>
        <charset val="238"/>
      </rPr>
      <t xml:space="preserve"> izrađene kao tipski ormarić s vratima, komplet s trokut bravom i pripadajućim ključem, ugradnom kutijom i opremljene sa:
</t>
    </r>
    <r>
      <rPr>
        <b/>
        <sz val="10"/>
        <rFont val="Arial CE"/>
        <charset val="238"/>
      </rPr>
      <t>TOČAN BROJ I TIP ELEMENATA U ORMARU ODREDITI IZVEDBENIM PROJEKTOM</t>
    </r>
    <r>
      <rPr>
        <sz val="10"/>
        <rFont val="Arial CE"/>
        <family val="2"/>
        <charset val="238"/>
      </rPr>
      <t xml:space="preserve"> </t>
    </r>
    <r>
      <rPr>
        <b/>
        <sz val="10"/>
        <rFont val="Arial CE"/>
        <charset val="238"/>
      </rPr>
      <t>PREMA PRIMJENJENIM RJEŠENJIMA IZ GLAVNOG PROJEKTA</t>
    </r>
    <r>
      <rPr>
        <sz val="10"/>
        <rFont val="Arial CE"/>
        <family val="2"/>
        <charset val="238"/>
      </rPr>
      <t xml:space="preserve">
</t>
    </r>
    <r>
      <rPr>
        <b/>
        <sz val="10"/>
        <rFont val="Arial CE"/>
        <charset val="238"/>
      </rPr>
      <t>Prije izrade razvodnog ormara izvođač je dužan izraditi radionički nacrt razvodnog ormara sa dimenzijama ormara i isti dati na odobrenje nadzornom inženjeru.</t>
    </r>
  </si>
  <si>
    <t>02.</t>
  </si>
  <si>
    <t>03.</t>
  </si>
  <si>
    <t>04.</t>
  </si>
  <si>
    <t>05.</t>
  </si>
  <si>
    <t>Nabava, isporuka i polaganje kabela u instalacijske cijevi
- JEB-H(St)H FE180 E30 4x2x0,8</t>
  </si>
  <si>
    <t xml:space="preserve"> - 6xEE, 6xLAN</t>
  </si>
  <si>
    <t xml:space="preserve"> - 6xEE, 4xLAN, 1xHDMI</t>
  </si>
  <si>
    <t>Dobava, montaža i spajanje podne priključne kutije sa EE, LAN, HDMI priključcima, komplet sa svim montažnim i spojnim priborom do pune funkcionalnosti.</t>
  </si>
  <si>
    <t>Dobava i doprema materijala i zatvaranje prodora u zidu i podu nakon postave instalacija. U cijenu uključiti sve potrebne predradnje, čišćenje, otprašivanje, povezivanje s postojećim konstrukcijama. Izvesti špricanje cijele površine prodora rijetkim cementnim mortom i zapunjavanje prodora betonom. Zidni prodori dimenztija 30/30 cm, podni prodori dimenzija 20/20 cm.</t>
  </si>
  <si>
    <t xml:space="preserve"> - zidni prodori</t>
  </si>
  <si>
    <t xml:space="preserve"> - podni prodori</t>
  </si>
  <si>
    <t>Reške opločenja se zapunjavaju suhim kvarcnim pijeskom boje prema izboru investitora (granulacije 0,1-1,2 mm) nakon vibriranja utvrđenog opločenja. Zapunjavanje treba ponoviti više puta uz vibriranje do potpunog zapunjavanja reški. Kvarcni pijesak se miješa s biocidnim fungicidnim sredstvom za spriječavanje razvoja mahovine, prema uputama proizvođača i projektanta hortikulture. Sve uključeno u jediničnu cijenu stavki.</t>
  </si>
  <si>
    <t>Izrada, dobava potrebnih materijala i montaža predgotovljenih betonskih opločnika kolno-pješačkih površina, dimenzije, boje, završne obrade i sheme polaganja iz standardne palete izvođača po izboru investitora. Dimenzija opločnika cca 40/60 cm, debljina opločnika 8 cm.</t>
  </si>
  <si>
    <t>ulazna staklena stijena dim 485/295 cm
Izrada, dobava i ugradnja 12 krilne staklene stijene navedenih dimenzija. U sklopu stijene su predviđena dvokrilna zaokretna vrata i 10 fiksnih krila. Vrata imaju ugrađenu pumpu za automatsko zatvaranje. Pumpe su s kliznom vodilicom.Kvaka INOX protupožarne izvedbe HR EN 179 ili jednakovrijedno.
Traženi Uw ≤ 1,1 W/m2K
Ostakljenje: TIP B: 8 mm (kaljeno, LowE) -16 mm 90% Ar - 6 mm - 16 mm 90%   Ar - 44.2 LowE, vidi uvodne napomene.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</si>
  <si>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staklena stijena dim 270/230 cm
Izrada, dobava i ugradnja staklene stijene navedenih dimenzija. U sklopu stijene su predviđena 1 fiksno krilo i 1 klizno krilo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</si>
  <si>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staklena stijena dim 440/230
Izrada, dobava i ugradnja staklene stijene navedenih dimenzija. U sklopu stijene su predviđena 3 fiksna krila i 1 zaokretno krilo. Vrata imaju ugrađenu pumpu za automatsko zatvaranje. Pumpe su s kliznom vodilicom.
Kvaka INOX protupožarne izvedbe HR EN 179 ili jednakovrijedno.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</si>
  <si>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ostakljena vrata dim 110/230 cm
Izrada, dobava i ugradnja jednokrilnih ostaklenih vrata navedenih dimenzija. Kvaka INOX protupožarne izvedbe HR EN 179 ili jednakovrijedno.
Traženi Uw ≤ 1,1 W/m2K
Ostakljenje: TIP B: 8 mm (kaljeno, LowE) -16 mm 90% Ar - 6 mm - 16 mm 90%   Ar - 44.2 LowE, vidi uvodne napomene.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</si>
  <si>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ostakljena vrata dim 110/230 cm
Izrada, dobava i ugradnja jednokrilnih ostaklenih vrata navedenih dimenzija. 
Traženi Uw ≤ 1,1 W/m2K
Ostakljenje: TIP B: 8 mm (kaljeno, LowE) -16 mm 90% Ar - 6 mm - 16 mm 90%   Ar - 44.2 LowE, vidi uvodne napomene.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</si>
  <si>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klizna ostakljena stijena dim 570/230 cm
Izrada, dobava i ugradnja 4 krilne ostakljene stijene navedenih dimenzija.U sklopu stijene su predviđena 2 fiksna krila i 2 klizna krila.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</si>
  <si>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klizna ostakljena stijena dim 450/230 cm
Izrada, dobava i ugradnja 4 krilne ostakljene stijene navedenih dimenzija. U sklopu stijene su predviđena 2 fiksna krila i 2 klizna krila.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</si>
  <si>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klizna ostakljena stijena dim 400/270 cm
Izrada, dobava i ugradnja 3 krilne ostakljene stijene navedenih dimenzija. U sklopu je prdviđeno 1 fiksno krilo i 2 klizna krila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</si>
  <si>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klizna ostakljena stijena dim 580/270 cm
Izrada, dobava i ugradnja 4 krilne ostakljene stijene navedenih dimenzija. U sklopu je predviđeno 2 fiksna krila i 2 klizna krila.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</si>
  <si>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klizna ostakljena stijena dim 575/230 cm
Izrada, dobava i ugradnja 4 krilne ostakljene stijene navedenih dimenzija.  U sklopu je predviđeno 2 fiksna krila i 2 klizna krila.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</si>
  <si>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klizna ostakljena stijena dim 580/230 cm
Izrada, dobava i ugradnja 4 krilne ostakljene stijene navedenih dimenzija.  U sklopu je predviđeno 2 fiksna krila i 2 klizna krila.
Traženi Uw ≤ 1,1 W/m2K
Ostakljenje: TIP B: 8 mm (kaljeno, LowE) -16 mm 90% Ar - 6 mm - 16 mm 90%   Ar - 44.2 LowE, vidi uvodne napomene.
Zaštita od sunca: Vanjska tipska rolo sjenila od sintetičkog impregniranog platna, 4% propusnosti, ton RAL7016 - tamno siva. Nosive konzole su iz aluminijskih tuba promjera 50 mm, donji utežni profili su aluminijski plastificirani u boji po izboru investitora iz standardne palete boja, upravljanje ručno.  Rolo sa kvadratnom kazetnom kutijom dimenzije poprečnog presjeka 150 x 130 mm te bočnim aluminijskim vodilicama za nadžbuknu ugradnju. ZIP sistem sa bočnim vodilice tako da omogućuje konstantnu napetost plašta da  može izdržati nalete vjetra do 100 km/h.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</si>
  <si>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puna vrata dim 100/230 cm
Izrada, dobava i ugradnja jednokrilni punih vrata navedenih dimenzija. 
Traženi Uw ≤ 1,1 W/m2K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</si>
  <si>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puna vrata dim 110/230 cm
Izrada, dobava i ugradnja jednokrilnih punih vrata navedenih dimenzija.
Traženi Uw ≤ 1,1 W/m2K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</si>
  <si>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puna dvokrilna vrata dim 160/230 cm
Izrada, dobava i ugradnja dvokrilnih punih vrata navedenih dimenzija.Kvaka INOX protupožarne izvedbe HR EN 179 ili jednakovrijedno.
Traženi Uw ≤ 1,1 W/m2K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</si>
  <si>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puna dvokrilna vrata dim 160/230 cm
Izrada, dobava i ugradnja dvokrilnih punih vrata navedenih dimenzija.
Traženi Uw ≤ 1,1 W/m2K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</si>
  <si>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staklena stijena dim 515/295 cm
Izrada, dobava i ugradnja 12 krilne staklene stijene navedenih dimenzija. U sklopu stijene su predviđena dvokrilna zaokretna vrata i 10 fiksnih krila. Vrata imaju ugrađenu pumpu za automatsko zatvaranje. Pumpe su s kliznom vodilicom.Kvaka INOX protupožarne izvedbe HR EN 179 ili jednakovrijedno.
Ostakljenje: TIP B: 8 mm (kaljeno, LowE) -16 mm 90% Ar - 6 mm - 16 mm 90%   Ar - 44.2 LowE, vidi uvodne napomene.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</si>
  <si>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puna vrata dim 100/230 cm
Izrada, dobava i ugradnja jednokrilni punih vrata navedenih dimenzija. Kvaka INOX protupožarne izvedbe HR EN 179 ili jednakovrijedno.
Traženi Uw ≤ 1,1 W/m2K
Opšav, elemente ugradnje, elemente sidrenja, te plastifikaciju prema izboru investitora uključiti u cijenu. Ugradnja prema RAL smjernicama, bez toplinskih mostova, iznutra paronepropusno, izvana paropropusno-vodonepropusno zabrtvljeni priključci na nosivu konstrukciju - sve izvesti odgovarajućim folijama - RAL ugradnja.</t>
  </si>
  <si>
    <t>ZIDARSKI OTVOR dvokrilnih ostakljenih vrata 175*210cm + Kvaka INOX protupožarne izvedbe HR EN 179 ili jednakovrijedno.</t>
  </si>
  <si>
    <t>ZIDARSKI OTVOR dvokrilnih ostakljenih vrata 180*210cm + Kvaka INOX protupožarne izvedbe HR EN 179 ili jednakovrijedno.</t>
  </si>
  <si>
    <t>Kvaka INOX protupožarne izvedbe HR EN 179 ili jednakovrijedno</t>
  </si>
  <si>
    <t>opseg debla 5-15 cm</t>
  </si>
  <si>
    <r>
      <t>Dobava i ugradnja tvrdih izolacijskih ploča iz ekstrudiranog, pjenjenog polistirena,</t>
    </r>
    <r>
      <rPr>
        <sz val="9"/>
        <color indexed="10"/>
        <rFont val="Arial"/>
        <family val="2"/>
      </rPr>
      <t xml:space="preserve"> </t>
    </r>
    <r>
      <rPr>
        <sz val="9"/>
        <rFont val="Arial"/>
        <family val="2"/>
      </rPr>
      <t>pjenjene s CO2, bez freona obostrano strukturirane površine ili jednakovrijedan.
Izvodi se kao vanjska toplinska izolacija ploča i zidova u tlu debljine 10 cm.</t>
    </r>
  </si>
  <si>
    <r>
      <t>Dobava i postava ploča od mineralne vune (MW), kaširane s gornje strane, polutvrde, hidrofobirane (prema HRN EN 13163 ili jednakovrijedno), d=10-20 cm, na ravni krov. Ugradnja u dva sloja, s međusobno izmaknutim sudarnicama (za MW homogene gustoće), ili jednoslojno (za MW dvoslojne gustoće), na prethodno postavljenu parnu branu (obračunato posebno). Klasa negorivosti min. A1, λ ≤ 0,036 W/m2K. Tlačna čvrstoća σ</t>
    </r>
    <r>
      <rPr>
        <vertAlign val="subscript"/>
        <sz val="9"/>
        <rFont val="Arial"/>
        <family val="2"/>
      </rPr>
      <t>10</t>
    </r>
    <r>
      <rPr>
        <sz val="9"/>
        <rFont val="Arial"/>
        <family val="2"/>
      </rPr>
      <t xml:space="preserve"> ≤ 70 kPa (prema HRN EN 826), delaminacijska čvrstoća σ</t>
    </r>
    <r>
      <rPr>
        <vertAlign val="subscript"/>
        <sz val="9"/>
        <rFont val="Arial"/>
        <family val="2"/>
      </rPr>
      <t>mt</t>
    </r>
    <r>
      <rPr>
        <sz val="9"/>
        <rFont val="Arial"/>
        <family val="2"/>
      </rPr>
      <t xml:space="preserve"> = 15 kPa (prema HRN EN 1607 ili jednakovrijedno), točkasto opterećenje Fp ≥ 550 N (prema HRN EN 12430 ili jednakovrijedno). Sav materijal, pomoćni materijal, ugradna i pričvrsna sredstva odrediti prema uputama proizvođača i pravilima struke. U stavku uključen sav potrebni rad, materijal i pomoćni materijal.</t>
    </r>
  </si>
  <si>
    <t>Nadozid krova / atiku obložiti s pločama istih karakteristika kao i za ravni krov. Debljina ploča za zid je 5 cm. Dok se na gornju plohu nadozida postavljaju iste ploče debljine 5 cm.</t>
  </si>
  <si>
    <t xml:space="preserve">Dobava i montaža krovnih vertikala za ispust kišnice s krova i terase. Vertikale iz materijala (lima) otpornog na atmosferilije (bakar ili pocinčani čelik). </t>
  </si>
  <si>
    <t xml:space="preserve"> - vertikale 8x8 cm</t>
  </si>
  <si>
    <t xml:space="preserve"> - vertikale 10x10 cm</t>
  </si>
  <si>
    <t xml:space="preserve">ELEMENT S 3 STUPA POLICA, izrađen od drveta (šper, iverala, puno drvo ili slično) lakirane bezbojnim lakom, drvo za unutarnju upotrebu bez vodootpornog ljepila i kvalitete B/BB deb. 18mm, furnirane obostrano brezovim furnirom, dijelom sa 8 plitkih a dijelom s 4 duboke plastične plitice. Središnji dio s dvije drvene police. Kotači visine 10 cm načinjeni od čelika i obloženim gumom, s mogućnošću okretanja u svim smjerovima i potpunog kočenja. Rubovi zaobljeni r=2 mm. 
Dim. 90x40x82 cm </t>
  </si>
  <si>
    <t>STOLAC BEZ RUKONASLONA, konstrukcija od drveta (šper, iverala, puno drvo ili slično) lamelirani savijeni elementi 28 mm noge i luk sjedala i naslona Sjedalo i naslona bukva furnirana šperploča anatomski oblikovana, debljine 7 mm. Okov-metalni spojni vijci s maticama, svijetla bukva. Dim. h=35 cm</t>
  </si>
  <si>
    <t>STOLAC ZA ODGAJATELJA, bez rukonaslona, konstrukcija savinuti od drveta (šper, iverala, puno drvo ili slično), svijetla bukva, sjedište šperploča, h=46 cm</t>
  </si>
  <si>
    <t xml:space="preserve">POKRETNA BIBLIOTEKA, izrađena iz drveta (šper, iverala, puno drvo ili slično) d=18 mm, furnirane obostrano brezovim furnirom, lakirane bezbojnim lakom, drvo za unutarnju upotrebu bez vodootpornog ljepila,kvalitete B/BB, na kotačima visine 10 cm načinjenim od čelika i obloženim gumom, s mogućnošću okretanja u svim smjerovima i potpunog kočenja, rubovi zaobljeni r=2 mm, M-09 dim. 80x40x100 cm </t>
  </si>
  <si>
    <t xml:space="preserve">DJEČJI STOLIĆ ZA IGRU OKRUGLI sa križnim nogama
izrađen iz drveta (šper, iverala, puno drvo ili slično) obostrano furnirane brezovim furnirom 15 mm fino obrađenih rubova, dim. ø 50xh=53 cm. </t>
  </si>
  <si>
    <t>KUTIJE izrađene iz drveta (šper, iverala, puno drvo ili slično) 15 mm spajane sistemom lastin rep u natur boji za ulaganje u ormar. Kutije imaju s obje strane okrugli otvor promjera 4 cm za olakšano prihvaćanje kutija, dim. 30x48x18 cm</t>
  </si>
  <si>
    <t>STOL ZA GRAĐENJE 
Izrađen izdrveta (šper, iverala, puno drvo ili slično) 18 mm obostrano furnirano brezovim furnirom min debljine 18 mm s najmanjim polumjerom zaobljenja bridova 2 mm.Površinska obrada mora biti izvedena s ekološki prihvatljivim materijalima dobre kemijske i mehaničke otpornosti. Stol ima s gornje strane uzdignuti rub koji sprečava ispadanje igračaka, na tri strane ima po četiri pretinca za plasične kutije (ukupno 6 dubokih i 6 plitkih prozirnih kutija). Kotači  visine min 6 cm načinjeni od čelika i obloženi gumom, s mogućnošću okretanja u svim smjerovima i potpunog kočenja, okvirne dim 80x80x53 cm</t>
  </si>
  <si>
    <t xml:space="preserve">ELEMENT ČETVRTINA KRUGA, izrađen od drveta (šper, iverala, puno drvo ili slično) d=18 mm,  furnirane obostrano brezovim furnirom, lakirane bezbojnim lakom, drvo za unutarnju upotrebu bez vodootpornog ljepila, kvalitete B/BB, s četiri pretinca, na kotačima visine 10 cm načinjenim od čelika i obloženim gumom, s mogućnošću okretanja u svim smjerovima i potpunog kočenja. Rubovi zaobljeni r=2 mm. Radius vanjski 140 cm, dubina police 42 cm, h=82 cm </t>
  </si>
  <si>
    <t>Kuhinjski stolić, dim.Ø60*52. Ploča stolića izrađena od drveta (šper, iverala, puno drvo ili slično) 12 mm, a noge stola iz svinutog špera 20 mm. Ploča stola lakirana vodenim transparentnim lakom u crvenoj boji, noge bezbojnim vodenim lakom. Noge stolića se sa po 4 komada vijaka za drvo pričvrščuju sa doljnje strane ploče stola.</t>
  </si>
  <si>
    <t>Kuhinjske stolice 2 kom, dim.h 30 cm. Ploča stolica izrađena od drveta (šper, iverala, puno drvo ili slično) 12 mm, a noge stola iz svinutog špera 20 mm. Ploča stolica lakirana vodenim transparentnim lakom u crvenoj boji, noge bezbojnim vodenim lakom. Noge stolica se sa po 4 komada vijaka za drvo pričvrščuju sa doljnje strane ploče stolice.</t>
  </si>
  <si>
    <t xml:space="preserve">Univerzalna polica za likovni. Sastoji se od ormarića na kotačima dim. 89x41,5x61,4 cm i drvenog organizera s pregradama dim. 85x40,9x25 cm, izrađeno od drveta (šper, iverala, puno drvo ili slično) furnir breza lakirano bezbojnim lakom debljine 18 mm, rubova obloženih ABS trakom. </t>
  </si>
  <si>
    <t>Višenamjenski kutić dim.115x80x165 cm.Praktičan kutić može biti trgovina s policama, lutkarsko kazalište ili mala čitaonica. Sadrži zastore i platnene džepove za spremanje ginjol lutaka, police za knjige ili namirnice u trgovini. Materijal: drvo (šper, iverala, puno drvo ili slično), furnir breza lakiran bezbojnim lakom</t>
  </si>
  <si>
    <t xml:space="preserve">Kutić frizera - izrađen od drveta (šper, iverala, puno drvo ili slično) u boji. Sastoji se od ladice, dvije police za kozmetiku i akrilnog ogledala, potpuno sigurnog. Dimenzije: 65,5x41x96 cm. </t>
  </si>
  <si>
    <t>GARDEROBNI ORMAR JEDNOKRILNI za djecu, drvo (šper, iverala, puno drvo ili slično), 18 mm furnirano / breza, 4 pretinca s 4 vrata, otvor promjera 4 cm za ventilaciju i otvaranje. Sokl 10 cm.
Dim. 30x40x120 cm.</t>
  </si>
  <si>
    <t xml:space="preserve">KLUPA, drvo (šper, iverala, puno drvo ili slično), 24 mm presvučena ultrapasom, obrađenih rubova radijusa 2 mm, lakirana pu lakom na otvorene pore, s nagnutom policom za cipele od perforiranog lima debljine 1 mm (promjer perforacija 10 mm) sa zaštitnim rubom letvice od šperploče i poprečnom ukrutom 40x40mm. 
Dim. 100x38xh=38 cm. </t>
  </si>
  <si>
    <t xml:space="preserve">POLICA SA VJEŠALICAMA, drvo (šper, iverala, puno drvo ili slično), 18 mm furnirano / breza, sa 10 dvostrukih vješalica, metalnih. Polica se montira između ormara
Dim.d=100cm. </t>
  </si>
  <si>
    <t xml:space="preserve">STOLAC BEZ RUKONASLONA, konstrukcija od drveta (šper, iverala, puno drvo ili slično)-lamelirani savijeni elementi 28 mm noge i luk sjedala i naslona Sjedalo i naslona bukva furnirana šperploča anatomski oblikovana, debljine 7 mm. Okov-metalni spojni vijci s maticama, svijetla bukva. Dim. h=35 cm </t>
  </si>
  <si>
    <t>ELEMENT S 3 STUPA POLICA, izrađen od drveta (šper, iverala, puno drvo ili slično) lakirane bezbojnim lakom, drvo za unutarnju upotrebu bez vodootpornog ljepila i kvalitete B/BB deb. 18mm,  furnirane obostrano brezovim furnirom, dijelom sa 8 plitkih a dijelom s 4 duboke plastične plitice. Središnji dio s dvije drvene police.  Kotači visine 10 cm načinjeni od čelika i obloženim gumom, s mogućnošću okretanja u svim smjerovima i potpunog kočenja. Rubovi zaobljeni r=2 mm. Dim. 90x40x82 cm</t>
  </si>
  <si>
    <t>ELEMENT S 3 POLICE I PUNIM VRATIMA I BRAVICOM, izrađen od drveta (šper, iverala, puno drvo ili slično), furnirane obostrano brezovim furnirom, lakirane bezbojnim lakom, drvo za unutarnju upotrebu bez vodootpornog ljepila, kvalitete B/BB, na kotačima visine 10 cm načinjenim od čelika i obloženim gumom, s mogućnošću okretanja u svim smjerovima i potpunog kočenja. Rubovi zaobljeni r=2 mm. Dim. elementa 80x40x100 cm</t>
  </si>
  <si>
    <t>STOL ZA ODGAJATELJA, sa jednom ladicom i bravicom konstrukcija od drveta (šper, iverala, puno drvo ili slično), bezbojni lak, debljina 27 mm, obostrano ultrapas debljine 0,8 mm, rub masiv bukva, s prednjom maskom, noge svijetla bukva, dim 90x60x76 cm.</t>
  </si>
  <si>
    <t>STOLAC ZA ODGAJATELJA, bez rukonaslona, konstrukcijaod drveta (šper, iverala, puno drvo ili slično), svijetla bukva, sjedište šperploča, h=46 cm</t>
  </si>
  <si>
    <t xml:space="preserve">POKRETNA BIBLIOTEKA, izrađena iz drveta (šper, iverala, puno drvo ili slično) d=18 mm, furnirane obostrano brezovim furnirom, lakirane bezbojnim lakom, drvo za unutarnju upotrebu bez vodootpornog ljepila,kvalitete B/BB, na kotačima visine 10 cm načinjenim od čelika i obloženim gumom, s mogućnošću okretanja u svim smjerovima i potpunog kočenja, rubovi zaobljeni r=2 mm, M-09, dim. 80x40x100 cm </t>
  </si>
  <si>
    <t>ORMAR S POLICAMA izrađen iz drveta (šper, iverala, puno drvo ili slično) 18 mm bijele boje, u donjem dijelu otvorene police do visine 120 cm  sa pretincima ukupno 15 pretinaca. U gornjem dijelu ormara visine 60 cm 1 polica i vrata. Ormari imaju sokl od 10 cm. U pretince se stavljaju drvene kutije za didaktiku, dim. 90x50x180 cm</t>
  </si>
  <si>
    <t xml:space="preserve">KUTIJE izrađene iz drveta (šper, iverala, puno drvo ili slično) 15 mm spajane sistemom lastin rep u natur boji za ulaganje u ormar. Kutije imaju s obje strane okrugli otvor promjera 4 cm za olakšano prihvaćanje kutija, dim. 30x48x18 cm
</t>
  </si>
  <si>
    <t>STOL ZA GRAĐENJE. Izrađen iz drveta (šper, iverala, puno drvo ili slično) 18 mm obostrano furnirano brezovim furnirom min debljine 18 mm s najmanjim polumjerom zaobljenja bridova 2 mm.Površinska obrada mora biti izvedena s ekološki prihvatljivim materijalima dobre kemijske i mehaničke otpornosti. Stol ima s gornje strane uzdignuti rub koji sprečava ispadanje igračaka, na tri strane ima po četiri pretinca za plasične kutije (ukupno 6 dubokih i 6 plitkih prozirnih kutija). Kotači visine min 10 cm načinjeni od čelika i obloženi gumom, s mogućnošću okretanja u svim smjerovima i potpunog kočenja, okvirne dim 80x80x53 cm</t>
  </si>
  <si>
    <t>ELEMENT ČETVRTINA KRUGA, izrađen od drveta (šper, iverala, puno drvo ili slično) d=18 mm,  furnirane obostrano brezovim furnirom, lakirane bezbojnim lakom, drvo za unutarnju upotrebu bez vodootpornog ljepila, kvalitete B/BB, s četiri pretinca, na kotačima visine 10 cm načinjenim od čelika i obloženim gumom, s mogućnošću okretanja u svim smjerovima i potpunog kočenja. Rubovi zaobljeni r=2 mm. Radius vanjski 140 cm, dubina police 42 cm, h=82 cm</t>
  </si>
  <si>
    <t>GARDEROBNI ORMAR JEDNOKRILNI SA 4 pretinca s 4 vrata, za djecu, drvo (šper, iverala, puno drvo ili slično), 18 mm furnirano / breza, otvor promjera 4 cm za ventilaciju i otvaranje. Sokl 10 cm. Dim. 30x40x120cm.
šifra u nacrtu: 7.30</t>
  </si>
  <si>
    <t xml:space="preserve">POLICA SA VJEŠALICAMA, višeslojna drvo (šper, iverala, puno drvo ili slično), 18 mm furnirano / breza, sa 9 dvostrukih vješalica, metalnih. Polica se montira između ormara. dim. d=100cm. </t>
  </si>
  <si>
    <t xml:space="preserve">KLUPA,drvo (šper, iverala, puno drvo ili slično), 24 mm presvučena ultrapasom, obrađenih rubova radijusa 2 mm, lakirana pu lakom na otvorene pore, s nagnutom policom za cipele od perforiranog lima debljine 1 mm (promjer perforacija 10 mm) sa zaštitnim rubom letvice od šperploče i poprečnom ukrutom 40x40mm. Dim. 100x38x38 cm. </t>
  </si>
  <si>
    <t xml:space="preserve">ORMARIĆ ZA SANITARIJE (28 čaša za četkice),
na metalnoj konstrukciji na kotačima, dim. 70x30x130 cm
Izrađen od drveta (šper, iverala, puno drvo ili slično) d=18 mm, bojane lakom u boji, s četiri pretinca, na kotačima visine 10 cm načinjenim od čelika i obloženim gumom, s mogućnošću okretanja u svim smjerovima i potpunog kočenja. </t>
  </si>
  <si>
    <t>STOLIĆ POLUKRUG konstrukcija od savinutog drveta (šper, iverala, puno drvo ili slično) bezbojni lak. Radna ploha iverica debljine 27 mm obostrano presvučena ultrapasom debljine 0,8 mm. Rub masiv bukva.  
Dim R=90xh=46 cm</t>
  </si>
  <si>
    <t>STOLAC BEZ RUKONASLONA, konstrukcija od drveta (šper, iverala, puno drvo ili slično)-lamelirani savijeni elementi 28 mm noge i luk sjedala i naslona. Sjedalo i naslon šperploča anatomski oblikovana, debljine 7 mm, lakirana bezbojnim lakom, svijetla bukva. Okov-metalni spojni vijci s maticama.
Dim. h=26 cm</t>
  </si>
  <si>
    <t>STOLAC SA RUKONASLONOM, konstrukcija od drveta (šper, iverala, puno drvo ili slično)-lamelirani savijeni elementi 28 mm noge i luk sjedala i naslona. Sjedalo i naslon drvo anatomski oblikovano, debljine 7 mm, lakirana lakom u boji. Okov-metalni spojni vijci s maticama.
Dim. h=26 cm</t>
  </si>
  <si>
    <t xml:space="preserve">ELEMENT S 3 POLICE I 6 PRETINACA, izrađen od drveta (šper, iverala, puno drvo ili slično) debljine 18 mm, lakirane bezbojnim lakom, drvo za unutarnju upotrebu bez vodootpornog ljepila i kvalitete B/BB, na kotačima visine 10 cm načinjenim od čelika i obloženim gumom, s mogućnošću okretanja u svim smjerovima i potpunog kočenja. Rubovi zaobljeni r=2 mm. 
Dim. elementa 90x42x53 cm.
</t>
  </si>
  <si>
    <t>ELEMENT S 3 STUPA POLICA, izrađen od drveta (šper, iverala, puno drvo ili slično) furnirana brezovim furnirom, lakirane bezbojnim lakom, drvo za unutarnju upotrebu bez vodootpornog ljepila i kvalitete B/BB deb. 18mm, dijelom sa 8 plitkih a dijelom s 4 duboke plastične plitice. Središnji dio s dvije drvene police.  Kotači visine 10 cm načinjeni od čelika i obloženim gumom, s mogućnošću okretanja u svim smjerovima i potpunog kočenja. Rubovi zaobljeni r=2 mm. Dimenzije plitica - duboka: d.38 x š.31,5 x v.15cm, plitka: d.38  x š.31,5 x v.7,5 cm. 
Dim. 90x40x82 cm</t>
  </si>
  <si>
    <t>ELEMENT S 2 POLICE I PUNIM VRATIMA I BRAVICOM, izrađen od drveta (šper, iverala, puno drvo ili slično) d=18 mm, lakirane bezbojnim lakom, drvo za unutarnju upotrebu bez vodootpornog ljepila,kvalitete B/BB, na kotačima visine 10 cm načinjenim od čelika i obloženim gumom, s mogućnošću okretanja u svim smjerovima i potpunog kočenja. Rubovi zaobljeni r=2 mm, leđa obložena magnetnom pločom. Dim. elementa 90x40x82 cm</t>
  </si>
  <si>
    <t>POKRETNA POLICA NA KOTAČIMA, izrađena od drveta (šper, iverala, puno drvo ili slično) d=18 mm, lakirane bezbojnim lakom, drvo za unutarnju upotrebu bez vodootpornog ljepila i kvalitete B/BB opremljena s 4 vodoravne police, na gornjoj polici 4 pretinca, zaobljeni rubovi r=2 mm, dim. 80x40x100 cm</t>
  </si>
  <si>
    <t>POKRETNI ELEMENT BIBLIOTEKA OBOSTRANA NA KOTAČIMA Izrađen od drveta (šper, iverala, puno drvo ili slično) d=18 mm, lakirane bezbojnim lakom, drvo za unutarnju upotrebu bez vodootpornog ljepila i kvalitete B/BB, rubovi obrađeni r=2 mm, dim. 80x40x100 cm</t>
  </si>
  <si>
    <t xml:space="preserve">PANO KAZALIŠTE LUTAKA, izrađen iz drveta (šper, iverala, puno drvo ili slično) d=18 mm furnirane brezovim furnirom, dim. 70xh=130 cm
</t>
  </si>
  <si>
    <t>ORMARIĆ za prematanje izrađen iz drveta (šper, iverala, puno drvo ili slično) 18 mm, breza s povišenom zadnjom stranom i povišenom, jednom bočnom stranom i dvije police i jastuk za prematanje debljine 5 cm, dim. 80x70xh=85/105 cm</t>
  </si>
  <si>
    <t>STEPENICE izrađene iz drveta (šper, iverala, puno drvo ili slično) 18 mm breza s 5 gazišta, rukonaslonom s jedne strane i povišenom bočnom i stražnjom stranom. Dim. 43x80xh=85/105 cm</t>
  </si>
  <si>
    <t>STOL ZA ODGAJATELJA, sa jednom ladicom i bravicom konstrukcija od drveta (šper, iverala, puno drvo ili slično), bezbojni lak, debljina 27 mm, obostrano ultrapas debljine 0,8 mm, rub masiv svjetla bukva, s prednjom maskom, noge svjetla bukva, dim 90x50x76 cm</t>
  </si>
  <si>
    <t>STOLAC ZA ODGAJATELJA, bez rukonaslona, konstrukcija savinuti drvo (šper, iverala, puno drvo ili slično), svijetla bukva, sjedište šperploča, h=46 cm</t>
  </si>
  <si>
    <t>ELEMENT ČETVRTINA KRUGA, izrađen od drveta (šper, iverala, puno drvo ili slično) d=18 mm,  furnirane obostrano brezovim furnirom, lakirane bezbojnim lakom, drvo za unutarnju upotrebu bez vodootpornog ljepila, kvalitete B/BB, s četiri pretinca, na kotačima visine 10 cm načinjenim od čelika i obloženim gumom, s mogućnošću okretanja u svim smjerovima i potpunog kočenja. Rubovi zaobljeni r=2 mm. Radius vanjski 140 cm, dubina police 42 cm, h=53 cm</t>
  </si>
  <si>
    <t>Manipulativni zid - ŠUMSKI PUT 2 dim.132x120 cm izrađen od lakiranog drveta (šper, iverala, puno drvo ili slično) sa sensornim aplikacijama, labirintima i drvećem sa različitim taktilnim materijalima. Zid se sastoji od stabla sa uključenim labirintima 2 kom, ogledalom, bubnjem i aplikacijama trave i gljive.</t>
  </si>
  <si>
    <t>Garnitura za sjedenje (stol+2 stolice) izrađena od drveta (šper, iverala, puno drvo ili slično) s bijelim rubovima. Stolice dim.: 53,5 x 26 x 26,5 cm, visina sjedala: 26 cm. Stol dim. 48,5 x 56 x 52 cm</t>
  </si>
  <si>
    <t>Ogradica labirint. Izrađena od drveta (šper, iverala, puno drvo ili slično) dim. 87 x 24 x 26 cm. Sadrži tri aktivnosti različitih bairinta (krivulja, zakrivljena crta i val.</t>
  </si>
  <si>
    <t>Ogradica rotirajući oblici. Izrađena od brezine oplemenjene iverice dim. 87x24x62 cm. Sadrži okretne geometrijske oblike od plexiglasa.</t>
  </si>
  <si>
    <t>Ogradica vrata. Izrađena od brezine oplemenjene iverice dim. 100x24x106 cm. Sadrži crvenu aplikaciju zavjesicu.</t>
  </si>
  <si>
    <t>PULT ZA PREMATANJE sa stepenicama, izrađen iz drveta (šper, iverala, puno drvo ili slično) 18 mm. Elementi postavljeni na  metalnim nogicama 4/4x10 cm._x000D_Ukupna dimenzija pulta 120x60x90 cm_x000D_.U slobodnom prostoru ispod plohe za prematanje 12 otvorenih pretinaca za pelene. _x000D_U stavci uključeno:_x000D_ element sa stepenicama, dim. 500x700x750 mm, ukupno 4 stepnice  presvučene spužvom i eko kožom.</t>
  </si>
  <si>
    <t>GARDEROBNI ORMARIĆI izrađeni iz drveta (šper, iverala, puno drvo ili slično) 18 mm obostrano furnirani brezovim furnirom, vrata ormarića od medijapana u različitim bojama sa po 2 otvora za zračenje i otvaranje promjera 40 mm metalna u boji. Garderobe se postavljaju na metalne četvrtaste nogice 40x40x100 mm, unutar ormarića gornja i donja polica te kuka za vješanje odjeće. Ormarić se sastoji od 4 kabine ukupne dim. 30x40x120 cm</t>
  </si>
  <si>
    <t>KLUPICA izrađena iz drveta (šper, iverala, puno drvo ili slično) 18 mm sa poprečnom podkonstrukcijom ispod sjedišta dim. 105x40xh=32 cm</t>
  </si>
  <si>
    <t>ELEMENT S 3 POLICE I PUNIM VRATIMA I BRAVICOM, izrađen od drveta (šper, iverala, puno drvo ili slično) d=18 mm,  furnirane obostrano brezovim furnirom, lakirane bezbojnim lakom, drvo za unutarnju upotrebu bez vodootpornog ljepila,kvalitete B/BB, na kotačima visine 10 cm načinjenim od čelika i obloženim gumom, s mogućnošću okretanja u svim smjerovima i potpunog kočenja. Rubovi zaobljeni r=2 mm. Dim. elementa 80x40x120 cm</t>
  </si>
  <si>
    <t>Dobava i postava tipske klupe bez naslona "C" oblika s dvije pune vertikalne i jednom horizontalnom plohom, ravnih rubova, i sjedištem od drvenih letvica postavljenih na horizontalnu betonsku ploču, veličine max. 200x55x45 cm. Tip klupe, materijal, završnu obradu i boju odabrati će investitor temeljem ponuđenih uzoraka. Obračun po komadu postavljene klupe.</t>
  </si>
  <si>
    <t>Dobava i postava fontane za piće od pocinčanog i plastificiranog čelika, s jednom pipom za piće i sabirnom rešetkom od lijevanog željeza na tlu, jednostavnog oblika "stupa", kvadratnog ili okruglog presjeka. Učvršćava se vijcima u podlogu. U cijenu uključeno izvođenje podloge od mršavog betona, po potrebi, te sav osnovni i dodatni materijal i rad, do potpune upotrebljivosti. Obračun po komadu.</t>
  </si>
  <si>
    <t>Dobava i postava samostojeće vješalice; konstrukcija iz punog drva.</t>
  </si>
  <si>
    <t>Konferencijski stol dim. 150x100x75 cm. Radna ploča stola izrađena od iverala debljine 36 mm. Rubovi kantirani ABS rubnom trakom debljine 2 mm. Metalne noge izrađene od profila 60×30 mm, plastificirana u boji po izboru investitora, te povezana parom plastificiranih metalnih konzola. Visina stola može se nivelirati pomoću ugrađenih nožica za nivelaciju.</t>
  </si>
  <si>
    <t>STOLIĆ KVADRATNI konstrukcija od savinutog drveta (šper, iverala, puno drvo ili slično) bezbojni lak. Radna ploha iverica debljine 27 mm obostrano presvučena ultrapasom debljine 0,8 mm boja po izboru investitora, rub masiv bukva. Dim 90x90xh=53 cm</t>
  </si>
  <si>
    <t>STOL ZA ODGAJATELJA, sa jednom ladicom i bravicom konstrukcija od drveta (šper, iverala, puno drvo ili slično), bezbojni lak, debljina 27 mm, obostrano ultrapas debljine 0,8 mm, boja po izboru investitora, rub masiv bukva, s prednjom maskom, noge svijetla bukva, dim 90x50x76 cm</t>
  </si>
  <si>
    <t>GARNITURA ZA SJEDENJE DVOSJED dim. cca 58x140x60 cm
Izrađena od polivretanske spužve PP3060, min gustoće 24 kg/m3 presvučene mekanim polivinilom min deb 2,5 mm, boja po izboru investitora.</t>
  </si>
  <si>
    <t xml:space="preserve">Sofa dim.85x56,5x63 cm - spužvasti namještaj izrađen od poliuretana gustoće 25 kg/m³ presvučen eko-kožom, dva sjedeća mjesta, visina sjedalice h 34, boja po izboru investitora. </t>
  </si>
  <si>
    <t>STOLIĆ KVADRATNI konstrukcija od drveta (šper, iverala, puno drvo ili slično) bezbojni lak. Radna ploha iverica debljine 27 mm obostrano presvučena ultrapasom debljine 0,8 mm, boja po izboru investitora, rub masiv bukva. Dim 90x90xh=59 cm</t>
  </si>
  <si>
    <t xml:space="preserve">STOLIĆ POLUKRUŽNI, konstrukcija od drveta (šper, iverala, puno drvo ili slično) bezbojni lak. Radna ploha iverica debljine 27 mm obostrano presvučena ultrapasom debljine 0,8 mm boja boja po izboru investitora, rub masiv bukva. Dim. R=90 cm, h=59 cm. </t>
  </si>
  <si>
    <t>GARNITURA ZA SJEDENJE DVOSJED dimenzija cca 58x140x60 cm Izrađena od poliuretanske spužve PP3060, min gustoće 24 kg/m3 presvučene eko kožom, boja po izboru investitora.</t>
  </si>
  <si>
    <t>STOLIĆ ČETVRTASTI, konstrukcija od savinutog drveta (šper, iverala, puno drvo ili slično) bezbojni lak. Radna ploha iverica debljine 27 mm obostrano presvučena ultrapasom debljine 0,8 mm boja po izboru investitora. Rub masiv bukva.  
Dim 90x90xh=46 cm</t>
  </si>
  <si>
    <t>Fotelja dim.40x50,5x52,5 - spužvasti namještaj izrađen od poliuretana gustoće 25 kg/m³ presvučen skajem, dva sjedeća mjesta, visina sjedalice h 26,  boja po izboru investitora.</t>
  </si>
  <si>
    <t>Kutni element dim.58,5x50,5x52,5 cm - spužvasti namještaj izrađen od poliuretana gustoće 25 kg/m³ presvučen skajem, jedno sjedeće mjesto, visina sjedalice h 26,  boja po izboru investitora.</t>
  </si>
  <si>
    <t>Sofa dim.75x50,5x52,5 cm -  spužvasti namještaj izrađen od poliuretana gustoće 25 kg/m³ presvučen skajem, jedno sjedeće mjesto, visina sjedalice h 26,  boja po izboru investitora.</t>
  </si>
  <si>
    <t>STOLIĆ POLUKRUŽNI, konstrukcija od savinutog drveta (šper, iverala, puno drvo ili slično) bezbojni lak. Radna ploha iverica debljine 27 mm obostrano presvučena ultrapasom debljine 0,8 mm boja po izboru investitora, rub masiv bukva. Dim. R=90 cm, h=53 cm</t>
  </si>
  <si>
    <t>Ako se sprava kao tipski predgotovljeni proizvod izrađuje u pogonu specijalizirane stvrtke, na spravi mora biti utisnuta pločica sa deklaracijom proizvođača koja osigurava sljedivost sprave kao predgotovljenog proizvoda. Na pločici moraju biti istaknuti podaci o proizvođaču sprave, serijskom broju proizvodnje, te podaci o certifikatu  - broj certifikata i tvrtka koja ga je izdala. Također na spravi mora biti vidljivo istaknuto za koju dob djece je sprava predviđena. Za ugrađenu spravu proizvođač mora dati jamstveni rok sukladno važećim propisima.
Izvođač je dužan pri primopredaji radova priložiti specifikacijusvih originalnih rezervnih dijelova sprave.
Dopuštena su odstupanja u dimenzijama i težini od +/-10%, osim ako to ne narušava uporabljivost i sigurnost elementa.
Pri nuđenju zamjenskog igrala, uzorak ili detaljni prikaz odabranog igrala mora biti dostavljen investitoru na odobrenje.</t>
  </si>
  <si>
    <t>OPĆI UVJETI
Sva igrala moraju biti proizvedena sukladno važećim normama za dječja igrališta, te ponuđač za njih mora imati odgovarajuće ateste, uvjerenja o ispivanju.
TEHNIČKE KARAKTERISTIKE ZA ODREĐIVANJE JEDNAKOVRIJEDNOSTI PONUĐENOG PROIZVODA:
Svi sastavni elementi složenih igrala, po obliku, broju i tipu funkcionalnih jedinica, moraju biti ekvivalentni projektom predviđenom igralu. Svi upotrijebljeni materijali moraju biti iste kvalitete, kvalitete izvedbe, ugradnje i završne obrade, uključivo pomoćna i vezna sredsta, sve u skladu s odgovarajućim hrvatskim normama i propisima, te pravilima struke. Dimenzije same sprave, zona slobodnog pada, upotrijebljeni materijali  i način temeljenja moju biti istovjetni projektom predviđenima.</t>
  </si>
  <si>
    <t>Ponuditelj treba dokazati sukladnost opreme sa važećim normama i zakonskim propisima:</t>
  </si>
  <si>
    <t>Izrada izvedbenog projekta</t>
  </si>
  <si>
    <t>Nabava, transport, priprema i izvedba lijevane podne sigurnosne površine za i oko igrališta prema specifikacijama boja i ornamentima prema izboru investitora. Ukupna debljina dvoslojne lijevane gumene obloge iznosi 45mm. Na predhodno izrađenu betonsku podlogu, postavlja se osnovni gumeni sloj minimalne debljine od 35 mm granulacije 12 mm (mješavina elastičnog granulata u omjeru 50% SBR granulata i 50% EPDM granulata i PU veziva). Nakon razastiranja i zbijanja istog te oblikovanja i ugradnje tematskih ornamenata ("školica" dim. 100 x 300 cm), ugrađuje se završni sloj granulacije 3-4 mm, debljine 10 mm (mješavina EPDM granulata u 5 različitih nijansi u jednakom omjeru iz standardne palete prizvođača - boje - crvena, plava, zelena, narančasta, ljubičasta i PU veziva) uz valjanje i preciznu obradu rubova. Završni sloj mora biti UV stabilan, protuklizan, otporan na istezanje, abraziju i požar. Proizvod treba posjedovati certifikat usklađen sa EN1177:2008 ili jednakovrijedno.
Certificirana HIC vrijednost visine slobodnog pada iznosi 1,5 m.
Obračun po m2 postavljene antitraumatske podloge.</t>
  </si>
  <si>
    <t>Izrada, dopremanje i ugradnja zaokretnih, jednodijelnih metalnih vrata, na pješačkom ulazu na parcelu. Vrata se ugrađuju između nosivih čeličnih stupova, postavljenih na prethodno izvedene AB temeljne stope. Pješački ulaz je horizontalan, te se vrata izvode u horizontalnoj ravnini. Okvirna konstrukcija će se izvesti od čeličnih profila sandučastog presjeka prema zahtjevima proračuna, a ispuna se izvodi od vertikalnih čeličnih šipki manjeg presjeka, na osnom razmaku od max. 130mm. U cijenu stavke uključiti sav rad i materijal potreban za izvedbu i ugradnju vrata, sve do konačne gotovosti, uključivo brave s ključem, kvake, sve potrebno za daljinsko otvaranje i sl. Sve čelične elemente obraditi protiv hrđe pocinčavanjem, te bojati u ton i boju RAL 7016. U stavku su uključena sva osnovna i pomoćna sredstva, rad i transport, sve do potpune gotovosti proizvoda, uključivo i izrada radioničkih nacrta koje, zajedno s uzorcima, obavezno treba dati na odobrenje projektantu. Obračun po komadu gotovog proizvoda.</t>
  </si>
  <si>
    <t>Izrada, dopremanje i ugradnja zaokretnih, dvodijelnih metalnih vrata, na pješačkom ulazu na parcelu. Vrata se ugrađuju između nosivih čeličnih stupova, postavljenih na prethodno izvedene AB temeljne stope. Pješački ulaz je horizontalan, te se vrata izvode u horizontalnoj ravnini. Okvirna konstrukcija će se izvesti od čeličnih profila sandučastog presjeka prema zahtjevima proračuna, a ispuna se izvodi od vertikalnih čeličnih šipki manjeg presjeka, na osnom razmaku od max. 130mm. U cijenu stavke uključiti sav rad i materijal potreban za izvedbu i ugradnju vrata, sve do konačne gotovosti, uključivo brave  s ključem, kvake, sve potrebno za daljinsko otvaranje i sl. Sve čelične elemente obraditi protiv hrđe pocinčavanjem, te bojati u ton i boju RAL 7016. U stavku su uključena sva osnovna i pomoćna sredstva, rad i transport, sve do potpune gotovosti proizvoda, uključivo i izrada radioničkih nacrta koje, zajedno s uzorcima, obavezno treba dati na odobrenje projektantu. Obračun po komadu gotovog proizvoda.</t>
  </si>
  <si>
    <t xml:space="preserve">Dobava materijala, transport i betoniranje krovnih ravnih AB  ploča  sa i bez konzolnog   prepusta na  krajevima sa uključenim pripadnim gredama ispod ili iznad ploče. Izvesti sa betonom srednjeg presjeka ( d= 20 cm) C25/30. Ploče izvesti   bez  neravnina  i  gnijezda. Prilikom betoniranja ugraditi sve elemente predviđene za ugradbu (prodori kroz ploču, ventilacijski otvori i sl.) Visina podupiranja  do max. 7,0  m.  Ploče armirati prema statičkom računu i planu armature sa armaturom kvalitete B500B. Zaštitni sloj betona prema armaturi izvesti prema statičkom izračunu i uvjetima djelovanja okoline-XC1. Svi distanceri i držači armature u cijeni. Izvedbu uskladiti sa betoniranjem osnovne nosive AB konstrukcije zidova, stupova i greda. Obračun  za kompletan rad i  materijal iz  opisa po m3 ugrađenog betona, m2 oplate. </t>
  </si>
  <si>
    <t>Betoniranje armirano betonskih stupova i vertikalnih serklaža u glatkoj oplati završno spremno za soboslikarsku obradu ili keramičarske radove, betonom klase C25/30 pripremljenim u betonari. Stupovi su sastavni djelovi strukture nosivie konstrukcije. Betoniranje stupova izvesti sukladno Programu kontrole i kvalitete, u pripremljenu četverostranu glatku oplatu uz obavezno pervibriranje. U oplati zida predvidjeti sva oslabljenja i otvore, te ugraditi sve potrebne instalacije. Razred čvrstoće betona C25/30. Razred izloženosti XC2. Razred konzistencije S3. Razred sadržaja klorida Cl 0.2. Razred maksimalnog zrna agregata Dmax16. Cijena stavke uključuje nabavu i dopremu na gradilište betona klase C25/30, spravljenog u betonari, te sav potreban osnovni i pomoćni materijal, te rad ljudi i strojeva pri ugradnji.</t>
  </si>
  <si>
    <t>Betoniranje armirano betonskih greda, nadvoja i horizontalnih serklaža u glatkoj oplati završno spremno za soboslikarsku obradu ili keramičarske radove, betonom klase C25/30 pripremljenim u betonari. Grede su sastavni djelovi strukture nosive konstrukcije. Betoniranje greda izvesti sukladno Programu kontrole i kvalitete, u pripremljenu trostranu glatku oplatu uz obavezno pervibriranje. U oplati zida predvidjeti sva oslabljenja i otvore, te ugraditi sve potrebne instalacije. Razred čvrstoće betona C25/30. Razred izloženosti XC2. Razred konzistencije    S3. Razred sadržaja klorida Cl 0.2. Razred maksimalnog zrna agregata Dmax16. Nakon ugradnje betona potrebno je obavezno njegovati beton sukladno Programu kontriole i kvalitete. Cijena stavke uključuje nabavu i dopremu na gradilište betona klase C25/30, spravljenog u betonari, te sav potreban osnovni i pomoćni materijal, te rad ljudi i strojeva pri ugradnji.</t>
  </si>
  <si>
    <t>Dobava materijala, transport i betoniranje AB stubišta betonom C25/30 u potrebnoj   glatkoj oplati. Ploče izvesti   bez  neravnina  i  gnijezda. Stubište armirati prema statičkom računu i planu armature sa armaturom kvalitete B500B. Zaštitni sloj betona prema armaturi izvesti prema statičkom izračunu i uvjetima djelovanja okoline XC2. Svi distanceri i držači armature u cijeni. Izvedbu uskladiti sa betoniranjem osnovne nosive AB konstrukcije zidova, stupova i greda. Obračun  za kompletan rad i  materijal iz  opisa po m3 ugrađenog betona, m2 oplate. 
U cijenu je uključena dobava i ugradba betona, njega betona, te dobava i postava oplate,  uključujuću skidanje i čišćenje oplate, dobava i ugradnja armature.</t>
  </si>
  <si>
    <t>Betoniranje podne ploče debljine 12 cm dječjih igrališta, betonom klase C25/30. Ploča na tlu izvodi se na podlozi od zaštitnog sloja betona. Ugradnju betona potrebno je izvesti sukladno Programu kontrole i kvalitete, uz obavezno pervibriranje sa završnim finim niveliranjem svježe ugrađenog betona. U ploču, prije betoniranja, potrebno je ugraditi sve potrebne instalacije. Nakon ugradnje betona potrebno je obavezno njegovati beton sukladno Programu kontrole i kvalitete. Razred čvrstoće betona C25/30. Razred izloženosti XC2. Razred konzistencije S3. Razred sadržaja klorida Cl 0.2. Razred maksimalnog zrna agregata Dmax32. Cijena stavke uključuje nabavu i dopremu na gradilište betona klase C25/30, spravljenog u betonari; dobavu, izradu, siječenje, savijanje, postavu i vezivanje armature, sve prema statičkom računu i nacrtima savijanja armature, te sav potreban osnovni i pomoćni materijal, te rad ljudi i strojeva pri ugradnji. Obračun po m2 oplate i m3 ugrađenog betona.</t>
  </si>
  <si>
    <t xml:space="preserve">puna jednokrilna zaokretna vrata dim 90*210 cm
Izrada, dobava i ugradnja jednokrilnih punih vrata bijele boje. 
Vrata antibakterijska za prostore sa visokim stupnjem higijene. Ispuna puni aluminijski panel. Okov u boji stolarije, uključuje standardnu cilindričnu bravu, nadgradne pante sa uređajem za samozatvaranje, komplet do funkcionalne gotovosti. Ostalo kao uvodna napomena. </t>
  </si>
  <si>
    <t xml:space="preserve">puna jednokrilna vrata dim 100*210 cm
Izrada, dobava i ugradnja jednokrilnih punih vrata bijele boje. 
Vrata antibakterijska za prostore sa visokim stupnjem higijene. Ispuna puni aluminijski panel. Okov u boji stolarije, uključuje standardnu cilindričnu bravu, nadgradne pante sa uređajem za samozatvaranje, komplet do funkcionalne gotovosti. Ostalo kao uvodna napomena. </t>
  </si>
  <si>
    <t xml:space="preserve">puna jednokrilna klizna vrata dim 110*210 cm
Izrada, dobava i ugradnja jednokrilnih punih kliznih vrata bijele boje. Vrata antibakterijska za prostore sa visokim stupnjem higijene. Ispuna puni aluminijski panel. Okov u boji stolarije, uključuje standardnu cilindričnu bravu, nadgradni klizni okov sa uređajem za samozatvaranje, komplet do funkcionalne gotovosti. Ostalo kao uvodna napomena. </t>
  </si>
  <si>
    <t>Dozvoljeno odstupanje u dimenzijama: ±10% za opremu koja se nabavlja kao gotov proizvod.</t>
  </si>
  <si>
    <t>Metalni garderobni ormarić - dvodijelni  "(dva ormarića u ""Z"" rasporedu prostora)" dim. 40x50x185 cm.)</t>
  </si>
  <si>
    <t xml:space="preserve">Dobava materijala, transport i betoniranje   AB   trakastih temelja objekta poprečnog presjeka 60x50 cm, 80x50 cm 130x50 cm, 150x50 cm, 195x50 cm, u potrebnoj   oplati Izvesti   betonom C25/30 sa maximalnim V/C faktorom 0,6 ,    sa  dodatkom  za vodonepropusnost kvalitete VDP 2.   Beton srednjeg   presjeka,  armirati  sa  armaturom kvalitete B500B. Svi distanceri i držači armature u cijeni. Zaštitni sloj betona prema armaturi izvesti prema statičkom izračunu i uvjetima djelovanja okoline-XC2 ( vlažna okolina rijeđe suha ).  Obračun  za kompletan rad i  materijal iz  opisa po m3 ugrađenog betona, m2 oplate. U cijenu je uključena dobava i ugradba betona, njega betona, te dobava i postava oplate,  uključujuću skidanje i čišćenje oplate, a sve prema pravilima struke. </t>
  </si>
  <si>
    <t xml:space="preserve">Dobava materijala, transport i betoniranje   AB  podne ploče prizemlja debljine 15 cm, u potrebnoj   oplati Izvesti   betonom C25/30 sa maximalnim V/C faktorom 0,6 ,    sa  dodatkom  za vodonepropusnost kvalitete VDP 2. Ploče se izvode ravne ili u padu prema planu oplate.  Beton srednjeg   presjeka,  armirati  sa  armaturom kvalitete B500B. Svi distanceri i držači armature u cijeni. Zaštitni sloj betona prema armaturi izvesti prema statičkom izračunu i uvjetima djelovanja okoline-XC2 ( vlažna okolina rijeđe suha ).  Obračun  za kompletan rad i  materijal iz  opisa po m3 ugrađenog betona, m2 oplate. U cijenu je uključena dobava i ugradba betona, njega betona, te dobava i postava oplate,  uključujuću skidanje i čišćenje oplate, a sve prema pravilima struke. </t>
  </si>
  <si>
    <t>Betoniranje armirano betonskih nadtemeljnih zidova u dvostranoj glatkoj oplati,  debljine 20-25 cm, betonom C25/30 sa maximalnim V/C faktorom 0,6 ,    sa  dodatkom  za vodonepropusnost kvalitete VDP 2. Beton srednjeg   presjeka,  armirati  sa  armaturom kvalitete B500B. Svi distanceri i držači armature u cijeni. Zaštitni sloj betona prema armaturi izvesti prema statičkom izračunu i uvjetima djelovanja okoline-XC2 ( vlažna okolina rijeđe suha ). Betoniranje zidova izvesti sukladno Programu kontrole i kvalitete, u pripremljenu dvostranu glatku oplatu uz obavezno pervibriranje. U oplati zida predvidjeti sva oslabljenja i otvore, te ugraditi sve potrebne instalacije. Razred konzistencije S3. Razred sadržaja klorida Cl 0.2. Razred maksimalnog zrna agregata Dmax16. Nakon ugradnje betona potrebno je obavezno njegovati beton sukladno Programu kontrole i kvalitete. Cijena stavke uključuje nabavu i dopremu na gradilište betona klase C25/30, spravljenog u betonari, te sav potreban osnovni i pomoćni materijal, te rad ljudi i strojeva pri ugradnji.</t>
  </si>
  <si>
    <t>POKRIVAČ štepani za ležaljku iz st. 4.</t>
  </si>
  <si>
    <t>NAVLAKA za štepani pokrivač za ležaljku iz st. 4.</t>
  </si>
  <si>
    <t>PLITICA plastična duboka 38x31,5x15 cm za element iz stavke 10.</t>
  </si>
  <si>
    <t>PLITICA plastična plitka 38x31,5x7,5 cm za element iz stavke 10.</t>
  </si>
  <si>
    <t>POKRIVAČ štepani za ležaljku iz st. 1</t>
  </si>
  <si>
    <t>NAVLAKA za štepani pokrivač za ležaljku iz st. 1</t>
  </si>
  <si>
    <t>Plitica duboka 38x31,5x15 cm zelena za element iz stavke 12.</t>
  </si>
  <si>
    <t>Plitica plitka 38x31,5x7,5 cm svjetlo zelena za element iz stavke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</si>
</sst>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 #,##0.00\ &quot;€&quot;_-;\-* #,##0.00\ &quot;€&quot;_-;_-* &quot;-&quot;??\ &quot;€&quot;_-;_-@_-"/>
    <numFmt numFmtId="165" formatCode="_-* #,##0.00\ _k_n_-;\-* #,##0.00\ _k_n_-;_-* &quot;-&quot;??\ _k_n_-;_-@_-"/>
    <numFmt numFmtId="166" formatCode="_(* #,##0.00_);_(* \(#,##0.00\);_(* &quot;-&quot;??_);_(@_)"/>
    <numFmt numFmtId="167" formatCode="_(* #,##0.00_);_(* \(#,##0.00\);_(* \-??_);_(@_)"/>
    <numFmt numFmtId="168" formatCode="#,##0.00\ _k_n"/>
    <numFmt numFmtId="169" formatCode="#,##0.00&quot; kn&quot;"/>
    <numFmt numFmtId="170" formatCode="0\."/>
    <numFmt numFmtId="171" formatCode="00&quot;. &quot;"/>
    <numFmt numFmtId="172" formatCode="#.##000"/>
    <numFmt numFmtId="173" formatCode="#,##0.00\ &quot;kn&quot;"/>
    <numFmt numFmtId="174" formatCode="#,##0.00_ ;[Red]\-#,##0.00\ "/>
    <numFmt numFmtId="175" formatCode="General_)"/>
    <numFmt numFmtId="176" formatCode="#,##0.00\ [$€-41A]"/>
    <numFmt numFmtId="177" formatCode="_-* #,##0.00\ [$€-1]_-;\-* #,##0.00\ [$€-1]_-;_-* &quot;-&quot;??\ [$€-1]_-;_-@_-"/>
    <numFmt numFmtId="178" formatCode="d/m/;@"/>
    <numFmt numFmtId="179" formatCode="000&quot;. &quot;"/>
    <numFmt numFmtId="180" formatCode="#,##0.00\ [$€-1]"/>
  </numFmts>
  <fonts count="129">
    <font>
      <sz val="10"/>
      <name val="Arial"/>
      <family val="2"/>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10"/>
      <name val="Arial"/>
      <family val="2"/>
    </font>
    <font>
      <sz val="10"/>
      <name val="Arial"/>
      <family val="2"/>
    </font>
    <font>
      <sz val="9"/>
      <name val="Arial"/>
      <family val="2"/>
    </font>
    <font>
      <b/>
      <sz val="9"/>
      <name val="Arial"/>
      <family val="2"/>
    </font>
    <font>
      <sz val="10"/>
      <name val="Arial CE"/>
      <family val="2"/>
      <charset val="238"/>
    </font>
    <font>
      <sz val="10"/>
      <name val="Arial CE"/>
      <charset val="238"/>
    </font>
    <font>
      <sz val="10"/>
      <name val="Helv"/>
    </font>
    <font>
      <sz val="10"/>
      <name val="CRO_Swiss_Con-Normal"/>
      <charset val="238"/>
    </font>
    <font>
      <sz val="11"/>
      <color rgb="FF000000"/>
      <name val="Calibri"/>
      <family val="2"/>
    </font>
    <font>
      <b/>
      <sz val="14"/>
      <name val="Arial"/>
      <family val="2"/>
    </font>
    <font>
      <sz val="11"/>
      <color rgb="FF000000"/>
      <name val="Calibri"/>
      <family val="2"/>
      <charset val="238"/>
    </font>
    <font>
      <i/>
      <sz val="11"/>
      <color indexed="23"/>
      <name val="Calibri"/>
      <family val="2"/>
    </font>
    <font>
      <b/>
      <sz val="12"/>
      <name val="Arial"/>
      <family val="2"/>
    </font>
    <font>
      <b/>
      <sz val="16"/>
      <name val="Arial"/>
      <family val="2"/>
    </font>
    <font>
      <sz val="11"/>
      <name val="Arial"/>
      <family val="2"/>
    </font>
    <font>
      <b/>
      <sz val="11"/>
      <name val="Arial"/>
      <family val="2"/>
    </font>
    <font>
      <sz val="8"/>
      <name val="Arial"/>
      <family val="2"/>
    </font>
    <font>
      <sz val="9"/>
      <color indexed="10"/>
      <name val="Arial"/>
      <family val="2"/>
    </font>
    <font>
      <u/>
      <sz val="9"/>
      <name val="Arial"/>
      <family val="2"/>
    </font>
    <font>
      <b/>
      <u/>
      <sz val="9"/>
      <name val="Arial"/>
      <family val="2"/>
    </font>
    <font>
      <vertAlign val="superscript"/>
      <sz val="9"/>
      <name val="Arial"/>
      <family val="2"/>
    </font>
    <font>
      <b/>
      <sz val="9"/>
      <color rgb="FFFF0000"/>
      <name val="Arial"/>
      <family val="2"/>
    </font>
    <font>
      <u/>
      <sz val="9"/>
      <color indexed="10"/>
      <name val="Arial"/>
      <family val="2"/>
    </font>
    <font>
      <sz val="9"/>
      <color rgb="FFFF0000"/>
      <name val="Arial"/>
      <family val="2"/>
    </font>
    <font>
      <b/>
      <sz val="9"/>
      <color indexed="8"/>
      <name val="Arial"/>
      <family val="2"/>
    </font>
    <font>
      <sz val="8.1"/>
      <name val="Arial"/>
      <family val="2"/>
    </font>
    <font>
      <b/>
      <sz val="9"/>
      <color indexed="10"/>
      <name val="Arial"/>
      <family val="2"/>
    </font>
    <font>
      <sz val="10"/>
      <name val="Calibri"/>
      <family val="2"/>
      <charset val="238"/>
      <scheme val="minor"/>
    </font>
    <font>
      <b/>
      <sz val="9"/>
      <name val="Arial"/>
      <family val="2"/>
      <charset val="238"/>
    </font>
    <font>
      <sz val="12"/>
      <name val="Arial"/>
      <family val="2"/>
    </font>
    <font>
      <sz val="11"/>
      <color theme="1"/>
      <name val="Arial"/>
      <family val="2"/>
      <charset val="238"/>
    </font>
    <font>
      <sz val="9"/>
      <name val="Arial"/>
      <family val="2"/>
      <charset val="238"/>
    </font>
    <font>
      <sz val="8"/>
      <name val="Arial"/>
      <family val="2"/>
      <charset val="238"/>
    </font>
    <font>
      <b/>
      <sz val="9"/>
      <name val="Calibri"/>
      <family val="2"/>
      <charset val="238"/>
    </font>
    <font>
      <sz val="11"/>
      <name val="Arial"/>
      <family val="2"/>
      <charset val="238"/>
    </font>
    <font>
      <sz val="9"/>
      <color theme="1"/>
      <name val="Arial"/>
      <family val="2"/>
      <charset val="238"/>
    </font>
    <font>
      <sz val="9"/>
      <color indexed="8"/>
      <name val="Arial"/>
      <family val="2"/>
      <charset val="238"/>
    </font>
    <font>
      <b/>
      <sz val="9"/>
      <color theme="1"/>
      <name val="Arial"/>
      <family val="2"/>
      <charset val="238"/>
    </font>
    <font>
      <vertAlign val="subscript"/>
      <sz val="9"/>
      <name val="Arial"/>
      <family val="2"/>
    </font>
    <font>
      <sz val="10"/>
      <name val="Arial"/>
      <charset val="238"/>
    </font>
    <font>
      <b/>
      <sz val="10"/>
      <name val="Calibri"/>
      <family val="2"/>
      <charset val="238"/>
      <scheme val="minor"/>
    </font>
    <font>
      <sz val="10"/>
      <color theme="1"/>
      <name val="Calibri"/>
      <family val="2"/>
      <charset val="238"/>
      <scheme val="minor"/>
    </font>
    <font>
      <sz val="10"/>
      <color rgb="FFFF0000"/>
      <name val="Calibri"/>
      <family val="2"/>
      <charset val="238"/>
      <scheme val="minor"/>
    </font>
    <font>
      <b/>
      <sz val="10"/>
      <color theme="1"/>
      <name val="Calibri"/>
      <family val="2"/>
      <charset val="238"/>
      <scheme val="minor"/>
    </font>
    <font>
      <sz val="12"/>
      <name val="Arial CE"/>
      <charset val="238"/>
    </font>
    <font>
      <sz val="8"/>
      <name val="Arial CE"/>
      <family val="2"/>
      <charset val="238"/>
    </font>
    <font>
      <sz val="8"/>
      <name val="Calibri"/>
      <family val="2"/>
      <charset val="238"/>
      <scheme val="minor"/>
    </font>
    <font>
      <sz val="9"/>
      <name val="Calibri"/>
      <family val="2"/>
      <charset val="238"/>
      <scheme val="minor"/>
    </font>
    <font>
      <b/>
      <sz val="11"/>
      <color theme="1"/>
      <name val="Calibri"/>
      <family val="2"/>
      <charset val="238"/>
      <scheme val="minor"/>
    </font>
    <font>
      <sz val="10"/>
      <name val="Arial Narrow"/>
      <family val="2"/>
      <charset val="238"/>
    </font>
    <font>
      <sz val="8"/>
      <name val="Segoe UI"/>
      <family val="2"/>
      <charset val="238"/>
    </font>
    <font>
      <sz val="8"/>
      <color theme="1"/>
      <name val="Segoe UI"/>
      <family val="2"/>
      <charset val="238"/>
    </font>
    <font>
      <u/>
      <sz val="10"/>
      <color indexed="12"/>
      <name val="Arial"/>
      <family val="2"/>
      <charset val="238"/>
    </font>
    <font>
      <b/>
      <sz val="12"/>
      <color theme="1"/>
      <name val="Segoe UI"/>
      <family val="2"/>
      <charset val="238"/>
    </font>
    <font>
      <sz val="10"/>
      <name val="Segoe UI"/>
      <family val="2"/>
      <charset val="238"/>
    </font>
    <font>
      <b/>
      <sz val="10"/>
      <name val="Segoe UI"/>
      <family val="2"/>
      <charset val="238"/>
    </font>
    <font>
      <sz val="20"/>
      <color rgb="FF0070C0"/>
      <name val="Segoe UI"/>
      <family val="2"/>
      <charset val="238"/>
    </font>
    <font>
      <b/>
      <sz val="20"/>
      <color indexed="30"/>
      <name val="Segoe UI"/>
      <family val="2"/>
      <charset val="238"/>
    </font>
    <font>
      <sz val="20"/>
      <color indexed="30"/>
      <name val="Segoe UI"/>
      <family val="2"/>
      <charset val="238"/>
    </font>
    <font>
      <sz val="10"/>
      <color rgb="FF000000"/>
      <name val="Arial"/>
      <family val="2"/>
      <charset val="238"/>
    </font>
    <font>
      <b/>
      <sz val="8"/>
      <name val="Segoe UI"/>
      <family val="2"/>
      <charset val="238"/>
    </font>
    <font>
      <sz val="11"/>
      <color rgb="FF000000"/>
      <name val="Arial"/>
      <family val="2"/>
      <charset val="238"/>
    </font>
    <font>
      <sz val="8"/>
      <color indexed="10"/>
      <name val="Segoe UI"/>
      <family val="2"/>
      <charset val="238"/>
    </font>
    <font>
      <i/>
      <sz val="8"/>
      <name val="Segoe UI"/>
      <family val="2"/>
      <charset val="238"/>
    </font>
    <font>
      <sz val="11"/>
      <name val="Calibri"/>
      <family val="2"/>
      <charset val="238"/>
      <scheme val="minor"/>
    </font>
    <font>
      <b/>
      <sz val="11"/>
      <name val="Calibri"/>
      <family val="2"/>
      <scheme val="minor"/>
    </font>
    <font>
      <b/>
      <sz val="7"/>
      <name val="Calibri"/>
      <family val="2"/>
      <scheme val="minor"/>
    </font>
    <font>
      <b/>
      <sz val="8"/>
      <name val="Calibri"/>
      <family val="2"/>
      <scheme val="minor"/>
    </font>
    <font>
      <b/>
      <sz val="11"/>
      <name val="Calibri"/>
      <family val="2"/>
      <charset val="238"/>
      <scheme val="minor"/>
    </font>
    <font>
      <b/>
      <sz val="11"/>
      <color theme="1"/>
      <name val="Calibri"/>
      <family val="2"/>
      <scheme val="minor"/>
    </font>
    <font>
      <vertAlign val="superscript"/>
      <sz val="11"/>
      <name val="Calibri"/>
      <family val="2"/>
      <charset val="238"/>
    </font>
    <font>
      <vertAlign val="superscript"/>
      <sz val="11"/>
      <color theme="1"/>
      <name val="Calibri"/>
      <family val="2"/>
      <charset val="238"/>
    </font>
    <font>
      <sz val="11"/>
      <name val="Calibri"/>
      <family val="2"/>
      <scheme val="minor"/>
    </font>
    <font>
      <sz val="11"/>
      <color theme="1"/>
      <name val="Calibri"/>
      <family val="2"/>
      <scheme val="minor"/>
    </font>
    <font>
      <vertAlign val="superscript"/>
      <sz val="11"/>
      <color theme="1"/>
      <name val="Calibri"/>
      <family val="2"/>
      <scheme val="minor"/>
    </font>
    <font>
      <b/>
      <sz val="11"/>
      <name val="Calibri"/>
      <family val="2"/>
      <charset val="238"/>
    </font>
    <font>
      <sz val="11"/>
      <name val="Calibri"/>
      <family val="2"/>
      <charset val="238"/>
    </font>
    <font>
      <b/>
      <sz val="11"/>
      <color theme="1"/>
      <name val="Calibri"/>
      <family val="2"/>
      <charset val="238"/>
    </font>
    <font>
      <sz val="11"/>
      <color theme="1"/>
      <name val="Calibri"/>
      <family val="2"/>
      <charset val="238"/>
    </font>
    <font>
      <b/>
      <sz val="10"/>
      <color theme="1"/>
      <name val="Calibri"/>
      <family val="2"/>
      <scheme val="minor"/>
    </font>
    <font>
      <b/>
      <sz val="10"/>
      <name val="Arial Narrow"/>
      <family val="2"/>
    </font>
    <font>
      <sz val="10"/>
      <name val="Arial Narrow"/>
      <family val="2"/>
    </font>
    <font>
      <sz val="12"/>
      <name val="Tms Rmn"/>
    </font>
    <font>
      <vertAlign val="superscript"/>
      <sz val="10"/>
      <name val="Arial Narrow"/>
      <family val="2"/>
    </font>
    <font>
      <b/>
      <u/>
      <sz val="10"/>
      <name val="Arial Narrow"/>
      <family val="2"/>
    </font>
    <font>
      <b/>
      <sz val="11"/>
      <name val="Arial"/>
      <family val="2"/>
      <charset val="238"/>
    </font>
    <font>
      <b/>
      <sz val="20"/>
      <name val="Calibri"/>
      <family val="2"/>
      <charset val="238"/>
      <scheme val="minor"/>
    </font>
    <font>
      <sz val="10"/>
      <name val="Calibri"/>
      <family val="2"/>
      <scheme val="minor"/>
    </font>
    <font>
      <sz val="10"/>
      <name val="Calibri"/>
      <family val="2"/>
      <charset val="238"/>
    </font>
    <font>
      <sz val="9"/>
      <name val="Calibri"/>
      <family val="2"/>
      <charset val="238"/>
    </font>
    <font>
      <sz val="10"/>
      <color indexed="10"/>
      <name val="Calibri"/>
      <family val="2"/>
      <charset val="238"/>
    </font>
    <font>
      <sz val="11"/>
      <color rgb="FFFF0000"/>
      <name val="Calibri"/>
      <family val="2"/>
      <charset val="238"/>
      <scheme val="minor"/>
    </font>
    <font>
      <b/>
      <sz val="10"/>
      <name val="Arial CE"/>
      <family val="2"/>
      <charset val="238"/>
    </font>
    <font>
      <b/>
      <sz val="10"/>
      <name val="Arial CE"/>
      <charset val="238"/>
    </font>
    <font>
      <sz val="5"/>
      <name val="Arial CE"/>
      <family val="2"/>
      <charset val="238"/>
    </font>
    <font>
      <sz val="5"/>
      <name val="Arial"/>
      <family val="2"/>
    </font>
    <font>
      <sz val="5"/>
      <name val="Arial"/>
      <family val="2"/>
      <charset val="238"/>
    </font>
    <font>
      <b/>
      <sz val="3"/>
      <name val="Arial CE"/>
      <family val="2"/>
      <charset val="238"/>
    </font>
    <font>
      <sz val="3"/>
      <name val="Arial CE"/>
      <family val="2"/>
      <charset val="238"/>
    </font>
    <font>
      <sz val="3"/>
      <name val="Arial"/>
      <family val="2"/>
    </font>
    <font>
      <sz val="10"/>
      <color indexed="8"/>
      <name val="Arial"/>
      <family val="2"/>
    </font>
    <font>
      <sz val="10"/>
      <color indexed="8"/>
      <name val="Arial CE"/>
      <family val="2"/>
      <charset val="238"/>
    </font>
    <font>
      <b/>
      <sz val="5"/>
      <name val="Arial CE"/>
      <family val="2"/>
      <charset val="238"/>
    </font>
    <font>
      <sz val="5"/>
      <name val="Arial CE"/>
      <charset val="238"/>
    </font>
    <font>
      <b/>
      <sz val="3"/>
      <name val="Arial ce"/>
      <charset val="238"/>
    </font>
    <font>
      <sz val="3"/>
      <name val="Arial ce"/>
      <charset val="238"/>
    </font>
    <font>
      <vertAlign val="superscript"/>
      <sz val="10"/>
      <name val="Arial CE"/>
      <family val="2"/>
      <charset val="238"/>
    </font>
    <font>
      <vertAlign val="superscript"/>
      <sz val="10"/>
      <name val="Arial CE"/>
      <charset val="238"/>
    </font>
    <font>
      <sz val="10"/>
      <color rgb="FFFF0000"/>
      <name val="Arial CE"/>
      <charset val="238"/>
    </font>
    <font>
      <b/>
      <sz val="5"/>
      <name val="Arial CE"/>
      <charset val="238"/>
    </font>
    <font>
      <b/>
      <sz val="10"/>
      <name val="Arial CE"/>
      <family val="2"/>
    </font>
    <font>
      <sz val="10"/>
      <name val="Arial CE"/>
      <family val="2"/>
    </font>
    <font>
      <sz val="8"/>
      <color theme="1"/>
      <name val="Calibri"/>
      <family val="2"/>
      <charset val="238"/>
      <scheme val="minor"/>
    </font>
    <font>
      <vertAlign val="subscript"/>
      <sz val="11"/>
      <color indexed="8"/>
      <name val="Calibri"/>
      <family val="2"/>
      <charset val="238"/>
      <scheme val="minor"/>
    </font>
    <font>
      <sz val="11"/>
      <color indexed="8"/>
      <name val="Calibri"/>
      <family val="2"/>
      <charset val="238"/>
      <scheme val="minor"/>
    </font>
    <font>
      <sz val="12"/>
      <name val="Arial"/>
      <family val="2"/>
      <charset val="238"/>
    </font>
    <font>
      <b/>
      <sz val="11"/>
      <color indexed="8"/>
      <name val="Calibri"/>
      <family val="2"/>
      <charset val="238"/>
      <scheme val="minor"/>
    </font>
    <font>
      <vertAlign val="superscript"/>
      <sz val="11"/>
      <color indexed="8"/>
      <name val="Calibri"/>
      <family val="2"/>
      <charset val="238"/>
      <scheme val="minor"/>
    </font>
    <font>
      <vertAlign val="superscript"/>
      <sz val="11"/>
      <color theme="1"/>
      <name val="Calibri"/>
      <family val="2"/>
      <charset val="238"/>
      <scheme val="minor"/>
    </font>
    <font>
      <sz val="11"/>
      <color indexed="8"/>
      <name val="Calibri"/>
      <family val="2"/>
      <charset val="238"/>
    </font>
    <font>
      <sz val="11"/>
      <color indexed="8"/>
      <name val="Calibri"/>
      <family val="2"/>
    </font>
  </fonts>
  <fills count="11">
    <fill>
      <patternFill patternType="none"/>
    </fill>
    <fill>
      <patternFill patternType="gray125"/>
    </fill>
    <fill>
      <patternFill patternType="solid">
        <fgColor indexed="22"/>
        <bgColor indexed="31"/>
      </patternFill>
    </fill>
    <fill>
      <patternFill patternType="solid">
        <fgColor theme="9" tint="0.39997558519241921"/>
        <bgColor indexed="64"/>
      </patternFill>
    </fill>
    <fill>
      <patternFill patternType="solid">
        <fgColor indexed="26"/>
        <bgColor indexed="64"/>
      </patternFill>
    </fill>
    <fill>
      <patternFill patternType="solid">
        <fgColor theme="0" tint="-0.14999847407452621"/>
        <bgColor indexed="64"/>
      </patternFill>
    </fill>
    <fill>
      <patternFill patternType="solid">
        <fgColor indexed="9"/>
        <bgColor indexed="26"/>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92D050"/>
        <bgColor indexed="64"/>
      </patternFill>
    </fill>
  </fills>
  <borders count="28">
    <border>
      <left/>
      <right/>
      <top/>
      <bottom/>
      <diagonal/>
    </border>
    <border>
      <left/>
      <right/>
      <top/>
      <bottom style="medium">
        <color indexed="23"/>
      </bottom>
      <diagonal/>
    </border>
    <border>
      <left/>
      <right/>
      <top/>
      <bottom style="medium">
        <color indexed="8"/>
      </bottom>
      <diagonal/>
    </border>
    <border>
      <left style="thin">
        <color indexed="8"/>
      </left>
      <right/>
      <top style="double">
        <color indexed="8"/>
      </top>
      <bottom style="thin">
        <color indexed="8"/>
      </bottom>
      <diagonal/>
    </border>
    <border>
      <left/>
      <right/>
      <top style="double">
        <color indexed="8"/>
      </top>
      <bottom style="thin">
        <color indexed="8"/>
      </bottom>
      <diagonal/>
    </border>
    <border>
      <left/>
      <right style="thin">
        <color indexed="8"/>
      </right>
      <top style="double">
        <color indexed="8"/>
      </top>
      <bottom style="thin">
        <color indexed="8"/>
      </bottom>
      <diagonal/>
    </border>
    <border>
      <left/>
      <right/>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hair">
        <color indexed="64"/>
      </left>
      <right style="hair">
        <color indexed="64"/>
      </right>
      <top/>
      <bottom style="hair">
        <color indexed="64"/>
      </bottom>
      <diagonal/>
    </border>
    <border>
      <left/>
      <right/>
      <top style="hair">
        <color indexed="64"/>
      </top>
      <bottom/>
      <diagonal/>
    </border>
    <border>
      <left/>
      <right/>
      <top/>
      <bottom style="hair">
        <color indexed="64"/>
      </bottom>
      <diagonal/>
    </border>
    <border>
      <left style="hair">
        <color indexed="64"/>
      </left>
      <right/>
      <top/>
      <bottom style="hair">
        <color indexed="64"/>
      </bottom>
      <diagonal/>
    </border>
  </borders>
  <cellStyleXfs count="127">
    <xf numFmtId="0" fontId="0" fillId="0" borderId="0"/>
    <xf numFmtId="167" fontId="7" fillId="0" borderId="0" applyFill="0" applyBorder="0" applyAlignment="0" applyProtection="0"/>
    <xf numFmtId="0" fontId="7" fillId="0" borderId="0"/>
    <xf numFmtId="0" fontId="7" fillId="0" borderId="0"/>
    <xf numFmtId="0" fontId="7" fillId="0" borderId="0"/>
    <xf numFmtId="166" fontId="7" fillId="0" borderId="0" applyFont="0" applyFill="0" applyBorder="0" applyAlignment="0" applyProtection="0"/>
    <xf numFmtId="0" fontId="9" fillId="0" borderId="0"/>
    <xf numFmtId="0" fontId="7" fillId="0" borderId="0"/>
    <xf numFmtId="0" fontId="7" fillId="0" borderId="0"/>
    <xf numFmtId="0" fontId="14" fillId="0" borderId="0"/>
    <xf numFmtId="0" fontId="7" fillId="0" borderId="0"/>
    <xf numFmtId="0" fontId="15" fillId="0" borderId="0"/>
    <xf numFmtId="0" fontId="16" fillId="0" borderId="0"/>
    <xf numFmtId="0" fontId="18" fillId="0" borderId="0"/>
    <xf numFmtId="0" fontId="6" fillId="0" borderId="0"/>
    <xf numFmtId="165" fontId="6" fillId="0" borderId="0" applyFont="0" applyFill="0" applyBorder="0" applyAlignment="0" applyProtection="0"/>
    <xf numFmtId="0" fontId="14" fillId="0" borderId="0"/>
    <xf numFmtId="0" fontId="19" fillId="0" borderId="0" applyNumberFormat="0" applyFill="0" applyBorder="0" applyAlignment="0" applyProtection="0"/>
    <xf numFmtId="0" fontId="9" fillId="0" borderId="0"/>
    <xf numFmtId="175" fontId="37" fillId="0" borderId="0"/>
    <xf numFmtId="0" fontId="38" fillId="0" borderId="0"/>
    <xf numFmtId="0" fontId="13" fillId="0" borderId="0"/>
    <xf numFmtId="0" fontId="5" fillId="0" borderId="0"/>
    <xf numFmtId="165" fontId="5" fillId="0" borderId="0" applyFont="0" applyFill="0" applyBorder="0" applyAlignment="0" applyProtection="0"/>
    <xf numFmtId="0" fontId="42" fillId="0" borderId="0"/>
    <xf numFmtId="0" fontId="7" fillId="0" borderId="0"/>
    <xf numFmtId="0" fontId="47" fillId="0" borderId="0"/>
    <xf numFmtId="0" fontId="7" fillId="0" borderId="0"/>
    <xf numFmtId="43" fontId="7" fillId="0" borderId="0" applyFont="0" applyFill="0" applyBorder="0" applyAlignment="0" applyProtection="0"/>
    <xf numFmtId="0" fontId="7" fillId="0" borderId="0"/>
    <xf numFmtId="0" fontId="7" fillId="0" borderId="0"/>
    <xf numFmtId="0" fontId="52" fillId="0" borderId="0"/>
    <xf numFmtId="0" fontId="7" fillId="0" borderId="0"/>
    <xf numFmtId="0" fontId="60" fillId="0" borderId="0" applyNumberFormat="0" applyFill="0" applyBorder="0" applyAlignment="0" applyProtection="0"/>
    <xf numFmtId="0" fontId="67" fillId="0" borderId="0" applyNumberFormat="0" applyBorder="0" applyProtection="0"/>
    <xf numFmtId="0" fontId="69"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4"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173" fontId="90" fillId="0" borderId="0"/>
    <xf numFmtId="0" fontId="7" fillId="0" borderId="0" applyProtection="0"/>
    <xf numFmtId="164" fontId="7" fillId="0" borderId="0" applyFont="0" applyFill="0" applyBorder="0" applyAlignment="0" applyProtection="0"/>
    <xf numFmtId="0" fontId="4" fillId="0" borderId="0"/>
    <xf numFmtId="0" fontId="3" fillId="0" borderId="0"/>
    <xf numFmtId="0" fontId="123" fillId="0" borderId="0"/>
    <xf numFmtId="0" fontId="123" fillId="0" borderId="0"/>
    <xf numFmtId="0" fontId="14" fillId="0" borderId="0"/>
    <xf numFmtId="0" fontId="127" fillId="0" borderId="0"/>
    <xf numFmtId="0" fontId="128" fillId="0" borderId="0"/>
    <xf numFmtId="0" fontId="127" fillId="0" borderId="0"/>
    <xf numFmtId="0" fontId="127" fillId="0" borderId="0"/>
    <xf numFmtId="0" fontId="127" fillId="0" borderId="0"/>
    <xf numFmtId="0" fontId="9" fillId="0" borderId="0"/>
    <xf numFmtId="0" fontId="127" fillId="0" borderId="0"/>
    <xf numFmtId="0" fontId="7" fillId="0" borderId="0"/>
    <xf numFmtId="173" fontId="90" fillId="0" borderId="0"/>
    <xf numFmtId="0" fontId="7" fillId="0" borderId="0" applyProtection="0"/>
    <xf numFmtId="0" fontId="7" fillId="0" borderId="0"/>
    <xf numFmtId="165" fontId="7"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0" fontId="9" fillId="0" borderId="0"/>
    <xf numFmtId="0" fontId="2" fillId="0" borderId="0"/>
    <xf numFmtId="43" fontId="2" fillId="0" borderId="0" applyFont="0" applyFill="0" applyBorder="0" applyAlignment="0" applyProtection="0"/>
    <xf numFmtId="0" fontId="2" fillId="0" borderId="0"/>
    <xf numFmtId="0" fontId="2" fillId="0" borderId="0"/>
    <xf numFmtId="165" fontId="7" fillId="0" borderId="0" applyFont="0" applyFill="0" applyBorder="0" applyAlignment="0" applyProtection="0"/>
    <xf numFmtId="0" fontId="81" fillId="0" borderId="0"/>
  </cellStyleXfs>
  <cellXfs count="1152">
    <xf numFmtId="0" fontId="0" fillId="0" borderId="0" xfId="0"/>
    <xf numFmtId="0" fontId="8" fillId="0" borderId="0" xfId="0" applyFont="1" applyAlignment="1">
      <alignment horizontal="left" indent="15"/>
    </xf>
    <xf numFmtId="4" fontId="8" fillId="0" borderId="0" xfId="0" applyNumberFormat="1" applyFont="1" applyAlignment="1">
      <alignment horizontal="left" indent="15"/>
    </xf>
    <xf numFmtId="0" fontId="9" fillId="0" borderId="0" xfId="0" applyFont="1"/>
    <xf numFmtId="0" fontId="8" fillId="0" borderId="0" xfId="0" applyFont="1"/>
    <xf numFmtId="0" fontId="8" fillId="0" borderId="1" xfId="0" applyFont="1" applyBorder="1"/>
    <xf numFmtId="0" fontId="8" fillId="0" borderId="0" xfId="0" applyFont="1" applyAlignment="1">
      <alignment vertical="top"/>
    </xf>
    <xf numFmtId="0" fontId="9" fillId="0" borderId="0" xfId="0" applyFont="1" applyAlignment="1">
      <alignment horizontal="justify"/>
    </xf>
    <xf numFmtId="0" fontId="8" fillId="0" borderId="1" xfId="0" applyFont="1" applyBorder="1" applyAlignment="1">
      <alignment horizontal="left" indent="15"/>
    </xf>
    <xf numFmtId="0" fontId="21" fillId="0" borderId="0" xfId="0" applyFont="1"/>
    <xf numFmtId="0" fontId="22" fillId="0" borderId="0" xfId="0" applyFont="1"/>
    <xf numFmtId="0" fontId="23" fillId="0" borderId="2" xfId="0" applyFont="1" applyBorder="1" applyAlignment="1">
      <alignment horizontal="left" vertical="top"/>
    </xf>
    <xf numFmtId="2" fontId="23" fillId="0" borderId="2" xfId="0" applyNumberFormat="1" applyFont="1" applyBorder="1" applyAlignment="1">
      <alignment horizontal="left" vertical="top"/>
    </xf>
    <xf numFmtId="0" fontId="22" fillId="0" borderId="2" xfId="0" applyFont="1" applyBorder="1"/>
    <xf numFmtId="0" fontId="22" fillId="0" borderId="0" xfId="0" applyFont="1" applyAlignment="1">
      <alignment horizontal="left" vertical="top"/>
    </xf>
    <xf numFmtId="0" fontId="23" fillId="0" borderId="2" xfId="0" applyFont="1" applyBorder="1"/>
    <xf numFmtId="0" fontId="23" fillId="0" borderId="0" xfId="0" applyFont="1"/>
    <xf numFmtId="0" fontId="20" fillId="2" borderId="0" xfId="0" applyFont="1" applyFill="1" applyAlignment="1">
      <alignment horizontal="center" vertical="top"/>
    </xf>
    <xf numFmtId="0" fontId="17" fillId="2" borderId="0" xfId="0" applyFont="1" applyFill="1"/>
    <xf numFmtId="4" fontId="9" fillId="2" borderId="0" xfId="0" applyNumberFormat="1" applyFont="1" applyFill="1" applyAlignment="1">
      <alignment horizontal="left"/>
    </xf>
    <xf numFmtId="169" fontId="17" fillId="2" borderId="0" xfId="0" applyNumberFormat="1" applyFont="1" applyFill="1"/>
    <xf numFmtId="0" fontId="11" fillId="0" borderId="0" xfId="0" applyFont="1" applyAlignment="1">
      <alignment horizontal="left" vertical="top"/>
    </xf>
    <xf numFmtId="0" fontId="11" fillId="0" borderId="0" xfId="0" applyFont="1" applyAlignment="1">
      <alignment horizontal="justify" vertical="top"/>
    </xf>
    <xf numFmtId="0" fontId="11" fillId="0" borderId="0" xfId="0" applyFont="1" applyAlignment="1">
      <alignment horizontal="left" indent="15"/>
    </xf>
    <xf numFmtId="4" fontId="10" fillId="0" borderId="0" xfId="0" applyNumberFormat="1" applyFont="1"/>
    <xf numFmtId="0" fontId="10" fillId="0" borderId="0" xfId="0" applyFont="1"/>
    <xf numFmtId="0" fontId="11" fillId="0" borderId="0" xfId="0" applyFont="1"/>
    <xf numFmtId="4" fontId="11" fillId="0" borderId="0" xfId="0" applyNumberFormat="1" applyFont="1"/>
    <xf numFmtId="4" fontId="10" fillId="0" borderId="0" xfId="0" applyNumberFormat="1" applyFont="1" applyAlignment="1">
      <alignment horizontal="right"/>
    </xf>
    <xf numFmtId="0" fontId="10" fillId="0" borderId="0" xfId="0" applyFont="1" applyAlignment="1">
      <alignment horizontal="justify" vertical="center"/>
    </xf>
    <xf numFmtId="0" fontId="11" fillId="0" borderId="0" xfId="0" applyFont="1" applyAlignment="1">
      <alignment horizontal="justify" vertical="center"/>
    </xf>
    <xf numFmtId="0" fontId="11" fillId="0" borderId="0" xfId="0" applyFont="1" applyAlignment="1">
      <alignment horizontal="justify"/>
    </xf>
    <xf numFmtId="2" fontId="10" fillId="0" borderId="0" xfId="0" applyNumberFormat="1" applyFont="1" applyAlignment="1">
      <alignment horizontal="justify" vertical="top" wrapText="1"/>
    </xf>
    <xf numFmtId="0" fontId="10" fillId="0" borderId="0" xfId="0" applyFont="1" applyAlignment="1">
      <alignment horizontal="justify" vertical="top" wrapText="1"/>
    </xf>
    <xf numFmtId="4" fontId="10" fillId="0" borderId="0" xfId="0" applyNumberFormat="1" applyFont="1" applyAlignment="1">
      <alignment horizontal="right" vertical="top" wrapText="1"/>
    </xf>
    <xf numFmtId="4" fontId="10" fillId="0" borderId="0" xfId="0" applyNumberFormat="1" applyFont="1" applyAlignment="1">
      <alignment horizontal="center" vertical="top" wrapText="1"/>
    </xf>
    <xf numFmtId="2" fontId="11" fillId="0" borderId="0" xfId="1" applyNumberFormat="1" applyFont="1" applyFill="1" applyBorder="1" applyAlignment="1" applyProtection="1">
      <alignment horizontal="justify"/>
    </xf>
    <xf numFmtId="2" fontId="11" fillId="0" borderId="0" xfId="1" applyNumberFormat="1" applyFont="1" applyFill="1" applyBorder="1" applyAlignment="1" applyProtection="1">
      <alignment horizontal="justify" vertical="top" wrapText="1"/>
    </xf>
    <xf numFmtId="2" fontId="10" fillId="0" borderId="0" xfId="1" applyNumberFormat="1" applyFont="1" applyFill="1" applyBorder="1" applyAlignment="1" applyProtection="1">
      <alignment horizontal="justify"/>
    </xf>
    <xf numFmtId="0" fontId="10" fillId="0" borderId="0" xfId="1" applyNumberFormat="1" applyFont="1" applyFill="1" applyBorder="1" applyAlignment="1" applyProtection="1">
      <alignment horizontal="justify" vertical="top" wrapText="1"/>
    </xf>
    <xf numFmtId="4" fontId="11" fillId="0" borderId="0" xfId="1" applyNumberFormat="1" applyFont="1" applyFill="1" applyBorder="1" applyAlignment="1" applyProtection="1">
      <alignment horizontal="justify" vertical="top" wrapText="1"/>
    </xf>
    <xf numFmtId="4" fontId="10" fillId="0" borderId="0" xfId="1" applyNumberFormat="1" applyFont="1" applyFill="1" applyBorder="1" applyAlignment="1" applyProtection="1">
      <alignment horizontal="justify" vertical="top" wrapText="1"/>
    </xf>
    <xf numFmtId="4" fontId="11" fillId="0" borderId="0" xfId="1" applyNumberFormat="1" applyFont="1" applyFill="1" applyBorder="1" applyAlignment="1" applyProtection="1">
      <alignment vertical="top"/>
    </xf>
    <xf numFmtId="4" fontId="10" fillId="0" borderId="0" xfId="1" applyNumberFormat="1" applyFont="1" applyFill="1" applyBorder="1" applyAlignment="1" applyProtection="1">
      <alignment vertical="top"/>
    </xf>
    <xf numFmtId="49" fontId="11" fillId="0" borderId="0" xfId="0" applyNumberFormat="1" applyFont="1" applyAlignment="1">
      <alignment horizontal="center" vertical="top"/>
    </xf>
    <xf numFmtId="4" fontId="10" fillId="0" borderId="0" xfId="0" applyNumberFormat="1" applyFont="1" applyAlignment="1" applyProtection="1">
      <alignment horizontal="right" vertical="top" wrapText="1"/>
      <protection locked="0"/>
    </xf>
    <xf numFmtId="4" fontId="9" fillId="0" borderId="10" xfId="1" applyNumberFormat="1" applyFont="1" applyFill="1" applyBorder="1" applyAlignment="1" applyProtection="1"/>
    <xf numFmtId="165" fontId="39" fillId="0" borderId="0" xfId="23" quotePrefix="1" applyFont="1" applyFill="1" applyBorder="1" applyAlignment="1" applyProtection="1">
      <alignment horizontal="right" wrapText="1"/>
      <protection locked="0"/>
    </xf>
    <xf numFmtId="49" fontId="36" fillId="0" borderId="0" xfId="22" applyNumberFormat="1" applyFont="1" applyAlignment="1">
      <alignment horizontal="center" vertical="top" wrapText="1"/>
    </xf>
    <xf numFmtId="0" fontId="36" fillId="0" borderId="0" xfId="22" applyFont="1" applyAlignment="1">
      <alignment horizontal="center" wrapText="1"/>
    </xf>
    <xf numFmtId="2" fontId="36" fillId="0" borderId="0" xfId="22" applyNumberFormat="1" applyFont="1" applyAlignment="1">
      <alignment horizontal="right" wrapText="1"/>
    </xf>
    <xf numFmtId="0" fontId="36" fillId="0" borderId="0" xfId="22" applyFont="1" applyAlignment="1">
      <alignment horizontal="right" wrapText="1"/>
    </xf>
    <xf numFmtId="4" fontId="36" fillId="0" borderId="0" xfId="22" applyNumberFormat="1" applyFont="1" applyAlignment="1">
      <alignment horizontal="right" wrapText="1"/>
    </xf>
    <xf numFmtId="165" fontId="39" fillId="0" borderId="0" xfId="23" applyFont="1" applyFill="1" applyBorder="1" applyAlignment="1" applyProtection="1">
      <alignment horizontal="right" wrapText="1"/>
      <protection locked="0"/>
    </xf>
    <xf numFmtId="165" fontId="39" fillId="0" borderId="0" xfId="23" applyFont="1" applyBorder="1" applyAlignment="1" applyProtection="1">
      <alignment horizontal="right" wrapText="1"/>
      <protection locked="0"/>
    </xf>
    <xf numFmtId="49" fontId="39" fillId="0" borderId="0" xfId="22" applyNumberFormat="1" applyFont="1" applyAlignment="1" applyProtection="1">
      <alignment horizontal="right" vertical="top"/>
      <protection locked="0"/>
    </xf>
    <xf numFmtId="0" fontId="36" fillId="0" borderId="0" xfId="22" applyFont="1" applyAlignment="1" applyProtection="1">
      <alignment horizontal="justify" vertical="center" wrapText="1"/>
      <protection locked="0"/>
    </xf>
    <xf numFmtId="49" fontId="36" fillId="0" borderId="0" xfId="22" quotePrefix="1" applyNumberFormat="1" applyFont="1" applyAlignment="1" applyProtection="1">
      <alignment horizontal="justify" vertical="center" wrapText="1"/>
      <protection locked="0"/>
    </xf>
    <xf numFmtId="49" fontId="39" fillId="0" borderId="0" xfId="22" quotePrefix="1" applyNumberFormat="1" applyFont="1" applyAlignment="1" applyProtection="1">
      <alignment horizontal="right" wrapText="1"/>
      <protection locked="0"/>
    </xf>
    <xf numFmtId="174" fontId="39" fillId="0" borderId="0" xfId="22" applyNumberFormat="1" applyFont="1" applyAlignment="1" applyProtection="1">
      <alignment horizontal="right" wrapText="1"/>
      <protection locked="0"/>
    </xf>
    <xf numFmtId="0" fontId="43" fillId="0" borderId="0" xfId="22" applyFont="1"/>
    <xf numFmtId="0" fontId="39" fillId="0" borderId="0" xfId="22" applyFont="1" applyAlignment="1">
      <alignment horizontal="right" wrapText="1"/>
    </xf>
    <xf numFmtId="49" fontId="36" fillId="5" borderId="0" xfId="22" applyNumberFormat="1" applyFont="1" applyFill="1" applyAlignment="1">
      <alignment horizontal="center" vertical="top" wrapText="1"/>
    </xf>
    <xf numFmtId="0" fontId="36" fillId="5" borderId="0" xfId="22" applyFont="1" applyFill="1" applyAlignment="1">
      <alignment horizontal="center" wrapText="1"/>
    </xf>
    <xf numFmtId="2" fontId="36" fillId="5" borderId="0" xfId="22" applyNumberFormat="1" applyFont="1" applyFill="1" applyAlignment="1">
      <alignment horizontal="right" wrapText="1"/>
    </xf>
    <xf numFmtId="0" fontId="36" fillId="5" borderId="0" xfId="22" applyFont="1" applyFill="1" applyAlignment="1">
      <alignment horizontal="right" wrapText="1"/>
    </xf>
    <xf numFmtId="49" fontId="39" fillId="0" borderId="0" xfId="22" applyNumberFormat="1" applyFont="1" applyAlignment="1">
      <alignment horizontal="center" vertical="top" wrapText="1"/>
    </xf>
    <xf numFmtId="0" fontId="39" fillId="0" borderId="0" xfId="22" applyFont="1" applyAlignment="1">
      <alignment horizontal="center" wrapText="1"/>
    </xf>
    <xf numFmtId="1" fontId="39" fillId="0" borderId="0" xfId="22" applyNumberFormat="1" applyFont="1" applyAlignment="1">
      <alignment horizontal="center" wrapText="1"/>
    </xf>
    <xf numFmtId="4" fontId="39" fillId="0" borderId="0" xfId="22" applyNumberFormat="1" applyFont="1" applyAlignment="1">
      <alignment horizontal="right" wrapText="1"/>
    </xf>
    <xf numFmtId="4" fontId="39" fillId="0" borderId="0" xfId="22" applyNumberFormat="1" applyFont="1" applyAlignment="1">
      <alignment horizontal="right"/>
    </xf>
    <xf numFmtId="0" fontId="39" fillId="0" borderId="0" xfId="22" applyFont="1" applyAlignment="1" applyProtection="1">
      <alignment horizontal="center" wrapText="1"/>
      <protection locked="0"/>
    </xf>
    <xf numFmtId="4" fontId="36" fillId="5" borderId="0" xfId="22" applyNumberFormat="1" applyFont="1" applyFill="1" applyAlignment="1">
      <alignment horizontal="right" wrapText="1"/>
    </xf>
    <xf numFmtId="1" fontId="39" fillId="0" borderId="0" xfId="22" applyNumberFormat="1" applyFont="1" applyAlignment="1" applyProtection="1">
      <alignment horizontal="center" wrapText="1"/>
      <protection locked="0"/>
    </xf>
    <xf numFmtId="0" fontId="43" fillId="0" borderId="0" xfId="22" applyFont="1" applyAlignment="1">
      <alignment horizontal="center"/>
    </xf>
    <xf numFmtId="4" fontId="43" fillId="0" borderId="0" xfId="22" applyNumberFormat="1" applyFont="1" applyAlignment="1">
      <alignment horizontal="right"/>
    </xf>
    <xf numFmtId="2" fontId="39" fillId="0" borderId="0" xfId="22" applyNumberFormat="1" applyFont="1" applyAlignment="1">
      <alignment horizontal="right" wrapText="1"/>
    </xf>
    <xf numFmtId="0" fontId="39" fillId="0" borderId="0" xfId="22" applyFont="1" applyAlignment="1">
      <alignment horizontal="left" vertical="top"/>
    </xf>
    <xf numFmtId="0" fontId="39" fillId="0" borderId="0" xfId="22" applyFont="1" applyAlignment="1">
      <alignment horizontal="center"/>
    </xf>
    <xf numFmtId="0" fontId="39" fillId="0" borderId="0" xfId="16" applyFont="1" applyAlignment="1">
      <alignment horizontal="center" wrapText="1"/>
    </xf>
    <xf numFmtId="1" fontId="39" fillId="0" borderId="0" xfId="16" applyNumberFormat="1" applyFont="1" applyAlignment="1">
      <alignment horizontal="center" wrapText="1"/>
    </xf>
    <xf numFmtId="4" fontId="39" fillId="0" borderId="0" xfId="22" applyNumberFormat="1" applyFont="1" applyAlignment="1">
      <alignment wrapText="1"/>
    </xf>
    <xf numFmtId="49" fontId="36" fillId="5" borderId="0" xfId="0" applyNumberFormat="1" applyFont="1" applyFill="1" applyAlignment="1">
      <alignment horizontal="center" vertical="top" wrapText="1"/>
    </xf>
    <xf numFmtId="0" fontId="36" fillId="5" borderId="0" xfId="0" applyFont="1" applyFill="1" applyAlignment="1">
      <alignment horizontal="center" wrapText="1"/>
    </xf>
    <xf numFmtId="2" fontId="36" fillId="5" borderId="0" xfId="0" applyNumberFormat="1" applyFont="1" applyFill="1" applyAlignment="1">
      <alignment horizontal="right" wrapText="1"/>
    </xf>
    <xf numFmtId="0" fontId="36" fillId="5" borderId="0" xfId="0" applyFont="1" applyFill="1" applyAlignment="1">
      <alignment horizontal="right" wrapText="1"/>
    </xf>
    <xf numFmtId="49" fontId="39" fillId="0" borderId="0" xfId="0" applyNumberFormat="1" applyFont="1" applyAlignment="1">
      <alignment horizontal="center" vertical="top" wrapText="1"/>
    </xf>
    <xf numFmtId="0" fontId="39" fillId="0" borderId="0" xfId="0" applyFont="1" applyAlignment="1" applyProtection="1">
      <alignment horizontal="center" wrapText="1"/>
      <protection locked="0"/>
    </xf>
    <xf numFmtId="4" fontId="39" fillId="0" borderId="0" xfId="0" applyNumberFormat="1" applyFont="1" applyAlignment="1">
      <alignment horizontal="right" wrapText="1"/>
    </xf>
    <xf numFmtId="4" fontId="39" fillId="0" borderId="0" xfId="0" applyNumberFormat="1" applyFont="1" applyAlignment="1">
      <alignment horizontal="right"/>
    </xf>
    <xf numFmtId="0" fontId="39" fillId="0" borderId="0" xfId="0" applyFont="1" applyAlignment="1">
      <alignment horizontal="center" wrapText="1"/>
    </xf>
    <xf numFmtId="1" fontId="39" fillId="0" borderId="0" xfId="0" applyNumberFormat="1" applyFont="1" applyAlignment="1">
      <alignment horizontal="center" wrapText="1"/>
    </xf>
    <xf numFmtId="4" fontId="36" fillId="5" borderId="0" xfId="0" applyNumberFormat="1" applyFont="1" applyFill="1" applyAlignment="1">
      <alignment horizontal="right" wrapText="1"/>
    </xf>
    <xf numFmtId="1" fontId="43" fillId="0" borderId="0" xfId="22" applyNumberFormat="1" applyFont="1" applyAlignment="1">
      <alignment horizontal="center"/>
    </xf>
    <xf numFmtId="1" fontId="39" fillId="0" borderId="0" xfId="22" applyNumberFormat="1" applyFont="1" applyAlignment="1">
      <alignment horizontal="center"/>
    </xf>
    <xf numFmtId="49" fontId="39" fillId="0" borderId="0" xfId="22" applyNumberFormat="1" applyFont="1" applyAlignment="1" applyProtection="1">
      <alignment horizontal="center" wrapText="1"/>
      <protection locked="0"/>
    </xf>
    <xf numFmtId="4" fontId="39" fillId="0" borderId="0" xfId="22" applyNumberFormat="1" applyFont="1"/>
    <xf numFmtId="49" fontId="36" fillId="0" borderId="0" xfId="22" applyNumberFormat="1" applyFont="1" applyAlignment="1">
      <alignment horizontal="center" vertical="top"/>
    </xf>
    <xf numFmtId="0" fontId="36" fillId="0" borderId="0" xfId="22" applyFont="1" applyAlignment="1">
      <alignment horizontal="left" vertical="top"/>
    </xf>
    <xf numFmtId="0" fontId="45" fillId="0" borderId="0" xfId="22" applyFont="1" applyAlignment="1">
      <alignment horizontal="center" vertical="top" wrapText="1"/>
    </xf>
    <xf numFmtId="0" fontId="43" fillId="0" borderId="0" xfId="22" applyFont="1" applyAlignment="1">
      <alignment wrapText="1"/>
    </xf>
    <xf numFmtId="0" fontId="45" fillId="0" borderId="0" xfId="22" applyFont="1" applyAlignment="1">
      <alignment horizontal="center" vertical="top"/>
    </xf>
    <xf numFmtId="0" fontId="43" fillId="0" borderId="0" xfId="22" applyFont="1" applyAlignment="1">
      <alignment horizontal="center" wrapText="1"/>
    </xf>
    <xf numFmtId="0" fontId="36" fillId="0" borderId="0" xfId="22" quotePrefix="1" applyFont="1" applyAlignment="1" applyProtection="1">
      <alignment horizontal="justify" vertical="top" wrapText="1"/>
      <protection locked="0"/>
    </xf>
    <xf numFmtId="0" fontId="39" fillId="0" borderId="0" xfId="22" applyFont="1" applyAlignment="1" applyProtection="1">
      <alignment horizontal="right" wrapText="1"/>
      <protection locked="0"/>
    </xf>
    <xf numFmtId="0" fontId="36" fillId="0" borderId="0" xfId="22" applyFont="1" applyAlignment="1" applyProtection="1">
      <alignment vertical="center"/>
      <protection locked="0"/>
    </xf>
    <xf numFmtId="0" fontId="36" fillId="0" borderId="0" xfId="22" applyFont="1" applyAlignment="1" applyProtection="1">
      <alignment vertical="center" wrapText="1"/>
      <protection locked="0"/>
    </xf>
    <xf numFmtId="2" fontId="36" fillId="0" borderId="0" xfId="22" applyNumberFormat="1" applyFont="1" applyAlignment="1">
      <alignment horizontal="center" vertical="top" wrapText="1"/>
    </xf>
    <xf numFmtId="4" fontId="43" fillId="0" borderId="0" xfId="22" applyNumberFormat="1" applyFont="1"/>
    <xf numFmtId="168" fontId="43" fillId="0" borderId="0" xfId="22" applyNumberFormat="1" applyFont="1" applyAlignment="1">
      <alignment horizontal="right"/>
    </xf>
    <xf numFmtId="49" fontId="39" fillId="5" borderId="0" xfId="22" applyNumberFormat="1" applyFont="1" applyFill="1" applyAlignment="1" applyProtection="1">
      <alignment horizontal="right" vertical="top"/>
      <protection locked="0"/>
    </xf>
    <xf numFmtId="165" fontId="39" fillId="5" borderId="0" xfId="23" quotePrefix="1" applyFont="1" applyFill="1" applyBorder="1" applyAlignment="1" applyProtection="1">
      <alignment horizontal="right" wrapText="1"/>
      <protection locked="0"/>
    </xf>
    <xf numFmtId="174" fontId="36" fillId="5" borderId="0" xfId="22" applyNumberFormat="1" applyFont="1" applyFill="1" applyAlignment="1" applyProtection="1">
      <alignment horizontal="right" wrapText="1"/>
      <protection locked="0"/>
    </xf>
    <xf numFmtId="0" fontId="39" fillId="0" borderId="0" xfId="22" applyFont="1" applyAlignment="1">
      <alignment wrapText="1"/>
    </xf>
    <xf numFmtId="0" fontId="43" fillId="0" borderId="0" xfId="22" applyFont="1" applyAlignment="1">
      <alignment horizontal="left" vertical="top"/>
    </xf>
    <xf numFmtId="0" fontId="43" fillId="0" borderId="0" xfId="22" applyFont="1" applyAlignment="1">
      <alignment horizontal="left" vertical="top" wrapText="1"/>
    </xf>
    <xf numFmtId="0" fontId="36" fillId="0" borderId="0" xfId="22" applyFont="1" applyAlignment="1">
      <alignment horizontal="left"/>
    </xf>
    <xf numFmtId="0" fontId="36" fillId="0" borderId="0" xfId="22" applyFont="1" applyAlignment="1">
      <alignment horizontal="left" wrapText="1"/>
    </xf>
    <xf numFmtId="0" fontId="39" fillId="0" borderId="0" xfId="22" applyFont="1" applyAlignment="1">
      <alignment horizontal="left" vertical="top" wrapText="1"/>
    </xf>
    <xf numFmtId="49" fontId="36" fillId="0" borderId="0" xfId="0" applyNumberFormat="1" applyFont="1" applyAlignment="1">
      <alignment horizontal="center" vertical="top" wrapText="1"/>
    </xf>
    <xf numFmtId="0" fontId="36" fillId="0" borderId="0" xfId="0" applyFont="1" applyAlignment="1">
      <alignment horizontal="center" wrapText="1"/>
    </xf>
    <xf numFmtId="2" fontId="36" fillId="0" borderId="0" xfId="0" applyNumberFormat="1" applyFont="1" applyAlignment="1">
      <alignment horizontal="right" wrapText="1"/>
    </xf>
    <xf numFmtId="0" fontId="36" fillId="0" borderId="0" xfId="0" applyFont="1" applyAlignment="1">
      <alignment horizontal="right" wrapText="1"/>
    </xf>
    <xf numFmtId="0" fontId="43" fillId="0" borderId="0" xfId="0" applyFont="1"/>
    <xf numFmtId="0" fontId="36" fillId="0" borderId="0" xfId="22" applyFont="1" applyAlignment="1" applyProtection="1">
      <alignment horizontal="left" vertical="center" wrapText="1"/>
      <protection locked="0"/>
    </xf>
    <xf numFmtId="0" fontId="36" fillId="0" borderId="0" xfId="22" applyFont="1" applyAlignment="1">
      <alignment horizontal="left" vertical="top" wrapText="1"/>
    </xf>
    <xf numFmtId="0" fontId="36" fillId="5" borderId="0" xfId="22" applyFont="1" applyFill="1" applyAlignment="1">
      <alignment horizontal="left" vertical="top" wrapText="1"/>
    </xf>
    <xf numFmtId="0" fontId="36" fillId="0" borderId="0" xfId="0" applyFont="1" applyAlignment="1">
      <alignment horizontal="left" vertical="top" wrapText="1"/>
    </xf>
    <xf numFmtId="0" fontId="36" fillId="5" borderId="0" xfId="0" applyFont="1" applyFill="1" applyAlignment="1">
      <alignment horizontal="left" vertical="top" wrapText="1"/>
    </xf>
    <xf numFmtId="0" fontId="39" fillId="0" borderId="0" xfId="0" applyFont="1" applyAlignment="1">
      <alignment horizontal="left" vertical="top" wrapText="1"/>
    </xf>
    <xf numFmtId="0" fontId="39" fillId="0" borderId="0" xfId="0" applyFont="1" applyAlignment="1" applyProtection="1">
      <alignment horizontal="left" vertical="top" wrapText="1"/>
      <protection locked="0"/>
    </xf>
    <xf numFmtId="0" fontId="9" fillId="0" borderId="0" xfId="14" applyFont="1" applyAlignment="1">
      <alignment horizontal="left" vertical="top" wrapText="1"/>
    </xf>
    <xf numFmtId="0" fontId="39" fillId="0" borderId="0" xfId="22" applyFont="1" applyAlignment="1" applyProtection="1">
      <alignment horizontal="left" vertical="top" wrapText="1"/>
      <protection locked="0"/>
    </xf>
    <xf numFmtId="0" fontId="39" fillId="0" borderId="0" xfId="16" applyFont="1" applyAlignment="1">
      <alignment horizontal="left" vertical="top" wrapText="1"/>
    </xf>
    <xf numFmtId="0" fontId="39" fillId="0" borderId="0" xfId="22" applyFont="1" applyAlignment="1">
      <alignment horizontal="left" wrapText="1"/>
    </xf>
    <xf numFmtId="49" fontId="39" fillId="0" borderId="0" xfId="22" applyNumberFormat="1" applyFont="1" applyAlignment="1" applyProtection="1">
      <alignment horizontal="left" vertical="top"/>
      <protection locked="0"/>
    </xf>
    <xf numFmtId="0" fontId="43" fillId="0" borderId="0" xfId="22" applyFont="1" applyAlignment="1">
      <alignment horizontal="left"/>
    </xf>
    <xf numFmtId="0" fontId="43" fillId="0" borderId="0" xfId="0" applyFont="1" applyAlignment="1">
      <alignment horizontal="left" vertical="center" wrapText="1"/>
    </xf>
    <xf numFmtId="176" fontId="8" fillId="0" borderId="0" xfId="0" applyNumberFormat="1" applyFont="1" applyAlignment="1">
      <alignment horizontal="left" indent="15"/>
    </xf>
    <xf numFmtId="176" fontId="8" fillId="0" borderId="1" xfId="0" applyNumberFormat="1" applyFont="1" applyBorder="1" applyAlignment="1">
      <alignment horizontal="left" indent="15"/>
    </xf>
    <xf numFmtId="176" fontId="9" fillId="0" borderId="0" xfId="0" applyNumberFormat="1" applyFont="1"/>
    <xf numFmtId="176" fontId="8" fillId="0" borderId="0" xfId="0" applyNumberFormat="1" applyFont="1"/>
    <xf numFmtId="176" fontId="23" fillId="0" borderId="0" xfId="0" applyNumberFormat="1" applyFont="1"/>
    <xf numFmtId="176" fontId="17" fillId="2" borderId="0" xfId="0" applyNumberFormat="1" applyFont="1" applyFill="1"/>
    <xf numFmtId="0" fontId="58" fillId="0" borderId="0" xfId="0" applyFont="1" applyAlignment="1">
      <alignment horizontal="left" indent="1"/>
    </xf>
    <xf numFmtId="0" fontId="59" fillId="0" borderId="21" xfId="0" applyFont="1" applyBorder="1" applyAlignment="1">
      <alignment horizontal="right" indent="1"/>
    </xf>
    <xf numFmtId="0" fontId="58" fillId="0" borderId="0" xfId="33" applyFont="1" applyAlignment="1">
      <alignment horizontal="left" indent="1"/>
    </xf>
    <xf numFmtId="49" fontId="58" fillId="0" borderId="0" xfId="0" applyNumberFormat="1" applyFont="1" applyAlignment="1">
      <alignment horizontal="left" indent="1"/>
    </xf>
    <xf numFmtId="0" fontId="61" fillId="0" borderId="0" xfId="0" applyFont="1" applyAlignment="1">
      <alignment horizontal="left" indent="1"/>
    </xf>
    <xf numFmtId="0" fontId="61" fillId="0" borderId="0" xfId="0" applyFont="1" applyAlignment="1">
      <alignment horizontal="left" wrapText="1" indent="1"/>
    </xf>
    <xf numFmtId="49" fontId="62" fillId="0" borderId="0" xfId="0" applyNumberFormat="1" applyFont="1" applyAlignment="1">
      <alignment horizontal="left" indent="1"/>
    </xf>
    <xf numFmtId="0" fontId="62" fillId="0" borderId="0" xfId="0" applyFont="1" applyAlignment="1">
      <alignment horizontal="left" indent="1"/>
    </xf>
    <xf numFmtId="17" fontId="62" fillId="0" borderId="0" xfId="0" applyNumberFormat="1" applyFont="1" applyAlignment="1">
      <alignment horizontal="left" indent="1"/>
    </xf>
    <xf numFmtId="0" fontId="63" fillId="0" borderId="0" xfId="0" applyFont="1" applyAlignment="1">
      <alignment horizontal="left" indent="15"/>
    </xf>
    <xf numFmtId="4" fontId="63" fillId="0" borderId="0" xfId="0" applyNumberFormat="1" applyFont="1" applyAlignment="1">
      <alignment horizontal="left" indent="15"/>
    </xf>
    <xf numFmtId="4" fontId="62" fillId="0" borderId="0" xfId="0" applyNumberFormat="1" applyFont="1"/>
    <xf numFmtId="0" fontId="62" fillId="0" borderId="0" xfId="0" applyFont="1"/>
    <xf numFmtId="0" fontId="64" fillId="0" borderId="21" xfId="0" applyFont="1" applyBorder="1" applyAlignment="1">
      <alignment horizontal="right" indent="1"/>
    </xf>
    <xf numFmtId="49" fontId="62" fillId="0" borderId="0" xfId="0" applyNumberFormat="1" applyFont="1" applyAlignment="1">
      <alignment vertical="center"/>
    </xf>
    <xf numFmtId="4" fontId="62" fillId="0" borderId="0" xfId="0" applyNumberFormat="1" applyFont="1" applyAlignment="1">
      <alignment vertical="center"/>
    </xf>
    <xf numFmtId="0" fontId="62" fillId="0" borderId="0" xfId="0" applyFont="1" applyAlignment="1">
      <alignment vertical="center"/>
    </xf>
    <xf numFmtId="49" fontId="62" fillId="0" borderId="0" xfId="0" applyNumberFormat="1" applyFont="1" applyAlignment="1">
      <alignment vertical="top"/>
    </xf>
    <xf numFmtId="4" fontId="62" fillId="0" borderId="0" xfId="0" applyNumberFormat="1" applyFont="1" applyAlignment="1">
      <alignment vertical="top"/>
    </xf>
    <xf numFmtId="0" fontId="62" fillId="0" borderId="0" xfId="0" applyFont="1" applyAlignment="1">
      <alignment vertical="top"/>
    </xf>
    <xf numFmtId="0" fontId="62" fillId="0" borderId="21" xfId="0" applyFont="1" applyBorder="1" applyAlignment="1">
      <alignment horizontal="right" vertical="center" indent="1"/>
    </xf>
    <xf numFmtId="0" fontId="62" fillId="0" borderId="0" xfId="0" applyFont="1" applyAlignment="1">
      <alignment horizontal="left" vertical="center" indent="1"/>
    </xf>
    <xf numFmtId="49" fontId="63" fillId="0" borderId="0" xfId="0" applyNumberFormat="1" applyFont="1" applyAlignment="1">
      <alignment vertical="top"/>
    </xf>
    <xf numFmtId="4" fontId="63" fillId="0" borderId="0" xfId="0" applyNumberFormat="1" applyFont="1" applyAlignment="1">
      <alignment vertical="top"/>
    </xf>
    <xf numFmtId="0" fontId="63" fillId="0" borderId="0" xfId="0" applyFont="1" applyAlignment="1">
      <alignment vertical="top"/>
    </xf>
    <xf numFmtId="0" fontId="63" fillId="0" borderId="0" xfId="0" applyFont="1" applyAlignment="1">
      <alignment horizontal="left" vertical="top"/>
    </xf>
    <xf numFmtId="49" fontId="62" fillId="0" borderId="0" xfId="0" applyNumberFormat="1" applyFont="1" applyAlignment="1">
      <alignment horizontal="left" vertical="top"/>
    </xf>
    <xf numFmtId="4" fontId="62" fillId="0" borderId="0" xfId="0" applyNumberFormat="1" applyFont="1" applyAlignment="1">
      <alignment horizontal="left" vertical="top"/>
    </xf>
    <xf numFmtId="0" fontId="62" fillId="0" borderId="0" xfId="0" applyFont="1" applyAlignment="1">
      <alignment horizontal="center" vertical="top"/>
    </xf>
    <xf numFmtId="0" fontId="63" fillId="0" borderId="0" xfId="0" applyFont="1"/>
    <xf numFmtId="0" fontId="68" fillId="0" borderId="0" xfId="34" applyFont="1" applyAlignment="1">
      <alignment horizontal="left"/>
    </xf>
    <xf numFmtId="0" fontId="58" fillId="0" borderId="0" xfId="34" applyFont="1" applyAlignment="1">
      <alignment horizontal="justify" vertical="top"/>
    </xf>
    <xf numFmtId="0" fontId="62" fillId="0" borderId="0" xfId="35" applyFont="1"/>
    <xf numFmtId="0" fontId="58" fillId="0" borderId="0" xfId="34" applyFont="1" applyAlignment="1">
      <alignment vertical="top"/>
    </xf>
    <xf numFmtId="0" fontId="58" fillId="0" borderId="0" xfId="34" applyFont="1"/>
    <xf numFmtId="0" fontId="68" fillId="0" borderId="0" xfId="34" applyFont="1"/>
    <xf numFmtId="0" fontId="58" fillId="0" borderId="0" xfId="34" applyFont="1" applyAlignment="1">
      <alignment horizontal="left" vertical="top"/>
    </xf>
    <xf numFmtId="0" fontId="70" fillId="0" borderId="0" xfId="34" applyFont="1" applyAlignment="1">
      <alignment horizontal="justify" vertical="top"/>
    </xf>
    <xf numFmtId="0" fontId="70" fillId="0" borderId="0" xfId="34" applyFont="1" applyAlignment="1">
      <alignment horizontal="left" vertical="top"/>
    </xf>
    <xf numFmtId="0" fontId="70" fillId="0" borderId="0" xfId="34" applyFont="1" applyAlignment="1">
      <alignment vertical="top"/>
    </xf>
    <xf numFmtId="0" fontId="68" fillId="7" borderId="0" xfId="34" applyFont="1" applyFill="1" applyAlignment="1">
      <alignment horizontal="left"/>
    </xf>
    <xf numFmtId="0" fontId="62" fillId="0" borderId="0" xfId="36" applyFont="1"/>
    <xf numFmtId="0" fontId="10" fillId="0" borderId="0" xfId="0" applyFont="1" applyAlignment="1">
      <alignment horizontal="justify" vertical="top"/>
    </xf>
    <xf numFmtId="168" fontId="11" fillId="0" borderId="0" xfId="0" applyNumberFormat="1" applyFont="1" applyAlignment="1">
      <alignment horizontal="left" indent="15"/>
    </xf>
    <xf numFmtId="0" fontId="11" fillId="0" borderId="0" xfId="0" applyFont="1" applyAlignment="1">
      <alignment horizontal="left"/>
    </xf>
    <xf numFmtId="2" fontId="11" fillId="0" borderId="0" xfId="0" applyNumberFormat="1" applyFont="1" applyAlignment="1">
      <alignment horizontal="justify" vertical="top"/>
    </xf>
    <xf numFmtId="0" fontId="10" fillId="0" borderId="0" xfId="0" applyFont="1" applyAlignment="1">
      <alignment horizontal="center"/>
    </xf>
    <xf numFmtId="49" fontId="11" fillId="0" borderId="0" xfId="0" applyNumberFormat="1" applyFont="1" applyAlignment="1">
      <alignment horizontal="left" vertical="center"/>
    </xf>
    <xf numFmtId="49" fontId="10" fillId="0" borderId="0" xfId="0" applyNumberFormat="1" applyFont="1" applyAlignment="1">
      <alignment horizontal="center" vertical="center"/>
    </xf>
    <xf numFmtId="4" fontId="10" fillId="0" borderId="0" xfId="0" applyNumberFormat="1" applyFont="1" applyAlignment="1">
      <alignment vertical="center"/>
    </xf>
    <xf numFmtId="49" fontId="11" fillId="0" borderId="0" xfId="0" applyNumberFormat="1" applyFont="1" applyAlignment="1">
      <alignment horizontal="left" vertical="top"/>
    </xf>
    <xf numFmtId="2" fontId="10" fillId="0" borderId="0" xfId="0" applyNumberFormat="1" applyFont="1" applyAlignment="1">
      <alignment horizontal="justify" vertical="top"/>
    </xf>
    <xf numFmtId="49" fontId="10" fillId="0" borderId="0" xfId="0" applyNumberFormat="1" applyFont="1" applyAlignment="1">
      <alignment horizontal="center" vertical="top"/>
    </xf>
    <xf numFmtId="4" fontId="10" fillId="0" borderId="0" xfId="0" applyNumberFormat="1" applyFont="1" applyAlignment="1">
      <alignment vertical="top"/>
    </xf>
    <xf numFmtId="4" fontId="31" fillId="0" borderId="0" xfId="0" applyNumberFormat="1" applyFont="1" applyAlignment="1">
      <alignment wrapText="1"/>
    </xf>
    <xf numFmtId="49" fontId="34" fillId="0" borderId="0" xfId="0" applyNumberFormat="1" applyFont="1" applyAlignment="1">
      <alignment horizontal="left" vertical="top"/>
    </xf>
    <xf numFmtId="4" fontId="11" fillId="0" borderId="0" xfId="0" applyNumberFormat="1" applyFont="1" applyAlignment="1">
      <alignment vertical="top"/>
    </xf>
    <xf numFmtId="0" fontId="10" fillId="0" borderId="0" xfId="0" applyFont="1" applyAlignment="1">
      <alignment horizontal="center" vertical="top"/>
    </xf>
    <xf numFmtId="49" fontId="10" fillId="0" borderId="0" xfId="0" applyNumberFormat="1" applyFont="1" applyAlignment="1">
      <alignment horizontal="center"/>
    </xf>
    <xf numFmtId="0" fontId="11" fillId="0" borderId="3" xfId="0" applyFont="1" applyBorder="1" applyAlignment="1">
      <alignment horizontal="left"/>
    </xf>
    <xf numFmtId="2" fontId="11" fillId="0" borderId="4" xfId="0" applyNumberFormat="1" applyFont="1" applyBorder="1" applyAlignment="1">
      <alignment horizontal="justify" vertical="top"/>
    </xf>
    <xf numFmtId="0" fontId="11" fillId="0" borderId="4" xfId="0" applyFont="1" applyBorder="1" applyAlignment="1">
      <alignment horizontal="center"/>
    </xf>
    <xf numFmtId="4" fontId="10" fillId="0" borderId="4" xfId="0" applyNumberFormat="1" applyFont="1" applyBorder="1"/>
    <xf numFmtId="4" fontId="11" fillId="0" borderId="5" xfId="0" applyNumberFormat="1" applyFont="1" applyBorder="1"/>
    <xf numFmtId="0" fontId="11" fillId="0" borderId="0" xfId="0" applyFont="1" applyAlignment="1">
      <alignment horizontal="center"/>
    </xf>
    <xf numFmtId="170" fontId="11" fillId="0" borderId="0" xfId="0" applyNumberFormat="1" applyFont="1" applyAlignment="1">
      <alignment horizontal="left" vertical="top" shrinkToFit="1"/>
    </xf>
    <xf numFmtId="4" fontId="10" fillId="0" borderId="0" xfId="0" applyNumberFormat="1" applyFont="1" applyAlignment="1">
      <alignment horizontal="center"/>
    </xf>
    <xf numFmtId="4" fontId="10" fillId="0" borderId="0" xfId="0" applyNumberFormat="1" applyFont="1" applyAlignment="1">
      <alignment horizontal="right" shrinkToFit="1"/>
    </xf>
    <xf numFmtId="0" fontId="10" fillId="0" borderId="0" xfId="0" applyFont="1" applyAlignment="1">
      <alignment horizontal="left"/>
    </xf>
    <xf numFmtId="0" fontId="11" fillId="0" borderId="0" xfId="0" applyFont="1" applyAlignment="1">
      <alignment horizontal="justify" vertical="top" wrapText="1"/>
    </xf>
    <xf numFmtId="49" fontId="11" fillId="0" borderId="0" xfId="0" applyNumberFormat="1" applyFont="1" applyAlignment="1">
      <alignment horizontal="justify" vertical="top" wrapText="1"/>
    </xf>
    <xf numFmtId="4" fontId="10" fillId="0" borderId="4" xfId="0" applyNumberFormat="1" applyFont="1" applyBorder="1" applyAlignment="1">
      <alignment horizontal="right" shrinkToFit="1"/>
    </xf>
    <xf numFmtId="0" fontId="10" fillId="0" borderId="0" xfId="0" applyFont="1" applyAlignment="1">
      <alignment horizontal="center" wrapText="1" shrinkToFit="1"/>
    </xf>
    <xf numFmtId="4" fontId="11" fillId="0" borderId="0" xfId="0" applyNumberFormat="1" applyFont="1" applyAlignment="1">
      <alignment horizontal="left" indent="15"/>
    </xf>
    <xf numFmtId="2" fontId="11" fillId="0" borderId="0" xfId="0" applyNumberFormat="1" applyFont="1" applyAlignment="1">
      <alignment horizontal="justify" vertical="top" wrapText="1"/>
    </xf>
    <xf numFmtId="4" fontId="31" fillId="0" borderId="0" xfId="0" applyNumberFormat="1" applyFont="1"/>
    <xf numFmtId="0" fontId="11" fillId="0" borderId="3" xfId="0" applyFont="1" applyBorder="1" applyAlignment="1">
      <alignment horizontal="left" vertical="top"/>
    </xf>
    <xf numFmtId="0" fontId="11" fillId="0" borderId="4" xfId="0" applyFont="1" applyBorder="1"/>
    <xf numFmtId="0" fontId="11" fillId="0" borderId="0" xfId="0" applyFont="1" applyAlignment="1">
      <alignment vertical="top"/>
    </xf>
    <xf numFmtId="4" fontId="11" fillId="0" borderId="0" xfId="0" applyNumberFormat="1" applyFont="1" applyAlignment="1">
      <alignment horizontal="right"/>
    </xf>
    <xf numFmtId="0" fontId="11" fillId="0" borderId="0" xfId="0" applyFont="1" applyAlignment="1">
      <alignment horizontal="justify" wrapText="1"/>
    </xf>
    <xf numFmtId="0" fontId="10" fillId="0" borderId="0" xfId="0" applyFont="1" applyAlignment="1" applyProtection="1">
      <alignment horizontal="justify" vertical="top" wrapText="1"/>
      <protection locked="0"/>
    </xf>
    <xf numFmtId="0" fontId="10" fillId="0" borderId="0" xfId="0" applyFont="1" applyAlignment="1">
      <alignment horizontal="justify" wrapText="1"/>
    </xf>
    <xf numFmtId="0" fontId="11" fillId="0" borderId="8" xfId="0" applyFont="1" applyBorder="1"/>
    <xf numFmtId="4" fontId="11" fillId="0" borderId="8" xfId="0" applyNumberFormat="1" applyFont="1" applyBorder="1"/>
    <xf numFmtId="168" fontId="10" fillId="0" borderId="0" xfId="0" applyNumberFormat="1" applyFont="1" applyAlignment="1">
      <alignment horizontal="right"/>
    </xf>
    <xf numFmtId="4" fontId="10" fillId="0" borderId="0" xfId="0" applyNumberFormat="1" applyFont="1" applyAlignment="1">
      <alignment horizontal="justify" vertical="top" wrapText="1"/>
    </xf>
    <xf numFmtId="168" fontId="10" fillId="0" borderId="0" xfId="0" applyNumberFormat="1" applyFont="1"/>
    <xf numFmtId="0" fontId="11" fillId="0" borderId="4" xfId="0" applyFont="1" applyBorder="1" applyAlignment="1">
      <alignment horizontal="justify" vertical="top"/>
    </xf>
    <xf numFmtId="4" fontId="11" fillId="0" borderId="4" xfId="0" applyNumberFormat="1" applyFont="1" applyBorder="1"/>
    <xf numFmtId="0" fontId="10" fillId="0" borderId="0" xfId="0" applyFont="1" applyAlignment="1">
      <alignment horizontal="right"/>
    </xf>
    <xf numFmtId="0" fontId="10" fillId="0" borderId="0" xfId="0" applyFont="1" applyAlignment="1">
      <alignment horizontal="justify"/>
    </xf>
    <xf numFmtId="0" fontId="11" fillId="0" borderId="0" xfId="0" applyFont="1" applyAlignment="1">
      <alignment horizontal="center" vertical="top"/>
    </xf>
    <xf numFmtId="0" fontId="11" fillId="0" borderId="0" xfId="0" applyFont="1" applyAlignment="1">
      <alignment vertical="top" wrapText="1"/>
    </xf>
    <xf numFmtId="0" fontId="10" fillId="0" borderId="0" xfId="0" applyFont="1" applyAlignment="1">
      <alignment vertical="top" wrapText="1"/>
    </xf>
    <xf numFmtId="4" fontId="10" fillId="0" borderId="0" xfId="2" applyNumberFormat="1" applyFont="1" applyAlignment="1" applyProtection="1">
      <alignment horizontal="justify" wrapText="1"/>
      <protection locked="0"/>
    </xf>
    <xf numFmtId="0" fontId="8" fillId="0" borderId="0" xfId="0" applyFont="1" applyAlignment="1">
      <alignment horizontal="justify" vertical="top" wrapText="1"/>
    </xf>
    <xf numFmtId="0" fontId="11" fillId="0" borderId="4" xfId="0" applyFont="1" applyBorder="1" applyAlignment="1">
      <alignment horizontal="justify" vertical="center"/>
    </xf>
    <xf numFmtId="4" fontId="10" fillId="0" borderId="5" xfId="0" applyNumberFormat="1" applyFont="1" applyBorder="1" applyAlignment="1">
      <alignment horizontal="right" shrinkToFit="1"/>
    </xf>
    <xf numFmtId="170" fontId="11" fillId="0" borderId="3" xfId="0" applyNumberFormat="1" applyFont="1" applyBorder="1" applyAlignment="1">
      <alignment horizontal="left" vertical="top"/>
    </xf>
    <xf numFmtId="2" fontId="10" fillId="0" borderId="0" xfId="0" applyNumberFormat="1" applyFont="1" applyAlignment="1" applyProtection="1">
      <alignment horizontal="justify" vertical="top" wrapText="1" shrinkToFit="1" readingOrder="1"/>
      <protection locked="0"/>
    </xf>
    <xf numFmtId="2" fontId="10" fillId="0" borderId="0" xfId="0" applyNumberFormat="1" applyFont="1" applyAlignment="1" applyProtection="1">
      <alignment vertical="top" wrapText="1" shrinkToFit="1" readingOrder="1"/>
      <protection locked="0"/>
    </xf>
    <xf numFmtId="4" fontId="10" fillId="0" borderId="0" xfId="0" applyNumberFormat="1" applyFont="1" applyAlignment="1" applyProtection="1">
      <alignment horizontal="right" vertical="top" wrapText="1" shrinkToFit="1"/>
      <protection locked="0"/>
    </xf>
    <xf numFmtId="0" fontId="29" fillId="0" borderId="0" xfId="0" applyFont="1"/>
    <xf numFmtId="0" fontId="11" fillId="0" borderId="4" xfId="0" applyFont="1" applyBorder="1" applyAlignment="1">
      <alignment horizontal="left"/>
    </xf>
    <xf numFmtId="168" fontId="11" fillId="0" borderId="0" xfId="0" applyNumberFormat="1" applyFont="1" applyAlignment="1">
      <alignment horizontal="right" indent="15"/>
    </xf>
    <xf numFmtId="168" fontId="11" fillId="0" borderId="0" xfId="0" applyNumberFormat="1" applyFont="1" applyAlignment="1">
      <alignment horizontal="right"/>
    </xf>
    <xf numFmtId="2" fontId="10" fillId="0" borderId="0" xfId="0" applyNumberFormat="1" applyFont="1" applyAlignment="1" applyProtection="1">
      <alignment horizontal="right" vertical="top" wrapText="1" shrinkToFit="1"/>
      <protection locked="0"/>
    </xf>
    <xf numFmtId="0" fontId="26" fillId="0" borderId="0" xfId="0" applyFont="1" applyAlignment="1" applyProtection="1">
      <alignment horizontal="justify" vertical="top" wrapText="1"/>
      <protection locked="0"/>
    </xf>
    <xf numFmtId="0" fontId="10" fillId="0" borderId="0" xfId="0" applyFont="1" applyAlignment="1" applyProtection="1">
      <alignment vertical="top" wrapText="1"/>
      <protection locked="0"/>
    </xf>
    <xf numFmtId="0" fontId="10" fillId="0" borderId="0" xfId="0" applyFont="1" applyAlignment="1" applyProtection="1">
      <alignment horizontal="right" vertical="top" wrapText="1"/>
      <protection locked="0"/>
    </xf>
    <xf numFmtId="2" fontId="26" fillId="0" borderId="0" xfId="0" applyNumberFormat="1" applyFont="1" applyAlignment="1" applyProtection="1">
      <alignment horizontal="justify" vertical="top" wrapText="1" shrinkToFit="1" readingOrder="1"/>
      <protection locked="0"/>
    </xf>
    <xf numFmtId="2" fontId="30" fillId="0" borderId="0" xfId="0" applyNumberFormat="1" applyFont="1" applyAlignment="1" applyProtection="1">
      <alignment vertical="top" wrapText="1" shrinkToFit="1" readingOrder="1"/>
      <protection locked="0"/>
    </xf>
    <xf numFmtId="2" fontId="30" fillId="0" borderId="0" xfId="0" applyNumberFormat="1" applyFont="1" applyAlignment="1" applyProtection="1">
      <alignment horizontal="right" vertical="top" wrapText="1" shrinkToFit="1"/>
      <protection locked="0"/>
    </xf>
    <xf numFmtId="4" fontId="30" fillId="0" borderId="0" xfId="0" applyNumberFormat="1" applyFont="1" applyAlignment="1" applyProtection="1">
      <alignment horizontal="right" vertical="top" wrapText="1" shrinkToFit="1"/>
      <protection locked="0"/>
    </xf>
    <xf numFmtId="168" fontId="11" fillId="0" borderId="4" xfId="0" applyNumberFormat="1" applyFont="1" applyBorder="1" applyAlignment="1">
      <alignment horizontal="right"/>
    </xf>
    <xf numFmtId="4" fontId="11" fillId="0" borderId="5" xfId="0" applyNumberFormat="1" applyFont="1" applyBorder="1" applyAlignment="1">
      <alignment horizontal="right"/>
    </xf>
    <xf numFmtId="168" fontId="11" fillId="0" borderId="0" xfId="0" applyNumberFormat="1" applyFont="1"/>
    <xf numFmtId="4" fontId="10" fillId="0" borderId="0" xfId="2" applyNumberFormat="1" applyFont="1" applyAlignment="1" applyProtection="1">
      <alignment horizontal="justify" vertical="top" wrapText="1"/>
      <protection locked="0"/>
    </xf>
    <xf numFmtId="4" fontId="11" fillId="0" borderId="0" xfId="2" applyNumberFormat="1" applyFont="1" applyAlignment="1" applyProtection="1">
      <alignment horizontal="justify" vertical="top" wrapText="1"/>
      <protection locked="0"/>
    </xf>
    <xf numFmtId="169" fontId="11" fillId="0" borderId="0" xfId="0" applyNumberFormat="1" applyFont="1"/>
    <xf numFmtId="169" fontId="10" fillId="0" borderId="0" xfId="0" applyNumberFormat="1" applyFont="1"/>
    <xf numFmtId="2" fontId="10" fillId="0" borderId="0" xfId="0" applyNumberFormat="1" applyFont="1" applyAlignment="1">
      <alignment horizontal="justify" wrapText="1"/>
    </xf>
    <xf numFmtId="0" fontId="11" fillId="0" borderId="4" xfId="0" applyFont="1" applyBorder="1" applyAlignment="1">
      <alignment horizontal="justify" wrapText="1"/>
    </xf>
    <xf numFmtId="2" fontId="10" fillId="0" borderId="0" xfId="0" applyNumberFormat="1" applyFont="1" applyAlignment="1">
      <alignment horizontal="justify"/>
    </xf>
    <xf numFmtId="2" fontId="11" fillId="0" borderId="0" xfId="0" applyNumberFormat="1" applyFont="1" applyAlignment="1">
      <alignment horizontal="justify" vertical="center"/>
    </xf>
    <xf numFmtId="0" fontId="32" fillId="0" borderId="0" xfId="0" applyFont="1" applyAlignment="1">
      <alignment horizontal="justify"/>
    </xf>
    <xf numFmtId="2" fontId="11" fillId="0" borderId="4" xfId="1" applyNumberFormat="1" applyFont="1" applyFill="1" applyBorder="1" applyAlignment="1" applyProtection="1">
      <alignment horizontal="justify"/>
    </xf>
    <xf numFmtId="0" fontId="10" fillId="0" borderId="0" xfId="0" applyFont="1" applyAlignment="1">
      <alignment horizontal="left" vertical="top"/>
    </xf>
    <xf numFmtId="2" fontId="10" fillId="0" borderId="0" xfId="4" applyNumberFormat="1" applyFont="1" applyAlignment="1" applyProtection="1">
      <alignment horizontal="justify" wrapText="1" shrinkToFit="1"/>
      <protection locked="0"/>
    </xf>
    <xf numFmtId="4" fontId="10" fillId="0" borderId="0" xfId="0" applyNumberFormat="1" applyFont="1" applyAlignment="1">
      <alignment wrapText="1"/>
    </xf>
    <xf numFmtId="0" fontId="39" fillId="0" borderId="0" xfId="0" applyFont="1" applyAlignment="1">
      <alignment horizontal="justify" vertical="top"/>
    </xf>
    <xf numFmtId="0" fontId="36" fillId="0" borderId="0" xfId="21" applyFont="1" applyAlignment="1" applyProtection="1">
      <alignment vertical="top" wrapText="1"/>
      <protection hidden="1"/>
    </xf>
    <xf numFmtId="0" fontId="39" fillId="0" borderId="0" xfId="21" applyFont="1" applyAlignment="1" applyProtection="1">
      <alignment vertical="top" wrapText="1"/>
      <protection hidden="1"/>
    </xf>
    <xf numFmtId="0" fontId="39" fillId="0" borderId="0" xfId="21" quotePrefix="1" applyFont="1" applyAlignment="1" applyProtection="1">
      <alignment vertical="top" wrapText="1"/>
      <protection hidden="1"/>
    </xf>
    <xf numFmtId="0" fontId="36" fillId="0" borderId="0" xfId="38" applyFont="1"/>
    <xf numFmtId="168" fontId="36" fillId="0" borderId="0" xfId="38" applyNumberFormat="1" applyFont="1"/>
    <xf numFmtId="0" fontId="36" fillId="0" borderId="0" xfId="38" applyFont="1" applyAlignment="1">
      <alignment horizontal="left"/>
    </xf>
    <xf numFmtId="168" fontId="36" fillId="0" borderId="0" xfId="38" applyNumberFormat="1" applyFont="1" applyAlignment="1">
      <alignment horizontal="left"/>
    </xf>
    <xf numFmtId="0" fontId="36" fillId="0" borderId="0" xfId="0" applyFont="1" applyAlignment="1">
      <alignment horizontal="left" vertical="top"/>
    </xf>
    <xf numFmtId="0" fontId="36" fillId="0" borderId="0" xfId="0" applyFont="1" applyAlignment="1">
      <alignment horizontal="justify"/>
    </xf>
    <xf numFmtId="0" fontId="36" fillId="0" borderId="0" xfId="0" applyFont="1"/>
    <xf numFmtId="4" fontId="36" fillId="0" borderId="0" xfId="0" applyNumberFormat="1" applyFont="1"/>
    <xf numFmtId="168" fontId="36" fillId="0" borderId="0" xfId="0" applyNumberFormat="1" applyFont="1"/>
    <xf numFmtId="2" fontId="36" fillId="0" borderId="0" xfId="0" applyNumberFormat="1" applyFont="1" applyAlignment="1">
      <alignment horizontal="justify" vertical="top" wrapText="1"/>
    </xf>
    <xf numFmtId="0" fontId="39" fillId="0" borderId="0" xfId="0" applyFont="1"/>
    <xf numFmtId="4" fontId="39" fillId="0" borderId="0" xfId="0" applyNumberFormat="1" applyFont="1"/>
    <xf numFmtId="168" fontId="39" fillId="0" borderId="0" xfId="0" applyNumberFormat="1" applyFont="1"/>
    <xf numFmtId="0" fontId="39" fillId="0" borderId="15" xfId="0" applyFont="1" applyBorder="1" applyAlignment="1">
      <alignment horizontal="justify" vertical="top" wrapText="1"/>
    </xf>
    <xf numFmtId="0" fontId="39" fillId="0" borderId="0" xfId="0" applyFont="1" applyAlignment="1">
      <alignment horizontal="justify" vertical="top" wrapText="1"/>
    </xf>
    <xf numFmtId="0" fontId="39" fillId="0" borderId="0" xfId="0" quotePrefix="1" applyFont="1" applyAlignment="1">
      <alignment horizontal="justify"/>
    </xf>
    <xf numFmtId="0" fontId="39" fillId="0" borderId="0" xfId="0" quotePrefix="1" applyFont="1" applyAlignment="1">
      <alignment horizontal="justify" vertical="top" wrapText="1"/>
    </xf>
    <xf numFmtId="0" fontId="39" fillId="0" borderId="0" xfId="0" quotePrefix="1" applyFont="1" applyAlignment="1">
      <alignment vertical="top" wrapText="1"/>
    </xf>
    <xf numFmtId="0" fontId="39" fillId="0" borderId="0" xfId="0" quotePrefix="1" applyFont="1" applyAlignment="1">
      <alignment horizontal="justify" vertical="top"/>
    </xf>
    <xf numFmtId="168" fontId="39" fillId="0" borderId="0" xfId="0" applyNumberFormat="1" applyFont="1" applyAlignment="1">
      <alignment horizontal="right"/>
    </xf>
    <xf numFmtId="0" fontId="39" fillId="0" borderId="0" xfId="0" applyFont="1" applyAlignment="1">
      <alignment horizontal="left" vertical="top"/>
    </xf>
    <xf numFmtId="0" fontId="39" fillId="0" borderId="0" xfId="0" applyFont="1" applyAlignment="1">
      <alignment horizontal="justify"/>
    </xf>
    <xf numFmtId="168" fontId="39" fillId="0" borderId="0" xfId="0" applyNumberFormat="1" applyFont="1" applyAlignment="1">
      <alignment wrapText="1"/>
    </xf>
    <xf numFmtId="0" fontId="39" fillId="0" borderId="0" xfId="0" applyFont="1" applyAlignment="1">
      <alignment wrapText="1"/>
    </xf>
    <xf numFmtId="2" fontId="39" fillId="0" borderId="0" xfId="0" applyNumberFormat="1" applyFont="1" applyAlignment="1">
      <alignment horizontal="justify" vertical="top" wrapText="1"/>
    </xf>
    <xf numFmtId="0" fontId="36" fillId="0" borderId="3" xfId="0" applyFont="1" applyBorder="1" applyAlignment="1">
      <alignment horizontal="left" vertical="top"/>
    </xf>
    <xf numFmtId="0" fontId="36" fillId="0" borderId="4" xfId="0" applyFont="1" applyBorder="1" applyAlignment="1">
      <alignment horizontal="justify" vertical="top"/>
    </xf>
    <xf numFmtId="0" fontId="36" fillId="0" borderId="4" xfId="0" applyFont="1" applyBorder="1"/>
    <xf numFmtId="4" fontId="36" fillId="0" borderId="4" xfId="0" applyNumberFormat="1" applyFont="1" applyBorder="1"/>
    <xf numFmtId="168" fontId="36" fillId="0" borderId="4" xfId="0" applyNumberFormat="1" applyFont="1" applyBorder="1"/>
    <xf numFmtId="168" fontId="36" fillId="0" borderId="5" xfId="0" applyNumberFormat="1" applyFont="1" applyBorder="1"/>
    <xf numFmtId="0" fontId="36" fillId="0" borderId="0" xfId="0" applyFont="1" applyAlignment="1">
      <alignment vertical="top"/>
    </xf>
    <xf numFmtId="0" fontId="36" fillId="0" borderId="0" xfId="0" applyFont="1" applyAlignment="1">
      <alignment wrapText="1"/>
    </xf>
    <xf numFmtId="0" fontId="10" fillId="0" borderId="0" xfId="0" applyFont="1" applyAlignment="1">
      <alignment wrapText="1"/>
    </xf>
    <xf numFmtId="2" fontId="10" fillId="0" borderId="0" xfId="0" applyNumberFormat="1" applyFont="1"/>
    <xf numFmtId="0" fontId="11" fillId="0" borderId="7" xfId="0" applyFont="1" applyBorder="1" applyAlignment="1">
      <alignment horizontal="justify" vertical="top"/>
    </xf>
    <xf numFmtId="4" fontId="11" fillId="0" borderId="9" xfId="0" applyNumberFormat="1" applyFont="1" applyBorder="1" applyAlignment="1">
      <alignment horizontal="right" vertical="center"/>
    </xf>
    <xf numFmtId="175" fontId="36" fillId="0" borderId="0" xfId="19" applyFont="1" applyAlignment="1">
      <alignment horizontal="justify" vertical="top"/>
    </xf>
    <xf numFmtId="175" fontId="39" fillId="0" borderId="0" xfId="0" applyNumberFormat="1" applyFont="1" applyAlignment="1">
      <alignment horizontal="justify" vertical="top" wrapText="1"/>
    </xf>
    <xf numFmtId="175" fontId="11" fillId="0" borderId="0" xfId="0" applyNumberFormat="1" applyFont="1" applyAlignment="1">
      <alignment horizontal="justify" vertical="justify"/>
    </xf>
    <xf numFmtId="175" fontId="10" fillId="0" borderId="0" xfId="0" applyNumberFormat="1" applyFont="1" applyAlignment="1">
      <alignment horizontal="justify" vertical="center"/>
    </xf>
    <xf numFmtId="175" fontId="10" fillId="0" borderId="0" xfId="0" applyNumberFormat="1" applyFont="1" applyAlignment="1">
      <alignment horizontal="justify" vertical="justify"/>
    </xf>
    <xf numFmtId="175" fontId="36" fillId="0" borderId="0" xfId="0" applyNumberFormat="1" applyFont="1" applyAlignment="1">
      <alignment horizontal="justify" vertical="center"/>
    </xf>
    <xf numFmtId="175" fontId="10" fillId="0" borderId="0" xfId="0" applyNumberFormat="1" applyFont="1" applyAlignment="1">
      <alignment horizontal="right"/>
    </xf>
    <xf numFmtId="175" fontId="10" fillId="0" borderId="0" xfId="0" applyNumberFormat="1" applyFont="1" applyAlignment="1">
      <alignment horizontal="justify" wrapText="1"/>
    </xf>
    <xf numFmtId="175" fontId="10" fillId="0" borderId="0" xfId="0" applyNumberFormat="1" applyFont="1" applyAlignment="1">
      <alignment horizontal="justify" vertical="justify" wrapText="1"/>
    </xf>
    <xf numFmtId="0" fontId="10" fillId="0" borderId="0" xfId="0" applyFont="1" applyAlignment="1">
      <alignment vertical="center"/>
    </xf>
    <xf numFmtId="49" fontId="10" fillId="0" borderId="0" xfId="0" applyNumberFormat="1" applyFont="1" applyAlignment="1">
      <alignment horizontal="justify" vertical="center" wrapText="1"/>
    </xf>
    <xf numFmtId="49" fontId="10" fillId="0" borderId="0" xfId="0" applyNumberFormat="1" applyFont="1" applyAlignment="1">
      <alignment vertical="top" wrapText="1"/>
    </xf>
    <xf numFmtId="49" fontId="10" fillId="0" borderId="0" xfId="0" applyNumberFormat="1" applyFont="1" applyAlignment="1">
      <alignment vertical="center" wrapText="1"/>
    </xf>
    <xf numFmtId="49" fontId="10" fillId="0" borderId="6" xfId="0" applyNumberFormat="1" applyFont="1" applyBorder="1" applyAlignment="1">
      <alignment vertical="top" wrapText="1"/>
    </xf>
    <xf numFmtId="4" fontId="10" fillId="0" borderId="6" xfId="0" applyNumberFormat="1" applyFont="1" applyBorder="1" applyAlignment="1">
      <alignment horizontal="center" wrapText="1" shrinkToFit="1"/>
    </xf>
    <xf numFmtId="0" fontId="39" fillId="0" borderId="0" xfId="22" applyFont="1" applyAlignment="1">
      <alignment horizontal="justify" wrapText="1"/>
    </xf>
    <xf numFmtId="0" fontId="36" fillId="5" borderId="0" xfId="0" applyFont="1" applyFill="1" applyAlignment="1">
      <alignment horizontal="justify" vertical="top" wrapText="1"/>
    </xf>
    <xf numFmtId="0" fontId="39" fillId="0" borderId="0" xfId="0" applyFont="1" applyAlignment="1" applyProtection="1">
      <alignment horizontal="justify" vertical="top" wrapText="1"/>
      <protection locked="0"/>
    </xf>
    <xf numFmtId="1" fontId="39" fillId="0" borderId="0" xfId="0" applyNumberFormat="1" applyFont="1" applyAlignment="1" applyProtection="1">
      <alignment horizontal="center" wrapText="1"/>
      <protection locked="0"/>
    </xf>
    <xf numFmtId="0" fontId="39" fillId="0" borderId="0" xfId="0" applyFont="1" applyAlignment="1">
      <alignment horizontal="center"/>
    </xf>
    <xf numFmtId="0" fontId="39" fillId="0" borderId="0" xfId="24" applyFont="1" applyAlignment="1">
      <alignment horizontal="justify" vertical="top" wrapText="1"/>
    </xf>
    <xf numFmtId="0" fontId="39" fillId="0" borderId="0" xfId="0" applyFont="1" applyAlignment="1">
      <alignment horizontal="justify" wrapText="1"/>
    </xf>
    <xf numFmtId="2" fontId="39" fillId="0" borderId="0" xfId="0" applyNumberFormat="1" applyFont="1" applyAlignment="1">
      <alignment horizontal="right" wrapText="1"/>
    </xf>
    <xf numFmtId="0" fontId="39" fillId="0" borderId="0" xfId="0" applyFont="1" applyAlignment="1">
      <alignment horizontal="right" wrapText="1"/>
    </xf>
    <xf numFmtId="0" fontId="39" fillId="0" borderId="0" xfId="16" applyFont="1" applyAlignment="1">
      <alignment horizontal="center"/>
    </xf>
    <xf numFmtId="171" fontId="72" fillId="0" borderId="20" xfId="38" applyNumberFormat="1" applyFont="1" applyBorder="1" applyAlignment="1">
      <alignment horizontal="center" vertical="top"/>
    </xf>
    <xf numFmtId="0" fontId="73" fillId="0" borderId="19" xfId="38" applyFont="1" applyBorder="1" applyAlignment="1">
      <alignment horizontal="center" vertical="center"/>
    </xf>
    <xf numFmtId="0" fontId="74" fillId="0" borderId="14" xfId="38" applyFont="1" applyBorder="1" applyAlignment="1">
      <alignment horizontal="center" vertical="center" wrapText="1"/>
    </xf>
    <xf numFmtId="2" fontId="75" fillId="0" borderId="14" xfId="38" applyNumberFormat="1" applyFont="1" applyBorder="1" applyAlignment="1">
      <alignment horizontal="center" vertical="center" wrapText="1"/>
    </xf>
    <xf numFmtId="2" fontId="75" fillId="0" borderId="19" xfId="38" applyNumberFormat="1" applyFont="1" applyBorder="1" applyAlignment="1">
      <alignment horizontal="center" vertical="center" wrapText="1"/>
    </xf>
    <xf numFmtId="0" fontId="75" fillId="0" borderId="18" xfId="38" applyFont="1" applyBorder="1" applyAlignment="1">
      <alignment horizontal="center" vertical="center" wrapText="1"/>
    </xf>
    <xf numFmtId="0" fontId="4" fillId="0" borderId="0" xfId="38"/>
    <xf numFmtId="0" fontId="76" fillId="3" borderId="20" xfId="38" applyFont="1" applyFill="1" applyBorder="1" applyAlignment="1">
      <alignment vertical="top"/>
    </xf>
    <xf numFmtId="0" fontId="76" fillId="3" borderId="19" xfId="38" applyFont="1" applyFill="1" applyBorder="1" applyAlignment="1">
      <alignment wrapText="1"/>
    </xf>
    <xf numFmtId="0" fontId="72" fillId="3" borderId="14" xfId="38" applyFont="1" applyFill="1" applyBorder="1" applyAlignment="1">
      <alignment horizontal="center"/>
    </xf>
    <xf numFmtId="2" fontId="72" fillId="3" borderId="20" xfId="38" applyNumberFormat="1" applyFont="1" applyFill="1" applyBorder="1" applyAlignment="1">
      <alignment horizontal="center"/>
    </xf>
    <xf numFmtId="2" fontId="72" fillId="3" borderId="19" xfId="38" applyNumberFormat="1" applyFont="1" applyFill="1" applyBorder="1"/>
    <xf numFmtId="168" fontId="73" fillId="3" borderId="18" xfId="38" applyNumberFormat="1" applyFont="1" applyFill="1" applyBorder="1"/>
    <xf numFmtId="0" fontId="72" fillId="0" borderId="0" xfId="38" applyFont="1" applyAlignment="1">
      <alignment vertical="top"/>
    </xf>
    <xf numFmtId="0" fontId="76" fillId="0" borderId="0" xfId="38" applyFont="1" applyAlignment="1">
      <alignment wrapText="1"/>
    </xf>
    <xf numFmtId="0" fontId="72" fillId="0" borderId="22" xfId="38" applyFont="1" applyBorder="1" applyAlignment="1">
      <alignment horizontal="center"/>
    </xf>
    <xf numFmtId="2" fontId="72" fillId="0" borderId="22" xfId="38" applyNumberFormat="1" applyFont="1" applyBorder="1" applyAlignment="1">
      <alignment horizontal="center"/>
    </xf>
    <xf numFmtId="2" fontId="72" fillId="0" borderId="0" xfId="38" applyNumberFormat="1" applyFont="1"/>
    <xf numFmtId="168" fontId="73" fillId="0" borderId="21" xfId="38" applyNumberFormat="1" applyFont="1" applyBorder="1"/>
    <xf numFmtId="0" fontId="76" fillId="8" borderId="20" xfId="38" applyFont="1" applyFill="1" applyBorder="1" applyAlignment="1">
      <alignment vertical="top"/>
    </xf>
    <xf numFmtId="0" fontId="76" fillId="8" borderId="19" xfId="38" applyFont="1" applyFill="1" applyBorder="1" applyAlignment="1">
      <alignment wrapText="1"/>
    </xf>
    <xf numFmtId="0" fontId="72" fillId="8" borderId="14" xfId="38" applyFont="1" applyFill="1" applyBorder="1" applyAlignment="1">
      <alignment horizontal="center"/>
    </xf>
    <xf numFmtId="2" fontId="72" fillId="8" borderId="20" xfId="38" applyNumberFormat="1" applyFont="1" applyFill="1" applyBorder="1" applyAlignment="1">
      <alignment horizontal="center"/>
    </xf>
    <xf numFmtId="2" fontId="72" fillId="8" borderId="19" xfId="38" applyNumberFormat="1" applyFont="1" applyFill="1" applyBorder="1"/>
    <xf numFmtId="168" fontId="73" fillId="8" borderId="18" xfId="38" applyNumberFormat="1" applyFont="1" applyFill="1" applyBorder="1"/>
    <xf numFmtId="0" fontId="72" fillId="0" borderId="0" xfId="38" applyFont="1" applyAlignment="1">
      <alignment wrapText="1"/>
    </xf>
    <xf numFmtId="171" fontId="72" fillId="0" borderId="0" xfId="39" applyNumberFormat="1" applyFont="1" applyAlignment="1">
      <alignment vertical="top"/>
    </xf>
    <xf numFmtId="0" fontId="72" fillId="0" borderId="0" xfId="39" applyFont="1" applyAlignment="1">
      <alignment vertical="top" wrapText="1"/>
    </xf>
    <xf numFmtId="0" fontId="72" fillId="0" borderId="22" xfId="40" applyFont="1" applyBorder="1" applyAlignment="1">
      <alignment horizontal="right"/>
    </xf>
    <xf numFmtId="171" fontId="0" fillId="0" borderId="0" xfId="39" applyNumberFormat="1" applyFont="1" applyAlignment="1">
      <alignment vertical="top"/>
    </xf>
    <xf numFmtId="0" fontId="0" fillId="0" borderId="0" xfId="39" applyFont="1" applyAlignment="1">
      <alignment vertical="top" wrapText="1"/>
    </xf>
    <xf numFmtId="0" fontId="0" fillId="0" borderId="22" xfId="40" applyFont="1" applyBorder="1" applyAlignment="1">
      <alignment horizontal="right"/>
    </xf>
    <xf numFmtId="2" fontId="4" fillId="0" borderId="22" xfId="38" applyNumberFormat="1" applyBorder="1" applyAlignment="1">
      <alignment horizontal="center"/>
    </xf>
    <xf numFmtId="168" fontId="77" fillId="0" borderId="21" xfId="38" applyNumberFormat="1" applyFont="1" applyBorder="1"/>
    <xf numFmtId="171" fontId="4" fillId="0" borderId="0" xfId="38" applyNumberFormat="1" applyAlignment="1">
      <alignment horizontal="center" vertical="top"/>
    </xf>
    <xf numFmtId="0" fontId="0" fillId="0" borderId="0" xfId="41" applyFont="1" applyAlignment="1">
      <alignment vertical="top" wrapText="1"/>
    </xf>
    <xf numFmtId="0" fontId="4" fillId="0" borderId="22" xfId="38" applyBorder="1" applyAlignment="1">
      <alignment horizontal="center"/>
    </xf>
    <xf numFmtId="2" fontId="4" fillId="0" borderId="21" xfId="38" applyNumberFormat="1" applyBorder="1" applyAlignment="1">
      <alignment horizontal="center"/>
    </xf>
    <xf numFmtId="4" fontId="77" fillId="0" borderId="21" xfId="38" applyNumberFormat="1" applyFont="1" applyBorder="1" applyAlignment="1">
      <alignment horizontal="right"/>
    </xf>
    <xf numFmtId="0" fontId="0" fillId="0" borderId="0" xfId="42" applyFont="1" applyAlignment="1">
      <alignment vertical="top" wrapText="1"/>
    </xf>
    <xf numFmtId="0" fontId="72" fillId="0" borderId="22" xfId="43" applyFont="1" applyBorder="1" applyAlignment="1">
      <alignment horizontal="right"/>
    </xf>
    <xf numFmtId="2" fontId="4" fillId="7" borderId="21" xfId="38" applyNumberFormat="1" applyFill="1" applyBorder="1" applyAlignment="1">
      <alignment horizontal="center"/>
    </xf>
    <xf numFmtId="0" fontId="0" fillId="0" borderId="0" xfId="44" applyFont="1" applyAlignment="1">
      <alignment vertical="top" wrapText="1"/>
    </xf>
    <xf numFmtId="0" fontId="72" fillId="0" borderId="22" xfId="45" applyFont="1" applyBorder="1" applyAlignment="1">
      <alignment horizontal="right"/>
    </xf>
    <xf numFmtId="0" fontId="4" fillId="0" borderId="0" xfId="38" applyAlignment="1">
      <alignment wrapText="1"/>
    </xf>
    <xf numFmtId="0" fontId="0" fillId="0" borderId="0" xfId="46" quotePrefix="1" applyFont="1" applyAlignment="1">
      <alignment vertical="top" wrapText="1"/>
    </xf>
    <xf numFmtId="4" fontId="77" fillId="0" borderId="21" xfId="38" applyNumberFormat="1" applyFont="1" applyBorder="1" applyAlignment="1">
      <alignment horizontal="right" wrapText="1"/>
    </xf>
    <xf numFmtId="171" fontId="0" fillId="0" borderId="0" xfId="47" applyNumberFormat="1" applyFont="1" applyAlignment="1">
      <alignment vertical="top"/>
    </xf>
    <xf numFmtId="0" fontId="0" fillId="0" borderId="0" xfId="47" applyFont="1" applyAlignment="1">
      <alignment vertical="top" wrapText="1"/>
    </xf>
    <xf numFmtId="0" fontId="0" fillId="0" borderId="22" xfId="48" applyFont="1" applyBorder="1" applyAlignment="1">
      <alignment horizontal="right"/>
    </xf>
    <xf numFmtId="171" fontId="0" fillId="0" borderId="0" xfId="49" applyNumberFormat="1" applyFont="1" applyAlignment="1">
      <alignment vertical="top"/>
    </xf>
    <xf numFmtId="0" fontId="0" fillId="0" borderId="0" xfId="49" applyFont="1" applyAlignment="1">
      <alignment vertical="top" wrapText="1"/>
    </xf>
    <xf numFmtId="171" fontId="0" fillId="0" borderId="0" xfId="50" applyNumberFormat="1" applyFont="1" applyAlignment="1">
      <alignment vertical="top"/>
    </xf>
    <xf numFmtId="0" fontId="0" fillId="0" borderId="0" xfId="50" applyFont="1" applyAlignment="1">
      <alignment vertical="top" wrapText="1"/>
    </xf>
    <xf numFmtId="171" fontId="0" fillId="0" borderId="0" xfId="51" applyNumberFormat="1" applyFont="1" applyAlignment="1">
      <alignment vertical="top"/>
    </xf>
    <xf numFmtId="0" fontId="0" fillId="0" borderId="0" xfId="51" applyFont="1" applyAlignment="1">
      <alignment vertical="top" wrapText="1"/>
    </xf>
    <xf numFmtId="0" fontId="56" fillId="9" borderId="20" xfId="38" applyFont="1" applyFill="1" applyBorder="1" applyAlignment="1">
      <alignment vertical="top"/>
    </xf>
    <xf numFmtId="0" fontId="56" fillId="9" borderId="20" xfId="38" applyFont="1" applyFill="1" applyBorder="1" applyAlignment="1">
      <alignment wrapText="1"/>
    </xf>
    <xf numFmtId="0" fontId="56" fillId="9" borderId="14" xfId="38" applyFont="1" applyFill="1" applyBorder="1" applyAlignment="1">
      <alignment horizontal="center"/>
    </xf>
    <xf numFmtId="2" fontId="56" fillId="9" borderId="20" xfId="38" applyNumberFormat="1" applyFont="1" applyFill="1" applyBorder="1" applyAlignment="1">
      <alignment horizontal="center"/>
    </xf>
    <xf numFmtId="2" fontId="56" fillId="9" borderId="19" xfId="38" applyNumberFormat="1" applyFont="1" applyFill="1" applyBorder="1"/>
    <xf numFmtId="168" fontId="77" fillId="9" borderId="18" xfId="38" applyNumberFormat="1" applyFont="1" applyFill="1" applyBorder="1"/>
    <xf numFmtId="2" fontId="4" fillId="0" borderId="0" xfId="38" applyNumberFormat="1"/>
    <xf numFmtId="171" fontId="56" fillId="8" borderId="20" xfId="38" applyNumberFormat="1" applyFont="1" applyFill="1" applyBorder="1" applyAlignment="1">
      <alignment horizontal="center" vertical="top"/>
    </xf>
    <xf numFmtId="0" fontId="56" fillId="8" borderId="19" xfId="38" applyFont="1" applyFill="1" applyBorder="1" applyAlignment="1">
      <alignment wrapText="1"/>
    </xf>
    <xf numFmtId="0" fontId="4" fillId="8" borderId="14" xfId="38" applyFill="1" applyBorder="1" applyAlignment="1">
      <alignment horizontal="center"/>
    </xf>
    <xf numFmtId="2" fontId="4" fillId="8" borderId="20" xfId="38" applyNumberFormat="1" applyFill="1" applyBorder="1" applyAlignment="1">
      <alignment horizontal="center"/>
    </xf>
    <xf numFmtId="2" fontId="4" fillId="8" borderId="19" xfId="38" applyNumberFormat="1" applyFill="1" applyBorder="1"/>
    <xf numFmtId="168" fontId="77" fillId="8" borderId="18" xfId="38" applyNumberFormat="1" applyFont="1" applyFill="1" applyBorder="1"/>
    <xf numFmtId="171" fontId="0" fillId="0" borderId="0" xfId="52" applyNumberFormat="1" applyFont="1" applyAlignment="1">
      <alignment vertical="top"/>
    </xf>
    <xf numFmtId="0" fontId="72" fillId="0" borderId="0" xfId="52" applyFont="1" applyAlignment="1">
      <alignment horizontal="left" vertical="top" wrapText="1"/>
    </xf>
    <xf numFmtId="171" fontId="0" fillId="0" borderId="0" xfId="53" applyNumberFormat="1" applyFont="1" applyAlignment="1">
      <alignment vertical="top"/>
    </xf>
    <xf numFmtId="0" fontId="0" fillId="0" borderId="0" xfId="53" applyFont="1" applyAlignment="1">
      <alignment horizontal="left" vertical="top" wrapText="1"/>
    </xf>
    <xf numFmtId="0" fontId="0" fillId="0" borderId="22" xfId="54" applyFont="1" applyBorder="1" applyAlignment="1">
      <alignment horizontal="right"/>
    </xf>
    <xf numFmtId="0" fontId="77" fillId="0" borderId="21" xfId="38" applyFont="1" applyBorder="1"/>
    <xf numFmtId="0" fontId="0" fillId="0" borderId="0" xfId="52" applyFont="1" applyAlignment="1">
      <alignment horizontal="left" vertical="top" wrapText="1"/>
    </xf>
    <xf numFmtId="0" fontId="4" fillId="0" borderId="0" xfId="38" applyAlignment="1">
      <alignment vertical="top"/>
    </xf>
    <xf numFmtId="0" fontId="0" fillId="0" borderId="0" xfId="55" applyFont="1" applyAlignment="1" applyProtection="1">
      <alignment horizontal="left" vertical="top" wrapText="1"/>
      <protection locked="0"/>
    </xf>
    <xf numFmtId="171" fontId="0" fillId="0" borderId="0" xfId="56" applyNumberFormat="1" applyFont="1" applyAlignment="1">
      <alignment vertical="top"/>
    </xf>
    <xf numFmtId="0" fontId="0" fillId="0" borderId="0" xfId="56" applyFont="1" applyAlignment="1">
      <alignment vertical="top" wrapText="1"/>
    </xf>
    <xf numFmtId="0" fontId="0" fillId="0" borderId="0" xfId="57" applyFont="1" applyAlignment="1">
      <alignment vertical="top" wrapText="1"/>
    </xf>
    <xf numFmtId="171" fontId="0" fillId="0" borderId="0" xfId="58" applyNumberFormat="1" applyFont="1" applyAlignment="1">
      <alignment vertical="top"/>
    </xf>
    <xf numFmtId="0" fontId="0" fillId="0" borderId="0" xfId="58" applyFont="1" applyAlignment="1">
      <alignment vertical="top" wrapText="1"/>
    </xf>
    <xf numFmtId="0" fontId="0" fillId="0" borderId="0" xfId="59" applyFont="1" applyAlignment="1">
      <alignment wrapText="1"/>
    </xf>
    <xf numFmtId="0" fontId="0" fillId="0" borderId="0" xfId="60" applyFont="1" applyAlignment="1">
      <alignment wrapText="1"/>
    </xf>
    <xf numFmtId="0" fontId="0" fillId="0" borderId="0" xfId="61" applyFont="1" applyAlignment="1">
      <alignment horizontal="justify"/>
    </xf>
    <xf numFmtId="171" fontId="72" fillId="0" borderId="0" xfId="38" applyNumberFormat="1" applyFont="1" applyAlignment="1">
      <alignment vertical="top"/>
    </xf>
    <xf numFmtId="0" fontId="72" fillId="0" borderId="0" xfId="38" applyFont="1" applyAlignment="1">
      <alignment horizontal="left" vertical="top" wrapText="1"/>
    </xf>
    <xf numFmtId="0" fontId="72" fillId="0" borderId="22" xfId="38" applyFont="1" applyBorder="1" applyAlignment="1">
      <alignment horizontal="right" wrapText="1"/>
    </xf>
    <xf numFmtId="0" fontId="72" fillId="0" borderId="0" xfId="38" applyFont="1"/>
    <xf numFmtId="171" fontId="0" fillId="0" borderId="0" xfId="62" applyNumberFormat="1" applyFont="1" applyAlignment="1">
      <alignment vertical="top"/>
    </xf>
    <xf numFmtId="0" fontId="0" fillId="0" borderId="0" xfId="62" applyFont="1" applyAlignment="1">
      <alignment horizontal="left" vertical="top" wrapText="1"/>
    </xf>
    <xf numFmtId="171" fontId="0" fillId="0" borderId="0" xfId="63" applyNumberFormat="1" applyFont="1" applyAlignment="1">
      <alignment vertical="top"/>
    </xf>
    <xf numFmtId="0" fontId="0" fillId="0" borderId="0" xfId="63" applyFont="1" applyAlignment="1">
      <alignment horizontal="left" vertical="top" wrapText="1"/>
    </xf>
    <xf numFmtId="2" fontId="4" fillId="0" borderId="23" xfId="38" applyNumberFormat="1" applyBorder="1" applyAlignment="1">
      <alignment horizontal="center"/>
    </xf>
    <xf numFmtId="171" fontId="0" fillId="0" borderId="0" xfId="64" applyNumberFormat="1" applyFont="1" applyAlignment="1">
      <alignment vertical="top"/>
    </xf>
    <xf numFmtId="0" fontId="0" fillId="0" borderId="0" xfId="64" applyFont="1" applyAlignment="1">
      <alignment vertical="top" wrapText="1"/>
    </xf>
    <xf numFmtId="2" fontId="72" fillId="0" borderId="23" xfId="38" applyNumberFormat="1" applyFont="1" applyBorder="1" applyAlignment="1">
      <alignment horizontal="center"/>
    </xf>
    <xf numFmtId="0" fontId="76" fillId="8" borderId="14" xfId="38" applyFont="1" applyFill="1" applyBorder="1" applyAlignment="1">
      <alignment horizontal="center"/>
    </xf>
    <xf numFmtId="2" fontId="76" fillId="8" borderId="20" xfId="38" applyNumberFormat="1" applyFont="1" applyFill="1" applyBorder="1" applyAlignment="1">
      <alignment horizontal="center"/>
    </xf>
    <xf numFmtId="2" fontId="76" fillId="8" borderId="19" xfId="38" applyNumberFormat="1" applyFont="1" applyFill="1" applyBorder="1"/>
    <xf numFmtId="0" fontId="72" fillId="0" borderId="0" xfId="38" applyFont="1" applyAlignment="1">
      <alignment vertical="center" wrapText="1"/>
    </xf>
    <xf numFmtId="171" fontId="0" fillId="0" borderId="0" xfId="65" applyNumberFormat="1" applyFont="1" applyAlignment="1">
      <alignment vertical="top"/>
    </xf>
    <xf numFmtId="0" fontId="72" fillId="0" borderId="0" xfId="65" applyFont="1" applyAlignment="1">
      <alignment vertical="top" wrapText="1"/>
    </xf>
    <xf numFmtId="0" fontId="0" fillId="0" borderId="0" xfId="66" quotePrefix="1" applyFont="1" applyAlignment="1">
      <alignment vertical="top" wrapText="1"/>
    </xf>
    <xf numFmtId="0" fontId="56" fillId="8" borderId="19" xfId="46" quotePrefix="1" applyFont="1" applyFill="1" applyBorder="1" applyAlignment="1">
      <alignment vertical="top" wrapText="1"/>
    </xf>
    <xf numFmtId="0" fontId="56" fillId="8" borderId="14" xfId="40" applyFont="1" applyFill="1" applyBorder="1" applyAlignment="1">
      <alignment horizontal="right"/>
    </xf>
    <xf numFmtId="2" fontId="56" fillId="8" borderId="20" xfId="38" applyNumberFormat="1" applyFont="1" applyFill="1" applyBorder="1" applyAlignment="1">
      <alignment horizontal="center"/>
    </xf>
    <xf numFmtId="2" fontId="56" fillId="8" borderId="19" xfId="38" applyNumberFormat="1" applyFont="1" applyFill="1" applyBorder="1"/>
    <xf numFmtId="4" fontId="77" fillId="8" borderId="18" xfId="38" applyNumberFormat="1" applyFont="1" applyFill="1" applyBorder="1" applyAlignment="1">
      <alignment horizontal="right" wrapText="1"/>
    </xf>
    <xf numFmtId="0" fontId="80" fillId="0" borderId="0" xfId="39" applyFont="1" applyAlignment="1">
      <alignment vertical="top" wrapText="1"/>
    </xf>
    <xf numFmtId="171" fontId="0" fillId="0" borderId="0" xfId="67" applyNumberFormat="1" applyFont="1" applyAlignment="1">
      <alignment vertical="top"/>
    </xf>
    <xf numFmtId="0" fontId="0" fillId="0" borderId="0" xfId="67" applyFont="1" applyAlignment="1">
      <alignment vertical="top" wrapText="1"/>
    </xf>
    <xf numFmtId="0" fontId="0" fillId="0" borderId="0" xfId="68" quotePrefix="1" applyFont="1" applyAlignment="1">
      <alignment vertical="top" wrapText="1"/>
    </xf>
    <xf numFmtId="0" fontId="80" fillId="0" borderId="0" xfId="65" applyFont="1" applyAlignment="1">
      <alignment vertical="top" wrapText="1"/>
    </xf>
    <xf numFmtId="171" fontId="0" fillId="0" borderId="0" xfId="69" applyNumberFormat="1" applyFont="1" applyAlignment="1">
      <alignment vertical="top"/>
    </xf>
    <xf numFmtId="0" fontId="0" fillId="0" borderId="0" xfId="69" applyFont="1" applyAlignment="1">
      <alignment vertical="top" wrapText="1"/>
    </xf>
    <xf numFmtId="171" fontId="0" fillId="0" borderId="0" xfId="70" applyNumberFormat="1" applyFont="1" applyAlignment="1">
      <alignment vertical="top"/>
    </xf>
    <xf numFmtId="0" fontId="0" fillId="0" borderId="0" xfId="70" applyFont="1" applyAlignment="1">
      <alignment vertical="top" wrapText="1"/>
    </xf>
    <xf numFmtId="171" fontId="0" fillId="0" borderId="0" xfId="71" applyNumberFormat="1" applyFont="1" applyAlignment="1">
      <alignment vertical="top"/>
    </xf>
    <xf numFmtId="0" fontId="0" fillId="0" borderId="0" xfId="71" applyFont="1" applyAlignment="1">
      <alignment vertical="top" wrapText="1"/>
    </xf>
    <xf numFmtId="171" fontId="0" fillId="0" borderId="0" xfId="72" applyNumberFormat="1" applyFont="1" applyAlignment="1">
      <alignment vertical="top"/>
    </xf>
    <xf numFmtId="0" fontId="0" fillId="0" borderId="0" xfId="72" applyFont="1" applyAlignment="1">
      <alignment vertical="top" wrapText="1"/>
    </xf>
    <xf numFmtId="171" fontId="0" fillId="0" borderId="0" xfId="73" applyNumberFormat="1" applyFont="1" applyAlignment="1">
      <alignment vertical="top"/>
    </xf>
    <xf numFmtId="0" fontId="0" fillId="0" borderId="0" xfId="73" applyFont="1" applyAlignment="1">
      <alignment vertical="top" wrapText="1"/>
    </xf>
    <xf numFmtId="171" fontId="0" fillId="0" borderId="0" xfId="74" applyNumberFormat="1" applyFont="1" applyAlignment="1">
      <alignment vertical="top"/>
    </xf>
    <xf numFmtId="0" fontId="0" fillId="0" borderId="0" xfId="74" applyFont="1" applyAlignment="1">
      <alignment vertical="top" wrapText="1"/>
    </xf>
    <xf numFmtId="0" fontId="81" fillId="0" borderId="0" xfId="75" applyFont="1" applyAlignment="1">
      <alignment vertical="top" wrapText="1"/>
    </xf>
    <xf numFmtId="0" fontId="0" fillId="0" borderId="0" xfId="75" applyFont="1" applyAlignment="1">
      <alignment vertical="top" wrapText="1"/>
    </xf>
    <xf numFmtId="171" fontId="72" fillId="0" borderId="0" xfId="76" applyNumberFormat="1" applyFont="1" applyAlignment="1">
      <alignment vertical="top"/>
    </xf>
    <xf numFmtId="0" fontId="72" fillId="0" borderId="0" xfId="76" applyFont="1" applyAlignment="1">
      <alignment horizontal="left" vertical="top" wrapText="1"/>
    </xf>
    <xf numFmtId="0" fontId="72" fillId="0" borderId="22" xfId="54" applyFont="1" applyBorder="1" applyAlignment="1">
      <alignment horizontal="right"/>
    </xf>
    <xf numFmtId="2" fontId="4" fillId="0" borderId="0" xfId="38" applyNumberFormat="1" applyAlignment="1">
      <alignment horizontal="center"/>
    </xf>
    <xf numFmtId="168" fontId="4" fillId="0" borderId="0" xfId="38" applyNumberFormat="1"/>
    <xf numFmtId="0" fontId="0" fillId="0" borderId="0" xfId="77" applyFont="1" applyAlignment="1">
      <alignment vertical="top" wrapText="1"/>
    </xf>
    <xf numFmtId="2" fontId="77" fillId="0" borderId="21" xfId="38" applyNumberFormat="1" applyFont="1" applyBorder="1" applyAlignment="1">
      <alignment horizontal="center"/>
    </xf>
    <xf numFmtId="2" fontId="77" fillId="0" borderId="21" xfId="38" applyNumberFormat="1" applyFont="1" applyBorder="1" applyAlignment="1">
      <alignment horizontal="center" wrapText="1"/>
    </xf>
    <xf numFmtId="0" fontId="56" fillId="8" borderId="14" xfId="38" applyFont="1" applyFill="1" applyBorder="1" applyAlignment="1">
      <alignment horizontal="center"/>
    </xf>
    <xf numFmtId="171" fontId="0" fillId="0" borderId="0" xfId="78" applyNumberFormat="1" applyFont="1" applyAlignment="1">
      <alignment vertical="top"/>
    </xf>
    <xf numFmtId="0" fontId="4" fillId="0" borderId="0" xfId="38" applyAlignment="1">
      <alignment vertical="top" wrapText="1"/>
    </xf>
    <xf numFmtId="0" fontId="0" fillId="0" borderId="0" xfId="79" quotePrefix="1" applyFont="1" applyAlignment="1">
      <alignment horizontal="left" vertical="top" wrapText="1"/>
    </xf>
    <xf numFmtId="171" fontId="0" fillId="0" borderId="0" xfId="80" applyNumberFormat="1" applyFont="1" applyAlignment="1">
      <alignment vertical="top"/>
    </xf>
    <xf numFmtId="0" fontId="4" fillId="0" borderId="0" xfId="38" quotePrefix="1" applyAlignment="1">
      <alignment vertical="top" wrapText="1"/>
    </xf>
    <xf numFmtId="0" fontId="0" fillId="0" borderId="0" xfId="81" quotePrefix="1" applyFont="1" applyAlignment="1">
      <alignment horizontal="left" vertical="top" wrapText="1"/>
    </xf>
    <xf numFmtId="2" fontId="0" fillId="0" borderId="0" xfId="82" applyNumberFormat="1" applyFont="1" applyAlignment="1">
      <alignment horizontal="center"/>
    </xf>
    <xf numFmtId="43" fontId="77" fillId="0" borderId="21" xfId="82" applyFont="1" applyBorder="1" applyAlignment="1">
      <alignment horizontal="center"/>
    </xf>
    <xf numFmtId="0" fontId="56" fillId="0" borderId="0" xfId="46" quotePrefix="1" applyFont="1" applyAlignment="1">
      <alignment vertical="top" wrapText="1"/>
    </xf>
    <xf numFmtId="0" fontId="0" fillId="0" borderId="0" xfId="83" applyFont="1" applyAlignment="1">
      <alignment horizontal="left" vertical="top" wrapText="1"/>
    </xf>
    <xf numFmtId="0" fontId="77" fillId="0" borderId="0" xfId="59" applyFont="1" applyAlignment="1">
      <alignment wrapText="1"/>
    </xf>
    <xf numFmtId="0" fontId="4" fillId="0" borderId="0" xfId="59" applyFont="1" applyAlignment="1">
      <alignment wrapText="1"/>
    </xf>
    <xf numFmtId="171" fontId="0" fillId="0" borderId="0" xfId="84" applyNumberFormat="1" applyFont="1" applyAlignment="1">
      <alignment vertical="top"/>
    </xf>
    <xf numFmtId="0" fontId="0" fillId="0" borderId="0" xfId="85" applyFont="1" applyAlignment="1">
      <alignment vertical="top" wrapText="1"/>
    </xf>
    <xf numFmtId="171" fontId="0" fillId="0" borderId="0" xfId="86" applyNumberFormat="1" applyFont="1" applyAlignment="1">
      <alignment vertical="top"/>
    </xf>
    <xf numFmtId="0" fontId="0" fillId="0" borderId="0" xfId="87" applyFont="1" applyAlignment="1">
      <alignment vertical="top" wrapText="1"/>
    </xf>
    <xf numFmtId="0" fontId="7" fillId="0" borderId="0" xfId="38" applyFont="1" applyAlignment="1">
      <alignment horizontal="left" vertical="top" wrapText="1"/>
    </xf>
    <xf numFmtId="4" fontId="80" fillId="0" borderId="22" xfId="38" applyNumberFormat="1" applyFont="1" applyBorder="1" applyAlignment="1">
      <alignment horizontal="right" wrapText="1"/>
    </xf>
    <xf numFmtId="2" fontId="80" fillId="0" borderId="22" xfId="38" applyNumberFormat="1" applyFont="1" applyBorder="1" applyAlignment="1">
      <alignment horizontal="right" wrapText="1"/>
    </xf>
    <xf numFmtId="0" fontId="7" fillId="0" borderId="0" xfId="38" applyFont="1"/>
    <xf numFmtId="0" fontId="80" fillId="0" borderId="0" xfId="38" applyFont="1" applyAlignment="1">
      <alignment horizontal="justify" vertical="top" wrapText="1"/>
    </xf>
    <xf numFmtId="0" fontId="56" fillId="9" borderId="20" xfId="38" applyFont="1" applyFill="1" applyBorder="1" applyAlignment="1">
      <alignment vertical="center"/>
    </xf>
    <xf numFmtId="0" fontId="56" fillId="9" borderId="20" xfId="38" applyFont="1" applyFill="1" applyBorder="1" applyAlignment="1">
      <alignment vertical="center" wrapText="1"/>
    </xf>
    <xf numFmtId="0" fontId="56" fillId="9" borderId="14" xfId="38" applyFont="1" applyFill="1" applyBorder="1" applyAlignment="1">
      <alignment horizontal="center" vertical="center"/>
    </xf>
    <xf numFmtId="2" fontId="56" fillId="9" borderId="20" xfId="38" applyNumberFormat="1" applyFont="1" applyFill="1" applyBorder="1" applyAlignment="1">
      <alignment horizontal="center" vertical="center"/>
    </xf>
    <xf numFmtId="2" fontId="56" fillId="9" borderId="19" xfId="38" applyNumberFormat="1" applyFont="1" applyFill="1" applyBorder="1" applyAlignment="1">
      <alignment vertical="center"/>
    </xf>
    <xf numFmtId="168" fontId="77" fillId="9" borderId="18" xfId="38" applyNumberFormat="1" applyFont="1" applyFill="1" applyBorder="1" applyAlignment="1">
      <alignment vertical="center"/>
    </xf>
    <xf numFmtId="0" fontId="0" fillId="0" borderId="0" xfId="86" applyFont="1" applyAlignment="1">
      <alignment vertical="top" wrapText="1"/>
    </xf>
    <xf numFmtId="171" fontId="0" fillId="0" borderId="0" xfId="88" applyNumberFormat="1" applyFont="1" applyAlignment="1">
      <alignment vertical="top"/>
    </xf>
    <xf numFmtId="0" fontId="0" fillId="0" borderId="0" xfId="89" applyFont="1" applyAlignment="1">
      <alignment vertical="top" wrapText="1"/>
    </xf>
    <xf numFmtId="171" fontId="0" fillId="0" borderId="0" xfId="90" applyNumberFormat="1" applyFont="1" applyAlignment="1">
      <alignment vertical="top"/>
    </xf>
    <xf numFmtId="0" fontId="0" fillId="0" borderId="0" xfId="90" applyFont="1" applyAlignment="1">
      <alignment vertical="top" wrapText="1"/>
    </xf>
    <xf numFmtId="171" fontId="0" fillId="0" borderId="0" xfId="91" applyNumberFormat="1" applyFont="1" applyAlignment="1">
      <alignment vertical="top"/>
    </xf>
    <xf numFmtId="0" fontId="4" fillId="0" borderId="0" xfId="38" applyAlignment="1">
      <alignment horizontal="center"/>
    </xf>
    <xf numFmtId="168" fontId="77" fillId="0" borderId="0" xfId="38" applyNumberFormat="1" applyFont="1" applyAlignment="1">
      <alignment horizontal="center"/>
    </xf>
    <xf numFmtId="0" fontId="77" fillId="0" borderId="0" xfId="92" applyFont="1" applyAlignment="1">
      <alignment vertical="top" wrapText="1"/>
    </xf>
    <xf numFmtId="0" fontId="0" fillId="0" borderId="23" xfId="54" applyFont="1" applyBorder="1" applyAlignment="1">
      <alignment horizontal="right"/>
    </xf>
    <xf numFmtId="168" fontId="4" fillId="0" borderId="0" xfId="38" applyNumberFormat="1" applyAlignment="1">
      <alignment horizontal="center"/>
    </xf>
    <xf numFmtId="0" fontId="0" fillId="0" borderId="0" xfId="92" applyFont="1" applyAlignment="1">
      <alignment vertical="top" wrapText="1"/>
    </xf>
    <xf numFmtId="0" fontId="81" fillId="0" borderId="0" xfId="92" applyFont="1" applyAlignment="1">
      <alignment vertical="top" wrapText="1"/>
    </xf>
    <xf numFmtId="0" fontId="77" fillId="9" borderId="20" xfId="38" applyFont="1" applyFill="1" applyBorder="1" applyAlignment="1">
      <alignment vertical="top"/>
    </xf>
    <xf numFmtId="0" fontId="77" fillId="9" borderId="20" xfId="38" applyFont="1" applyFill="1" applyBorder="1" applyAlignment="1">
      <alignment wrapText="1"/>
    </xf>
    <xf numFmtId="0" fontId="77" fillId="9" borderId="14" xfId="38" applyFont="1" applyFill="1" applyBorder="1" applyAlignment="1">
      <alignment horizontal="center"/>
    </xf>
    <xf numFmtId="2" fontId="77" fillId="9" borderId="20" xfId="38" applyNumberFormat="1" applyFont="1" applyFill="1" applyBorder="1" applyAlignment="1">
      <alignment horizontal="center"/>
    </xf>
    <xf numFmtId="2" fontId="77" fillId="9" borderId="19" xfId="38" applyNumberFormat="1" applyFont="1" applyFill="1" applyBorder="1"/>
    <xf numFmtId="0" fontId="56" fillId="3" borderId="20" xfId="38" applyFont="1" applyFill="1" applyBorder="1" applyAlignment="1">
      <alignment vertical="top"/>
    </xf>
    <xf numFmtId="0" fontId="56" fillId="3" borderId="19" xfId="57" applyFont="1" applyFill="1" applyBorder="1" applyAlignment="1">
      <alignment vertical="top" wrapText="1"/>
    </xf>
    <xf numFmtId="0" fontId="56" fillId="3" borderId="14" xfId="40" applyFont="1" applyFill="1" applyBorder="1" applyAlignment="1">
      <alignment horizontal="right"/>
    </xf>
    <xf numFmtId="2" fontId="56" fillId="3" borderId="20" xfId="38" applyNumberFormat="1" applyFont="1" applyFill="1" applyBorder="1" applyAlignment="1">
      <alignment horizontal="center"/>
    </xf>
    <xf numFmtId="2" fontId="56" fillId="3" borderId="19" xfId="38" applyNumberFormat="1" applyFont="1" applyFill="1" applyBorder="1"/>
    <xf numFmtId="168" fontId="77" fillId="3" borderId="18" xfId="38" applyNumberFormat="1" applyFont="1" applyFill="1" applyBorder="1"/>
    <xf numFmtId="0" fontId="56" fillId="8" borderId="20" xfId="38" applyFont="1" applyFill="1" applyBorder="1" applyAlignment="1">
      <alignment vertical="top"/>
    </xf>
    <xf numFmtId="0" fontId="56" fillId="8" borderId="19" xfId="57" applyFont="1" applyFill="1" applyBorder="1" applyAlignment="1">
      <alignment vertical="top" wrapText="1"/>
    </xf>
    <xf numFmtId="49" fontId="0" fillId="0" borderId="0" xfId="92" applyNumberFormat="1" applyFont="1" applyAlignment="1">
      <alignment horizontal="right" vertical="top" wrapText="1"/>
    </xf>
    <xf numFmtId="0" fontId="0" fillId="0" borderId="0" xfId="93" applyFont="1" applyAlignment="1">
      <alignment vertical="top" wrapText="1"/>
    </xf>
    <xf numFmtId="171" fontId="76" fillId="8" borderId="20" xfId="84" applyNumberFormat="1" applyFont="1" applyFill="1" applyBorder="1" applyAlignment="1">
      <alignment vertical="top"/>
    </xf>
    <xf numFmtId="0" fontId="76" fillId="8" borderId="19" xfId="57" applyFont="1" applyFill="1" applyBorder="1" applyAlignment="1">
      <alignment vertical="top" wrapText="1"/>
    </xf>
    <xf numFmtId="0" fontId="76" fillId="8" borderId="14" xfId="40" applyFont="1" applyFill="1" applyBorder="1" applyAlignment="1">
      <alignment horizontal="right"/>
    </xf>
    <xf numFmtId="171" fontId="56" fillId="3" borderId="20" xfId="38" applyNumberFormat="1" applyFont="1" applyFill="1" applyBorder="1" applyAlignment="1">
      <alignment horizontal="center" vertical="top"/>
    </xf>
    <xf numFmtId="0" fontId="56" fillId="3" borderId="19" xfId="64" applyFont="1" applyFill="1" applyBorder="1" applyAlignment="1">
      <alignment vertical="top" wrapText="1"/>
    </xf>
    <xf numFmtId="0" fontId="77" fillId="3" borderId="18" xfId="38" applyFont="1" applyFill="1" applyBorder="1"/>
    <xf numFmtId="171" fontId="77" fillId="8" borderId="20" xfId="38" applyNumberFormat="1" applyFont="1" applyFill="1" applyBorder="1" applyAlignment="1">
      <alignment horizontal="center" vertical="top"/>
    </xf>
    <xf numFmtId="0" fontId="77" fillId="8" borderId="19" xfId="64" applyFont="1" applyFill="1" applyBorder="1" applyAlignment="1">
      <alignment vertical="top" wrapText="1"/>
    </xf>
    <xf numFmtId="0" fontId="0" fillId="8" borderId="14" xfId="40" applyFont="1" applyFill="1" applyBorder="1" applyAlignment="1">
      <alignment horizontal="right"/>
    </xf>
    <xf numFmtId="0" fontId="77" fillId="8" borderId="18" xfId="38" applyFont="1" applyFill="1" applyBorder="1"/>
    <xf numFmtId="0" fontId="77" fillId="0" borderId="21" xfId="38" applyFont="1" applyBorder="1" applyAlignment="1">
      <alignment horizontal="center"/>
    </xf>
    <xf numFmtId="0" fontId="56" fillId="8" borderId="20" xfId="38" applyFont="1" applyFill="1" applyBorder="1" applyAlignment="1">
      <alignment wrapText="1"/>
    </xf>
    <xf numFmtId="2" fontId="72" fillId="0" borderId="22" xfId="38" applyNumberFormat="1" applyFont="1" applyBorder="1" applyAlignment="1">
      <alignment horizontal="right"/>
    </xf>
    <xf numFmtId="2" fontId="72" fillId="0" borderId="0" xfId="38" applyNumberFormat="1" applyFont="1" applyAlignment="1">
      <alignment horizontal="right"/>
    </xf>
    <xf numFmtId="0" fontId="73" fillId="0" borderId="21" xfId="38" applyFont="1" applyBorder="1"/>
    <xf numFmtId="0" fontId="72" fillId="0" borderId="22" xfId="38" applyFont="1" applyBorder="1" applyAlignment="1">
      <alignment horizontal="right"/>
    </xf>
    <xf numFmtId="171" fontId="56" fillId="8" borderId="20" xfId="84" applyNumberFormat="1" applyFont="1" applyFill="1" applyBorder="1" applyAlignment="1">
      <alignment vertical="top"/>
    </xf>
    <xf numFmtId="2" fontId="0" fillId="0" borderId="22" xfId="64" applyNumberFormat="1" applyFont="1" applyBorder="1" applyAlignment="1">
      <alignment vertical="top" wrapText="1"/>
    </xf>
    <xf numFmtId="2" fontId="0" fillId="0" borderId="0" xfId="64" applyNumberFormat="1" applyFont="1" applyAlignment="1">
      <alignment vertical="top" wrapText="1"/>
    </xf>
    <xf numFmtId="171" fontId="4" fillId="0" borderId="0" xfId="38" applyNumberFormat="1" applyAlignment="1">
      <alignment vertical="top"/>
    </xf>
    <xf numFmtId="49" fontId="72" fillId="0" borderId="0" xfId="10" applyNumberFormat="1" applyFont="1" applyAlignment="1">
      <alignment horizontal="justify" vertical="center"/>
    </xf>
    <xf numFmtId="0" fontId="72" fillId="0" borderId="23" xfId="10" applyFont="1" applyBorder="1" applyAlignment="1">
      <alignment horizontal="right"/>
    </xf>
    <xf numFmtId="2" fontId="72" fillId="0" borderId="22" xfId="10" applyNumberFormat="1" applyFont="1" applyBorder="1" applyAlignment="1">
      <alignment horizontal="right"/>
    </xf>
    <xf numFmtId="2" fontId="72" fillId="0" borderId="0" xfId="10" applyNumberFormat="1" applyFont="1" applyAlignment="1" applyProtection="1">
      <alignment horizontal="right"/>
      <protection locked="0"/>
    </xf>
    <xf numFmtId="4" fontId="72" fillId="0" borderId="0" xfId="10" applyNumberFormat="1" applyFont="1" applyAlignment="1">
      <alignment horizontal="right"/>
    </xf>
    <xf numFmtId="2" fontId="72" fillId="0" borderId="0" xfId="10" applyNumberFormat="1" applyFont="1" applyAlignment="1">
      <alignment horizontal="justify" vertical="center"/>
    </xf>
    <xf numFmtId="0" fontId="0" fillId="0" borderId="0" xfId="94" applyFont="1" applyAlignment="1">
      <alignment vertical="top" wrapText="1"/>
    </xf>
    <xf numFmtId="0" fontId="72" fillId="0" borderId="23" xfId="54" applyFont="1" applyBorder="1" applyAlignment="1">
      <alignment horizontal="right"/>
    </xf>
    <xf numFmtId="2" fontId="4" fillId="0" borderId="23" xfId="38" applyNumberFormat="1" applyBorder="1"/>
    <xf numFmtId="0" fontId="72" fillId="0" borderId="0" xfId="38" applyFont="1" applyAlignment="1" applyProtection="1">
      <alignment wrapText="1"/>
      <protection locked="0"/>
    </xf>
    <xf numFmtId="0" fontId="72" fillId="0" borderId="0" xfId="10" applyFont="1" applyAlignment="1">
      <alignment horizontal="justify" vertical="center"/>
    </xf>
    <xf numFmtId="0" fontId="72" fillId="0" borderId="0" xfId="92" applyFont="1" applyAlignment="1">
      <alignment vertical="top" wrapText="1"/>
    </xf>
    <xf numFmtId="2" fontId="4" fillId="0" borderId="22" xfId="38" applyNumberFormat="1" applyBorder="1" applyAlignment="1">
      <alignment horizontal="right" wrapText="1"/>
    </xf>
    <xf numFmtId="2" fontId="0" fillId="0" borderId="0" xfId="11" applyNumberFormat="1" applyFont="1"/>
    <xf numFmtId="0" fontId="4" fillId="0" borderId="10" xfId="38" applyBorder="1"/>
    <xf numFmtId="0" fontId="77" fillId="0" borderId="21" xfId="38" applyFont="1" applyBorder="1" applyAlignment="1">
      <alignment horizontal="right"/>
    </xf>
    <xf numFmtId="49" fontId="72" fillId="0" borderId="0" xfId="10" quotePrefix="1" applyNumberFormat="1" applyFont="1" applyAlignment="1">
      <alignment horizontal="justify" vertical="top"/>
    </xf>
    <xf numFmtId="2" fontId="0" fillId="0" borderId="22" xfId="10" applyNumberFormat="1" applyFont="1" applyBorder="1" applyAlignment="1">
      <alignment horizontal="right"/>
    </xf>
    <xf numFmtId="2" fontId="4" fillId="0" borderId="0" xfId="38" applyNumberFormat="1" applyAlignment="1">
      <alignment horizontal="right"/>
    </xf>
    <xf numFmtId="49" fontId="72" fillId="0" borderId="0" xfId="10" quotePrefix="1" applyNumberFormat="1" applyFont="1" applyAlignment="1">
      <alignment horizontal="justify" vertical="center"/>
    </xf>
    <xf numFmtId="0" fontId="0" fillId="0" borderId="0" xfId="94" quotePrefix="1" applyFont="1" applyAlignment="1">
      <alignment vertical="top" wrapText="1"/>
    </xf>
    <xf numFmtId="2" fontId="0" fillId="0" borderId="0" xfId="11" applyNumberFormat="1" applyFont="1" applyAlignment="1">
      <alignment horizontal="center"/>
    </xf>
    <xf numFmtId="49" fontId="72" fillId="0" borderId="0" xfId="10" quotePrefix="1" applyNumberFormat="1" applyFont="1" applyAlignment="1">
      <alignment horizontal="justify" vertical="top" wrapText="1"/>
    </xf>
    <xf numFmtId="0" fontId="56" fillId="0" borderId="0" xfId="94" applyFont="1" applyAlignment="1">
      <alignment vertical="top" wrapText="1"/>
    </xf>
    <xf numFmtId="168" fontId="77" fillId="0" borderId="21" xfId="38" applyNumberFormat="1" applyFont="1" applyBorder="1" applyAlignment="1">
      <alignment horizontal="center"/>
    </xf>
    <xf numFmtId="2" fontId="4" fillId="0" borderId="22" xfId="38" applyNumberFormat="1" applyBorder="1" applyAlignment="1">
      <alignment horizontal="right"/>
    </xf>
    <xf numFmtId="2" fontId="0" fillId="0" borderId="0" xfId="82" applyNumberFormat="1" applyFont="1" applyFill="1" applyAlignment="1">
      <alignment horizontal="right"/>
    </xf>
    <xf numFmtId="43" fontId="77" fillId="0" borderId="21" xfId="82" applyFont="1" applyFill="1" applyBorder="1"/>
    <xf numFmtId="2" fontId="0" fillId="0" borderId="0" xfId="82" applyNumberFormat="1" applyFont="1" applyFill="1"/>
    <xf numFmtId="171" fontId="56" fillId="9" borderId="20" xfId="38" applyNumberFormat="1" applyFont="1" applyFill="1" applyBorder="1" applyAlignment="1">
      <alignment horizontal="center" vertical="top"/>
    </xf>
    <xf numFmtId="0" fontId="56" fillId="8" borderId="20" xfId="38" applyFont="1" applyFill="1" applyBorder="1" applyAlignment="1">
      <alignment horizontal="justify"/>
    </xf>
    <xf numFmtId="0" fontId="56" fillId="8" borderId="19" xfId="38" applyFont="1" applyFill="1" applyBorder="1" applyAlignment="1">
      <alignment horizontal="justify"/>
    </xf>
    <xf numFmtId="2" fontId="56" fillId="8" borderId="19" xfId="38" applyNumberFormat="1" applyFont="1" applyFill="1" applyBorder="1" applyAlignment="1">
      <alignment horizontal="center"/>
    </xf>
    <xf numFmtId="0" fontId="77" fillId="8" borderId="18" xfId="38" applyFont="1" applyFill="1" applyBorder="1" applyAlignment="1">
      <alignment horizontal="right"/>
    </xf>
    <xf numFmtId="0" fontId="56" fillId="0" borderId="0" xfId="38" applyFont="1"/>
    <xf numFmtId="0" fontId="4" fillId="0" borderId="0" xfId="38" applyAlignment="1">
      <alignment horizontal="justify"/>
    </xf>
    <xf numFmtId="171" fontId="72" fillId="0" borderId="0" xfId="38" applyNumberFormat="1" applyFont="1" applyAlignment="1">
      <alignment horizontal="center" vertical="top"/>
    </xf>
    <xf numFmtId="0" fontId="72" fillId="0" borderId="0" xfId="38" applyFont="1" applyAlignment="1">
      <alignment vertical="top" wrapText="1"/>
    </xf>
    <xf numFmtId="0" fontId="4" fillId="0" borderId="22" xfId="38" applyBorder="1"/>
    <xf numFmtId="2" fontId="72" fillId="0" borderId="22" xfId="38" applyNumberFormat="1" applyFont="1" applyBorder="1" applyAlignment="1">
      <alignment horizontal="center" wrapText="1"/>
    </xf>
    <xf numFmtId="0" fontId="4" fillId="0" borderId="0" xfId="38" applyAlignment="1">
      <alignment horizontal="left" vertical="top" wrapText="1" indent="3"/>
    </xf>
    <xf numFmtId="0" fontId="4" fillId="0" borderId="22" xfId="38" applyBorder="1" applyAlignment="1">
      <alignment horizontal="center" wrapText="1"/>
    </xf>
    <xf numFmtId="2" fontId="4" fillId="0" borderId="22" xfId="38" applyNumberFormat="1" applyBorder="1" applyAlignment="1">
      <alignment horizontal="center" wrapText="1"/>
    </xf>
    <xf numFmtId="0" fontId="4" fillId="0" borderId="0" xfId="38" applyAlignment="1">
      <alignment horizontal="justify" vertical="top" wrapText="1"/>
    </xf>
    <xf numFmtId="2" fontId="4" fillId="0" borderId="0" xfId="38" applyNumberFormat="1" applyAlignment="1">
      <alignment horizontal="center" wrapText="1"/>
    </xf>
    <xf numFmtId="0" fontId="72" fillId="0" borderId="0" xfId="95" applyFont="1" applyAlignment="1">
      <alignment horizontal="left" vertical="top" wrapText="1"/>
    </xf>
    <xf numFmtId="9" fontId="4" fillId="0" borderId="0" xfId="38" applyNumberFormat="1" applyAlignment="1">
      <alignment horizontal="center" vertical="top" wrapText="1"/>
    </xf>
    <xf numFmtId="0" fontId="72" fillId="0" borderId="22" xfId="38" applyFont="1" applyBorder="1" applyAlignment="1">
      <alignment vertical="center" wrapText="1"/>
    </xf>
    <xf numFmtId="2" fontId="72" fillId="0" borderId="22" xfId="38" applyNumberFormat="1" applyFont="1" applyBorder="1" applyAlignment="1">
      <alignment vertical="center" wrapText="1"/>
    </xf>
    <xf numFmtId="2" fontId="72" fillId="0" borderId="0" xfId="38" applyNumberFormat="1" applyFont="1" applyAlignment="1">
      <alignment vertical="center" wrapText="1"/>
    </xf>
    <xf numFmtId="0" fontId="56" fillId="9" borderId="20" xfId="38" applyFont="1" applyFill="1" applyBorder="1" applyAlignment="1">
      <alignment horizontal="left" vertical="top"/>
    </xf>
    <xf numFmtId="4" fontId="56" fillId="9" borderId="20" xfId="38" applyNumberFormat="1" applyFont="1" applyFill="1" applyBorder="1" applyAlignment="1">
      <alignment vertical="center" wrapText="1"/>
    </xf>
    <xf numFmtId="0" fontId="56" fillId="9" borderId="14" xfId="38" applyFont="1" applyFill="1" applyBorder="1" applyAlignment="1">
      <alignment horizontal="center" wrapText="1"/>
    </xf>
    <xf numFmtId="2" fontId="56" fillId="9" borderId="20" xfId="38" applyNumberFormat="1" applyFont="1" applyFill="1" applyBorder="1" applyAlignment="1">
      <alignment horizontal="center" wrapText="1"/>
    </xf>
    <xf numFmtId="2" fontId="56" fillId="9" borderId="19" xfId="38" applyNumberFormat="1" applyFont="1" applyFill="1" applyBorder="1" applyAlignment="1">
      <alignment vertical="center" wrapText="1"/>
    </xf>
    <xf numFmtId="0" fontId="4" fillId="0" borderId="0" xfId="38" applyAlignment="1">
      <alignment horizontal="left" vertical="top"/>
    </xf>
    <xf numFmtId="4" fontId="4" fillId="0" borderId="0" xfId="38" applyNumberFormat="1" applyAlignment="1">
      <alignment vertical="center" wrapText="1"/>
    </xf>
    <xf numFmtId="2" fontId="4" fillId="0" borderId="0" xfId="38" applyNumberFormat="1" applyAlignment="1">
      <alignment vertical="center" wrapText="1"/>
    </xf>
    <xf numFmtId="0" fontId="51" fillId="0" borderId="0" xfId="38" applyFont="1" applyAlignment="1">
      <alignment horizontal="justify"/>
    </xf>
    <xf numFmtId="0" fontId="49" fillId="0" borderId="14" xfId="38" applyFont="1" applyBorder="1" applyAlignment="1">
      <alignment horizontal="left" vertical="center"/>
    </xf>
    <xf numFmtId="0" fontId="51" fillId="0" borderId="20" xfId="38" applyFont="1" applyBorder="1" applyAlignment="1">
      <alignment horizontal="center" vertical="center" wrapText="1"/>
    </xf>
    <xf numFmtId="0" fontId="49" fillId="0" borderId="14" xfId="38" applyFont="1" applyBorder="1" applyAlignment="1">
      <alignment horizontal="center" wrapText="1"/>
    </xf>
    <xf numFmtId="2" fontId="35" fillId="0" borderId="14" xfId="38" applyNumberFormat="1" applyFont="1" applyBorder="1" applyAlignment="1">
      <alignment horizontal="center" vertical="center" wrapText="1"/>
    </xf>
    <xf numFmtId="2" fontId="49" fillId="0" borderId="19" xfId="38" applyNumberFormat="1" applyFont="1" applyBorder="1" applyAlignment="1">
      <alignment horizontal="center" wrapText="1"/>
    </xf>
    <xf numFmtId="4" fontId="87" fillId="0" borderId="14" xfId="38" applyNumberFormat="1" applyFont="1" applyBorder="1" applyAlignment="1">
      <alignment wrapText="1"/>
    </xf>
    <xf numFmtId="0" fontId="49" fillId="0" borderId="20" xfId="38" applyFont="1" applyBorder="1" applyAlignment="1">
      <alignment horizontal="left" vertical="center" wrapText="1" indent="2"/>
    </xf>
    <xf numFmtId="177" fontId="87" fillId="0" borderId="14" xfId="38" applyNumberFormat="1" applyFont="1" applyBorder="1" applyAlignment="1">
      <alignment wrapText="1"/>
    </xf>
    <xf numFmtId="0" fontId="49" fillId="0" borderId="20" xfId="38" applyFont="1" applyBorder="1" applyAlignment="1">
      <alignment horizontal="left" vertical="center" wrapText="1"/>
    </xf>
    <xf numFmtId="2" fontId="49" fillId="0" borderId="14" xfId="38" applyNumberFormat="1" applyFont="1" applyBorder="1" applyAlignment="1">
      <alignment horizontal="center" wrapText="1"/>
    </xf>
    <xf numFmtId="0" fontId="49" fillId="0" borderId="0" xfId="38" applyFont="1" applyAlignment="1">
      <alignment horizontal="left" vertical="center"/>
    </xf>
    <xf numFmtId="0" fontId="49" fillId="0" borderId="0" xfId="38" applyFont="1" applyAlignment="1">
      <alignment horizontal="justify" vertical="center" wrapText="1"/>
    </xf>
    <xf numFmtId="0" fontId="49" fillId="0" borderId="22" xfId="38" applyFont="1" applyBorder="1" applyAlignment="1">
      <alignment horizontal="center" wrapText="1"/>
    </xf>
    <xf numFmtId="2" fontId="49" fillId="0" borderId="22" xfId="38" applyNumberFormat="1" applyFont="1" applyBorder="1" applyAlignment="1">
      <alignment horizontal="center" wrapText="1"/>
    </xf>
    <xf numFmtId="2" fontId="49" fillId="0" borderId="6" xfId="38" applyNumberFormat="1" applyFont="1" applyBorder="1" applyAlignment="1">
      <alignment horizontal="center" wrapText="1"/>
    </xf>
    <xf numFmtId="177" fontId="87" fillId="0" borderId="21" xfId="38" applyNumberFormat="1" applyFont="1" applyBorder="1" applyAlignment="1">
      <alignment horizontal="center" wrapText="1"/>
    </xf>
    <xf numFmtId="0" fontId="51" fillId="0" borderId="20" xfId="38" applyFont="1" applyBorder="1" applyAlignment="1">
      <alignment horizontal="justify" vertical="center" wrapText="1"/>
    </xf>
    <xf numFmtId="0" fontId="88" fillId="0" borderId="14" xfId="0" applyFont="1" applyBorder="1" applyAlignment="1">
      <alignment horizontal="center" vertical="center"/>
    </xf>
    <xf numFmtId="0" fontId="88" fillId="0" borderId="14" xfId="0" applyFont="1" applyBorder="1" applyAlignment="1">
      <alignment horizontal="center" vertical="center" wrapText="1"/>
    </xf>
    <xf numFmtId="2" fontId="88" fillId="0" borderId="14" xfId="0" applyNumberFormat="1" applyFont="1" applyBorder="1" applyAlignment="1">
      <alignment horizontal="center" vertical="center" wrapText="1"/>
    </xf>
    <xf numFmtId="177" fontId="88" fillId="0" borderId="14" xfId="0" applyNumberFormat="1" applyFont="1" applyBorder="1" applyAlignment="1">
      <alignment horizontal="center" vertical="center" wrapText="1"/>
    </xf>
    <xf numFmtId="0" fontId="89" fillId="0" borderId="0" xfId="0" applyFont="1" applyAlignment="1">
      <alignment vertical="center"/>
    </xf>
    <xf numFmtId="49" fontId="88" fillId="0" borderId="14" xfId="0" applyNumberFormat="1" applyFont="1" applyBorder="1" applyAlignment="1">
      <alignment horizontal="center" vertical="top"/>
    </xf>
    <xf numFmtId="0" fontId="88" fillId="0" borderId="14" xfId="0" applyFont="1" applyBorder="1" applyAlignment="1">
      <alignment vertical="top" wrapText="1"/>
    </xf>
    <xf numFmtId="0" fontId="89" fillId="0" borderId="14" xfId="0" applyFont="1" applyBorder="1" applyAlignment="1">
      <alignment horizontal="center" wrapText="1"/>
    </xf>
    <xf numFmtId="2" fontId="89" fillId="0" borderId="14" xfId="0" applyNumberFormat="1" applyFont="1" applyBorder="1" applyAlignment="1">
      <alignment horizontal="center"/>
    </xf>
    <xf numFmtId="177" fontId="89" fillId="0" borderId="14" xfId="0" applyNumberFormat="1" applyFont="1" applyBorder="1" applyAlignment="1">
      <alignment horizontal="right"/>
    </xf>
    <xf numFmtId="0" fontId="88" fillId="0" borderId="14" xfId="0" applyFont="1" applyBorder="1" applyAlignment="1">
      <alignment horizontal="center" vertical="top"/>
    </xf>
    <xf numFmtId="0" fontId="89" fillId="0" borderId="14" xfId="0" applyFont="1" applyBorder="1" applyAlignment="1">
      <alignment horizontal="left" vertical="top" wrapText="1"/>
    </xf>
    <xf numFmtId="0" fontId="89" fillId="0" borderId="14" xfId="0" applyFont="1" applyBorder="1" applyAlignment="1">
      <alignment horizontal="center"/>
    </xf>
    <xf numFmtId="177" fontId="89" fillId="0" borderId="14" xfId="96" applyNumberFormat="1" applyFont="1" applyBorder="1" applyAlignment="1">
      <alignment horizontal="right"/>
    </xf>
    <xf numFmtId="0" fontId="89" fillId="0" borderId="0" xfId="0" applyFont="1" applyAlignment="1">
      <alignment vertical="top"/>
    </xf>
    <xf numFmtId="0" fontId="89" fillId="0" borderId="14" xfId="0" applyFont="1" applyBorder="1" applyAlignment="1">
      <alignment vertical="top" wrapText="1"/>
    </xf>
    <xf numFmtId="0" fontId="89" fillId="0" borderId="16" xfId="0" applyFont="1" applyBorder="1" applyAlignment="1">
      <alignment horizontal="left" vertical="top" wrapText="1"/>
    </xf>
    <xf numFmtId="0" fontId="57" fillId="0" borderId="14" xfId="0" applyFont="1" applyBorder="1" applyAlignment="1">
      <alignment vertical="top" wrapText="1"/>
    </xf>
    <xf numFmtId="0" fontId="89" fillId="0" borderId="18" xfId="0" applyFont="1" applyBorder="1" applyAlignment="1">
      <alignment horizontal="center"/>
    </xf>
    <xf numFmtId="0" fontId="89" fillId="0" borderId="17" xfId="0" applyFont="1" applyBorder="1" applyAlignment="1">
      <alignment horizontal="left" vertical="top" wrapText="1"/>
    </xf>
    <xf numFmtId="49" fontId="88" fillId="5" borderId="14" xfId="0" applyNumberFormat="1" applyFont="1" applyFill="1" applyBorder="1" applyAlignment="1">
      <alignment horizontal="center" vertical="top"/>
    </xf>
    <xf numFmtId="0" fontId="88" fillId="5" borderId="14" xfId="97" applyFont="1" applyFill="1" applyBorder="1" applyAlignment="1">
      <alignment vertical="top" wrapText="1"/>
    </xf>
    <xf numFmtId="0" fontId="89" fillId="5" borderId="14" xfId="0" applyFont="1" applyFill="1" applyBorder="1" applyAlignment="1">
      <alignment horizontal="center" wrapText="1"/>
    </xf>
    <xf numFmtId="2" fontId="89" fillId="5" borderId="14" xfId="0" applyNumberFormat="1" applyFont="1" applyFill="1" applyBorder="1" applyAlignment="1">
      <alignment horizontal="center"/>
    </xf>
    <xf numFmtId="177" fontId="89" fillId="5" borderId="14" xfId="0" applyNumberFormat="1" applyFont="1" applyFill="1" applyBorder="1" applyAlignment="1">
      <alignment horizontal="right"/>
    </xf>
    <xf numFmtId="177" fontId="88" fillId="5" borderId="14" xfId="96" applyNumberFormat="1" applyFont="1" applyFill="1" applyBorder="1" applyAlignment="1">
      <alignment horizontal="right"/>
    </xf>
    <xf numFmtId="0" fontId="89" fillId="0" borderId="14" xfId="96" applyNumberFormat="1" applyFont="1" applyBorder="1" applyAlignment="1">
      <alignment horizontal="left" vertical="top" wrapText="1"/>
    </xf>
    <xf numFmtId="0" fontId="89" fillId="0" borderId="14" xfId="96" applyNumberFormat="1" applyFont="1" applyBorder="1" applyAlignment="1">
      <alignment horizontal="center" wrapText="1"/>
    </xf>
    <xf numFmtId="2" fontId="89" fillId="0" borderId="14" xfId="96" applyNumberFormat="1" applyFont="1" applyBorder="1" applyAlignment="1">
      <alignment horizontal="center"/>
    </xf>
    <xf numFmtId="177" fontId="89" fillId="0" borderId="14" xfId="0" applyNumberFormat="1" applyFont="1" applyBorder="1"/>
    <xf numFmtId="177" fontId="89" fillId="0" borderId="14" xfId="96" applyNumberFormat="1" applyFont="1" applyBorder="1"/>
    <xf numFmtId="0" fontId="89" fillId="0" borderId="14" xfId="0" applyFont="1" applyBorder="1" applyAlignment="1">
      <alignment horizontal="justify" vertical="top" wrapText="1"/>
    </xf>
    <xf numFmtId="0" fontId="88" fillId="5" borderId="14" xfId="0" applyFont="1" applyFill="1" applyBorder="1" applyAlignment="1">
      <alignment vertical="top" wrapText="1"/>
    </xf>
    <xf numFmtId="0" fontId="88" fillId="5" borderId="14" xfId="0" applyFont="1" applyFill="1" applyBorder="1" applyAlignment="1">
      <alignment horizontal="center" wrapText="1"/>
    </xf>
    <xf numFmtId="2" fontId="88" fillId="5" borderId="14" xfId="0" applyNumberFormat="1" applyFont="1" applyFill="1" applyBorder="1" applyAlignment="1">
      <alignment horizontal="center"/>
    </xf>
    <xf numFmtId="177" fontId="88" fillId="5" borderId="14" xfId="0" applyNumberFormat="1" applyFont="1" applyFill="1" applyBorder="1" applyAlignment="1">
      <alignment horizontal="right"/>
    </xf>
    <xf numFmtId="0" fontId="88" fillId="0" borderId="14" xfId="0" applyFont="1" applyBorder="1" applyAlignment="1">
      <alignment horizontal="left" vertical="top" wrapText="1"/>
    </xf>
    <xf numFmtId="4" fontId="89" fillId="0" borderId="14" xfId="0" applyNumberFormat="1" applyFont="1" applyBorder="1" applyAlignment="1">
      <alignment horizontal="right"/>
    </xf>
    <xf numFmtId="2" fontId="89" fillId="0" borderId="14" xfId="0" applyNumberFormat="1" applyFont="1" applyBorder="1" applyAlignment="1">
      <alignment horizontal="right"/>
    </xf>
    <xf numFmtId="178" fontId="88" fillId="0" borderId="14" xfId="0" applyNumberFormat="1" applyFont="1" applyBorder="1" applyAlignment="1">
      <alignment horizontal="center" vertical="top" wrapText="1"/>
    </xf>
    <xf numFmtId="2" fontId="89" fillId="0" borderId="14" xfId="0" applyNumberFormat="1" applyFont="1" applyBorder="1" applyAlignment="1">
      <alignment horizontal="center" wrapText="1"/>
    </xf>
    <xf numFmtId="177" fontId="89" fillId="0" borderId="14" xfId="0" applyNumberFormat="1" applyFont="1" applyBorder="1" applyAlignment="1">
      <alignment horizontal="right" wrapText="1"/>
    </xf>
    <xf numFmtId="49" fontId="88" fillId="5" borderId="24" xfId="0" applyNumberFormat="1" applyFont="1" applyFill="1" applyBorder="1" applyAlignment="1">
      <alignment horizontal="center" vertical="top"/>
    </xf>
    <xf numFmtId="0" fontId="88" fillId="5" borderId="24" xfId="0" applyFont="1" applyFill="1" applyBorder="1" applyAlignment="1">
      <alignment vertical="top" wrapText="1"/>
    </xf>
    <xf numFmtId="0" fontId="88" fillId="5" borderId="24" xfId="0" applyFont="1" applyFill="1" applyBorder="1" applyAlignment="1">
      <alignment horizontal="center" wrapText="1"/>
    </xf>
    <xf numFmtId="2" fontId="88" fillId="5" borderId="24" xfId="0" applyNumberFormat="1" applyFont="1" applyFill="1" applyBorder="1" applyAlignment="1">
      <alignment horizontal="center"/>
    </xf>
    <xf numFmtId="177" fontId="89" fillId="5" borderId="24" xfId="0" applyNumberFormat="1" applyFont="1" applyFill="1" applyBorder="1" applyAlignment="1">
      <alignment horizontal="right"/>
    </xf>
    <xf numFmtId="177" fontId="88" fillId="5" borderId="24" xfId="0" applyNumberFormat="1" applyFont="1" applyFill="1" applyBorder="1" applyAlignment="1">
      <alignment horizontal="right"/>
    </xf>
    <xf numFmtId="0" fontId="89" fillId="0" borderId="10" xfId="0" applyFont="1" applyBorder="1" applyAlignment="1">
      <alignment horizontal="center" vertical="top" wrapText="1"/>
    </xf>
    <xf numFmtId="0" fontId="92" fillId="0" borderId="10" xfId="0" applyFont="1" applyBorder="1" applyAlignment="1">
      <alignment horizontal="justify" wrapText="1"/>
    </xf>
    <xf numFmtId="0" fontId="88" fillId="0" borderId="10" xfId="0" applyFont="1" applyBorder="1" applyAlignment="1">
      <alignment horizontal="center" wrapText="1"/>
    </xf>
    <xf numFmtId="2" fontId="89" fillId="0" borderId="10" xfId="0" applyNumberFormat="1" applyFont="1" applyBorder="1" applyAlignment="1">
      <alignment horizontal="center" wrapText="1"/>
    </xf>
    <xf numFmtId="4" fontId="89" fillId="0" borderId="10" xfId="0" applyNumberFormat="1" applyFont="1" applyBorder="1" applyAlignment="1">
      <alignment horizontal="right" wrapText="1"/>
    </xf>
    <xf numFmtId="2" fontId="89" fillId="0" borderId="10" xfId="0" applyNumberFormat="1" applyFont="1" applyBorder="1" applyAlignment="1">
      <alignment horizontal="right" wrapText="1"/>
    </xf>
    <xf numFmtId="0" fontId="88" fillId="0" borderId="10" xfId="0" applyFont="1" applyBorder="1" applyAlignment="1">
      <alignment horizontal="center" vertical="top" wrapText="1"/>
    </xf>
    <xf numFmtId="0" fontId="88" fillId="0" borderId="10" xfId="0" applyFont="1" applyBorder="1" applyAlignment="1">
      <alignment horizontal="justify" wrapText="1"/>
    </xf>
    <xf numFmtId="177" fontId="89" fillId="0" borderId="10" xfId="0" applyNumberFormat="1" applyFont="1" applyBorder="1" applyAlignment="1">
      <alignment horizontal="right" wrapText="1"/>
    </xf>
    <xf numFmtId="0" fontId="89" fillId="8" borderId="10" xfId="0" applyFont="1" applyFill="1" applyBorder="1" applyAlignment="1">
      <alignment horizontal="center" vertical="top" wrapText="1"/>
    </xf>
    <xf numFmtId="0" fontId="88" fillId="8" borderId="10" xfId="0" applyFont="1" applyFill="1" applyBorder="1" applyAlignment="1">
      <alignment horizontal="left" wrapText="1"/>
    </xf>
    <xf numFmtId="0" fontId="88" fillId="8" borderId="10" xfId="0" applyFont="1" applyFill="1" applyBorder="1" applyAlignment="1">
      <alignment horizontal="center" wrapText="1"/>
    </xf>
    <xf numFmtId="2" fontId="89" fillId="8" borderId="11" xfId="0" applyNumberFormat="1" applyFont="1" applyFill="1" applyBorder="1" applyAlignment="1">
      <alignment horizontal="center" wrapText="1"/>
    </xf>
    <xf numFmtId="4" fontId="89" fillId="8" borderId="10" xfId="0" applyNumberFormat="1" applyFont="1" applyFill="1" applyBorder="1" applyAlignment="1">
      <alignment horizontal="right" wrapText="1"/>
    </xf>
    <xf numFmtId="177" fontId="88" fillId="8" borderId="13" xfId="0" applyNumberFormat="1" applyFont="1" applyFill="1" applyBorder="1" applyAlignment="1">
      <alignment horizontal="right" wrapText="1"/>
    </xf>
    <xf numFmtId="0" fontId="89" fillId="0" borderId="0" xfId="0" applyFont="1" applyAlignment="1">
      <alignment horizontal="center" vertical="top"/>
    </xf>
    <xf numFmtId="177" fontId="89" fillId="0" borderId="0" xfId="0" applyNumberFormat="1" applyFont="1" applyAlignment="1">
      <alignment vertical="top"/>
    </xf>
    <xf numFmtId="0" fontId="93" fillId="0" borderId="2" xfId="0" applyFont="1" applyBorder="1"/>
    <xf numFmtId="0" fontId="93" fillId="0" borderId="0" xfId="0" applyFont="1"/>
    <xf numFmtId="0" fontId="93" fillId="0" borderId="2" xfId="0" applyFont="1" applyBorder="1" applyAlignment="1">
      <alignment horizontal="left" vertical="top"/>
    </xf>
    <xf numFmtId="176" fontId="11" fillId="0" borderId="0" xfId="0" applyNumberFormat="1" applyFont="1" applyAlignment="1">
      <alignment horizontal="left" indent="15"/>
    </xf>
    <xf numFmtId="176" fontId="0" fillId="0" borderId="0" xfId="0" applyNumberFormat="1"/>
    <xf numFmtId="171" fontId="9" fillId="0" borderId="0" xfId="26" applyNumberFormat="1" applyFont="1" applyAlignment="1">
      <alignment vertical="top"/>
    </xf>
    <xf numFmtId="0" fontId="53" fillId="0" borderId="0" xfId="26" applyFont="1" applyAlignment="1">
      <alignment horizontal="centerContinuous" vertical="top" wrapText="1"/>
    </xf>
    <xf numFmtId="0" fontId="9" fillId="0" borderId="0" xfId="26" applyFont="1" applyAlignment="1">
      <alignment horizontal="centerContinuous" vertical="top"/>
    </xf>
    <xf numFmtId="1" fontId="9" fillId="0" borderId="0" xfId="26" applyNumberFormat="1" applyFont="1" applyAlignment="1">
      <alignment horizontal="centerContinuous" vertical="top"/>
    </xf>
    <xf numFmtId="4" fontId="9" fillId="0" borderId="0" xfId="18" applyNumberFormat="1" applyAlignment="1">
      <alignment horizontal="centerContinuous" vertical="top"/>
    </xf>
    <xf numFmtId="4" fontId="9" fillId="0" borderId="0" xfId="26" applyNumberFormat="1" applyFont="1" applyAlignment="1">
      <alignment horizontal="centerContinuous" vertical="top"/>
    </xf>
    <xf numFmtId="0" fontId="9" fillId="0" borderId="0" xfId="26" applyFont="1" applyAlignment="1">
      <alignment vertical="top"/>
    </xf>
    <xf numFmtId="171" fontId="53" fillId="0" borderId="10" xfId="26" applyNumberFormat="1" applyFont="1" applyBorder="1" applyAlignment="1">
      <alignment horizontal="center" vertical="center"/>
    </xf>
    <xf numFmtId="0" fontId="53" fillId="0" borderId="10" xfId="26" applyFont="1" applyBorder="1" applyAlignment="1">
      <alignment horizontal="center" vertical="center"/>
    </xf>
    <xf numFmtId="1" fontId="53" fillId="0" borderId="10" xfId="26" applyNumberFormat="1" applyFont="1" applyBorder="1" applyAlignment="1">
      <alignment horizontal="center" vertical="center"/>
    </xf>
    <xf numFmtId="4" fontId="24" fillId="0" borderId="10" xfId="18" applyNumberFormat="1" applyFont="1" applyBorder="1" applyAlignment="1">
      <alignment horizontal="center" vertical="center"/>
    </xf>
    <xf numFmtId="4" fontId="53" fillId="0" borderId="10" xfId="26" applyNumberFormat="1" applyFont="1" applyBorder="1" applyAlignment="1">
      <alignment horizontal="center" vertical="center"/>
    </xf>
    <xf numFmtId="0" fontId="12" fillId="0" borderId="0" xfId="26" applyFont="1" applyAlignment="1">
      <alignment horizontal="center" vertical="center"/>
    </xf>
    <xf numFmtId="171" fontId="12" fillId="0" borderId="25" xfId="26" applyNumberFormat="1" applyFont="1" applyBorder="1" applyAlignment="1">
      <alignment vertical="top"/>
    </xf>
    <xf numFmtId="4" fontId="12" fillId="0" borderId="25" xfId="26" applyNumberFormat="1" applyFont="1" applyBorder="1" applyAlignment="1">
      <alignment horizontal="right"/>
    </xf>
    <xf numFmtId="0" fontId="47" fillId="0" borderId="0" xfId="26"/>
    <xf numFmtId="171" fontId="100" fillId="4" borderId="11" xfId="26" applyNumberFormat="1" applyFont="1" applyFill="1" applyBorder="1" applyAlignment="1">
      <alignment vertical="top"/>
    </xf>
    <xf numFmtId="0" fontId="100" fillId="4" borderId="12" xfId="26" applyFont="1" applyFill="1" applyBorder="1" applyAlignment="1">
      <alignment vertical="top" wrapText="1"/>
    </xf>
    <xf numFmtId="0" fontId="100" fillId="4" borderId="12" xfId="26" applyFont="1" applyFill="1" applyBorder="1" applyAlignment="1">
      <alignment horizontal="center"/>
    </xf>
    <xf numFmtId="1" fontId="100" fillId="4" borderId="12" xfId="26" applyNumberFormat="1" applyFont="1" applyFill="1" applyBorder="1" applyAlignment="1">
      <alignment horizontal="right"/>
    </xf>
    <xf numFmtId="4" fontId="8" fillId="4" borderId="12" xfId="18" applyNumberFormat="1" applyFont="1" applyFill="1" applyBorder="1" applyAlignment="1">
      <alignment horizontal="right"/>
    </xf>
    <xf numFmtId="4" fontId="100" fillId="4" borderId="13" xfId="26" applyNumberFormat="1" applyFont="1" applyFill="1" applyBorder="1" applyAlignment="1">
      <alignment horizontal="right"/>
    </xf>
    <xf numFmtId="0" fontId="7" fillId="0" borderId="0" xfId="26" applyFont="1"/>
    <xf numFmtId="171" fontId="35" fillId="0" borderId="0" xfId="26" applyNumberFormat="1" applyFont="1" applyAlignment="1">
      <alignment vertical="top"/>
    </xf>
    <xf numFmtId="0" fontId="35" fillId="0" borderId="0" xfId="26" applyFont="1" applyAlignment="1">
      <alignment vertical="top" wrapText="1"/>
    </xf>
    <xf numFmtId="0" fontId="35" fillId="0" borderId="0" xfId="26" applyFont="1" applyAlignment="1">
      <alignment horizontal="center"/>
    </xf>
    <xf numFmtId="1" fontId="35" fillId="0" borderId="0" xfId="26" applyNumberFormat="1" applyFont="1" applyAlignment="1">
      <alignment horizontal="right"/>
    </xf>
    <xf numFmtId="4" fontId="35" fillId="0" borderId="0" xfId="26" applyNumberFormat="1" applyFont="1" applyAlignment="1">
      <alignment horizontal="right"/>
    </xf>
    <xf numFmtId="0" fontId="12" fillId="0" borderId="0" xfId="26" applyFont="1"/>
    <xf numFmtId="171" fontId="12" fillId="0" borderId="0" xfId="26" applyNumberFormat="1" applyFont="1" applyAlignment="1">
      <alignment vertical="top"/>
    </xf>
    <xf numFmtId="0" fontId="12" fillId="0" borderId="0" xfId="26" applyFont="1" applyAlignment="1">
      <alignment vertical="top" wrapText="1"/>
    </xf>
    <xf numFmtId="0" fontId="12" fillId="0" borderId="0" xfId="26" applyFont="1" applyAlignment="1">
      <alignment horizontal="center"/>
    </xf>
    <xf numFmtId="1" fontId="12" fillId="0" borderId="0" xfId="26" applyNumberFormat="1" applyFont="1" applyAlignment="1">
      <alignment horizontal="right"/>
    </xf>
    <xf numFmtId="4" fontId="9" fillId="0" borderId="0" xfId="18" applyNumberFormat="1" applyAlignment="1">
      <alignment horizontal="right"/>
    </xf>
    <xf numFmtId="4" fontId="12" fillId="0" borderId="0" xfId="26" applyNumberFormat="1" applyFont="1" applyAlignment="1">
      <alignment horizontal="right"/>
    </xf>
    <xf numFmtId="0" fontId="12" fillId="0" borderId="0" xfId="26" applyFont="1" applyAlignment="1">
      <alignment horizontal="right"/>
    </xf>
    <xf numFmtId="0" fontId="9" fillId="0" borderId="0" xfId="26" applyFont="1" applyAlignment="1">
      <alignment vertical="top" wrapText="1"/>
    </xf>
    <xf numFmtId="171" fontId="102" fillId="0" borderId="0" xfId="26" applyNumberFormat="1" applyFont="1" applyAlignment="1">
      <alignment vertical="top"/>
    </xf>
    <xf numFmtId="0" fontId="102" fillId="0" borderId="0" xfId="26" applyFont="1" applyAlignment="1">
      <alignment vertical="top" wrapText="1"/>
    </xf>
    <xf numFmtId="0" fontId="102" fillId="0" borderId="0" xfId="26" applyFont="1" applyAlignment="1">
      <alignment horizontal="right"/>
    </xf>
    <xf numFmtId="1" fontId="102" fillId="0" borderId="0" xfId="26" applyNumberFormat="1" applyFont="1" applyAlignment="1">
      <alignment horizontal="right"/>
    </xf>
    <xf numFmtId="4" fontId="103" fillId="0" borderId="0" xfId="18" applyNumberFormat="1" applyFont="1" applyAlignment="1">
      <alignment horizontal="right"/>
    </xf>
    <xf numFmtId="0" fontId="102" fillId="0" borderId="0" xfId="26" applyFont="1"/>
    <xf numFmtId="179" fontId="100" fillId="0" borderId="0" xfId="26" applyNumberFormat="1" applyFont="1" applyAlignment="1">
      <alignment vertical="top"/>
    </xf>
    <xf numFmtId="4" fontId="102" fillId="0" borderId="0" xfId="26" applyNumberFormat="1" applyFont="1" applyAlignment="1">
      <alignment horizontal="right"/>
    </xf>
    <xf numFmtId="0" fontId="104" fillId="0" borderId="0" xfId="26" applyFont="1"/>
    <xf numFmtId="0" fontId="12" fillId="0" borderId="0" xfId="26" applyFont="1" applyAlignment="1">
      <alignment horizontal="left" vertical="top" wrapText="1"/>
    </xf>
    <xf numFmtId="179" fontId="105" fillId="0" borderId="0" xfId="26" applyNumberFormat="1" applyFont="1" applyAlignment="1">
      <alignment vertical="top"/>
    </xf>
    <xf numFmtId="0" fontId="106" fillId="0" borderId="0" xfId="26" applyFont="1" applyAlignment="1">
      <alignment vertical="top" wrapText="1"/>
    </xf>
    <xf numFmtId="0" fontId="106" fillId="0" borderId="0" xfId="26" applyFont="1" applyAlignment="1">
      <alignment horizontal="right"/>
    </xf>
    <xf numFmtId="1" fontId="106" fillId="0" borderId="0" xfId="26" applyNumberFormat="1" applyFont="1" applyAlignment="1">
      <alignment horizontal="right"/>
    </xf>
    <xf numFmtId="4" fontId="107" fillId="0" borderId="0" xfId="18" applyNumberFormat="1" applyFont="1" applyAlignment="1">
      <alignment horizontal="right"/>
    </xf>
    <xf numFmtId="0" fontId="106" fillId="0" borderId="0" xfId="26" applyFont="1"/>
    <xf numFmtId="0" fontId="106" fillId="0" borderId="25" xfId="26" applyFont="1" applyBorder="1" applyAlignment="1">
      <alignment vertical="top" wrapText="1"/>
    </xf>
    <xf numFmtId="0" fontId="106" fillId="0" borderId="25" xfId="26" applyFont="1" applyBorder="1" applyAlignment="1">
      <alignment horizontal="right"/>
    </xf>
    <xf numFmtId="1" fontId="106" fillId="0" borderId="25" xfId="26" applyNumberFormat="1" applyFont="1" applyBorder="1" applyAlignment="1">
      <alignment horizontal="right"/>
    </xf>
    <xf numFmtId="4" fontId="108" fillId="0" borderId="0" xfId="18" applyNumberFormat="1" applyFont="1" applyAlignment="1">
      <alignment horizontal="right"/>
    </xf>
    <xf numFmtId="4" fontId="109" fillId="0" borderId="0" xfId="26" applyNumberFormat="1" applyFont="1" applyAlignment="1">
      <alignment horizontal="right"/>
    </xf>
    <xf numFmtId="0" fontId="110" fillId="0" borderId="0" xfId="26" applyFont="1"/>
    <xf numFmtId="0" fontId="102" fillId="0" borderId="25" xfId="26" applyFont="1" applyBorder="1" applyAlignment="1">
      <alignment vertical="top" wrapText="1"/>
    </xf>
    <xf numFmtId="0" fontId="102" fillId="0" borderId="25" xfId="26" applyFont="1" applyBorder="1" applyAlignment="1">
      <alignment horizontal="right"/>
    </xf>
    <xf numFmtId="1" fontId="102" fillId="0" borderId="25" xfId="26" applyNumberFormat="1" applyFont="1" applyBorder="1" applyAlignment="1">
      <alignment horizontal="right"/>
    </xf>
    <xf numFmtId="0" fontId="100" fillId="0" borderId="0" xfId="26" applyFont="1"/>
    <xf numFmtId="171" fontId="13" fillId="0" borderId="0" xfId="26" applyNumberFormat="1" applyFont="1" applyAlignment="1">
      <alignment vertical="top"/>
    </xf>
    <xf numFmtId="0" fontId="13" fillId="0" borderId="0" xfId="26" applyFont="1" applyAlignment="1">
      <alignment vertical="top" wrapText="1"/>
    </xf>
    <xf numFmtId="0" fontId="13" fillId="0" borderId="0" xfId="26" applyFont="1" applyAlignment="1">
      <alignment horizontal="center"/>
    </xf>
    <xf numFmtId="1" fontId="13" fillId="0" borderId="0" xfId="26" applyNumberFormat="1" applyFont="1" applyAlignment="1">
      <alignment horizontal="right"/>
    </xf>
    <xf numFmtId="4" fontId="13" fillId="0" borderId="0" xfId="26" applyNumberFormat="1" applyFont="1" applyAlignment="1">
      <alignment horizontal="right"/>
    </xf>
    <xf numFmtId="0" fontId="13" fillId="0" borderId="0" xfId="26" applyFont="1" applyAlignment="1">
      <alignment horizontal="right"/>
    </xf>
    <xf numFmtId="171" fontId="111" fillId="0" borderId="0" xfId="26" applyNumberFormat="1" applyFont="1" applyAlignment="1">
      <alignment vertical="top"/>
    </xf>
    <xf numFmtId="0" fontId="111" fillId="0" borderId="0" xfId="26" applyFont="1" applyAlignment="1">
      <alignment vertical="top" wrapText="1"/>
    </xf>
    <xf numFmtId="0" fontId="111" fillId="0" borderId="0" xfId="26" applyFont="1" applyAlignment="1">
      <alignment horizontal="right"/>
    </xf>
    <xf numFmtId="1" fontId="111" fillId="0" borderId="0" xfId="26" applyNumberFormat="1" applyFont="1" applyAlignment="1">
      <alignment horizontal="right"/>
    </xf>
    <xf numFmtId="172" fontId="103" fillId="0" borderId="0" xfId="18" applyNumberFormat="1" applyFont="1" applyAlignment="1">
      <alignment horizontal="right"/>
    </xf>
    <xf numFmtId="172" fontId="111" fillId="0" borderId="0" xfId="26" applyNumberFormat="1" applyFont="1" applyAlignment="1">
      <alignment horizontal="right"/>
    </xf>
    <xf numFmtId="179" fontId="101" fillId="0" borderId="0" xfId="26" applyNumberFormat="1" applyFont="1" applyAlignment="1">
      <alignment vertical="top"/>
    </xf>
    <xf numFmtId="4" fontId="111" fillId="0" borderId="0" xfId="26" applyNumberFormat="1" applyFont="1" applyAlignment="1">
      <alignment horizontal="right"/>
    </xf>
    <xf numFmtId="179" fontId="112" fillId="0" borderId="0" xfId="26" applyNumberFormat="1" applyFont="1" applyAlignment="1">
      <alignment vertical="top"/>
    </xf>
    <xf numFmtId="0" fontId="113" fillId="0" borderId="25" xfId="26" applyFont="1" applyBorder="1" applyAlignment="1">
      <alignment vertical="top" wrapText="1"/>
    </xf>
    <xf numFmtId="0" fontId="113" fillId="0" borderId="25" xfId="26" applyFont="1" applyBorder="1" applyAlignment="1">
      <alignment horizontal="right"/>
    </xf>
    <xf numFmtId="1" fontId="113" fillId="0" borderId="25" xfId="26" applyNumberFormat="1" applyFont="1" applyBorder="1" applyAlignment="1">
      <alignment horizontal="right"/>
    </xf>
    <xf numFmtId="4" fontId="113" fillId="0" borderId="0" xfId="26" applyNumberFormat="1" applyFont="1" applyAlignment="1">
      <alignment horizontal="right"/>
    </xf>
    <xf numFmtId="4" fontId="13" fillId="0" borderId="0" xfId="18" applyNumberFormat="1" applyFont="1" applyAlignment="1">
      <alignment horizontal="right"/>
    </xf>
    <xf numFmtId="49" fontId="13" fillId="0" borderId="0" xfId="26" applyNumberFormat="1" applyFont="1" applyAlignment="1" applyProtection="1">
      <alignment horizontal="right" vertical="top"/>
      <protection locked="0"/>
    </xf>
    <xf numFmtId="172" fontId="9" fillId="0" borderId="0" xfId="18" applyNumberFormat="1" applyAlignment="1">
      <alignment horizontal="right"/>
    </xf>
    <xf numFmtId="171" fontId="13" fillId="0" borderId="0" xfId="26" applyNumberFormat="1" applyFont="1" applyAlignment="1" applyProtection="1">
      <alignment horizontal="right" vertical="center"/>
      <protection locked="0"/>
    </xf>
    <xf numFmtId="0" fontId="12" fillId="0" borderId="0" xfId="26" applyFont="1" applyAlignment="1">
      <alignment vertical="center" wrapText="1"/>
    </xf>
    <xf numFmtId="171" fontId="13" fillId="0" borderId="0" xfId="8" applyNumberFormat="1" applyFont="1" applyAlignment="1">
      <alignment horizontal="left" vertical="top"/>
    </xf>
    <xf numFmtId="0" fontId="116" fillId="0" borderId="0" xfId="8" applyFont="1" applyAlignment="1">
      <alignment vertical="top" wrapText="1"/>
    </xf>
    <xf numFmtId="0" fontId="13" fillId="0" borderId="0" xfId="8" applyFont="1"/>
    <xf numFmtId="3" fontId="13" fillId="0" borderId="0" xfId="8" applyNumberFormat="1" applyFont="1" applyAlignment="1">
      <alignment horizontal="right"/>
    </xf>
    <xf numFmtId="4" fontId="13" fillId="0" borderId="0" xfId="8" applyNumberFormat="1" applyFont="1" applyAlignment="1">
      <alignment horizontal="right"/>
    </xf>
    <xf numFmtId="0" fontId="12" fillId="0" borderId="0" xfId="10" applyFont="1"/>
    <xf numFmtId="3" fontId="13" fillId="0" borderId="0" xfId="26" applyNumberFormat="1" applyFont="1" applyAlignment="1">
      <alignment horizontal="right"/>
    </xf>
    <xf numFmtId="0" fontId="35" fillId="0" borderId="0" xfId="26" applyFont="1"/>
    <xf numFmtId="49" fontId="12" fillId="0" borderId="0" xfId="26" applyNumberFormat="1" applyFont="1" applyAlignment="1" applyProtection="1">
      <alignment horizontal="right" vertical="top"/>
      <protection locked="0"/>
    </xf>
    <xf numFmtId="171" fontId="12" fillId="10" borderId="0" xfId="26" applyNumberFormat="1" applyFont="1" applyFill="1" applyAlignment="1">
      <alignment vertical="top"/>
    </xf>
    <xf numFmtId="0" fontId="12" fillId="10" borderId="0" xfId="26" applyFont="1" applyFill="1" applyAlignment="1">
      <alignment vertical="top" wrapText="1"/>
    </xf>
    <xf numFmtId="0" fontId="12" fillId="10" borderId="0" xfId="26" applyFont="1" applyFill="1" applyAlignment="1">
      <alignment horizontal="center"/>
    </xf>
    <xf numFmtId="1" fontId="12" fillId="10" borderId="0" xfId="26" applyNumberFormat="1" applyFont="1" applyFill="1" applyAlignment="1">
      <alignment horizontal="right"/>
    </xf>
    <xf numFmtId="4" fontId="9" fillId="10" borderId="0" xfId="18" applyNumberFormat="1" applyFill="1" applyAlignment="1">
      <alignment horizontal="right"/>
    </xf>
    <xf numFmtId="4" fontId="12" fillId="10" borderId="0" xfId="26" applyNumberFormat="1" applyFont="1" applyFill="1" applyAlignment="1">
      <alignment horizontal="right"/>
    </xf>
    <xf numFmtId="0" fontId="7" fillId="10" borderId="0" xfId="26" applyFont="1" applyFill="1"/>
    <xf numFmtId="0" fontId="101" fillId="0" borderId="0" xfId="26" applyFont="1" applyAlignment="1">
      <alignment vertical="top" wrapText="1"/>
    </xf>
    <xf numFmtId="0" fontId="12" fillId="0" borderId="0" xfId="26" applyFont="1" applyAlignment="1">
      <alignment horizontal="center" vertical="top" wrapText="1"/>
    </xf>
    <xf numFmtId="0" fontId="12" fillId="0" borderId="0" xfId="26" applyFont="1" applyAlignment="1">
      <alignment horizontal="right" vertical="top" wrapText="1"/>
    </xf>
    <xf numFmtId="4" fontId="9" fillId="0" borderId="0" xfId="18" applyNumberFormat="1" applyAlignment="1">
      <alignment vertical="top" wrapText="1"/>
    </xf>
    <xf numFmtId="4" fontId="12" fillId="0" borderId="0" xfId="26" applyNumberFormat="1" applyFont="1" applyAlignment="1">
      <alignment vertical="top" wrapText="1"/>
    </xf>
    <xf numFmtId="4" fontId="103" fillId="0" borderId="0" xfId="18" applyNumberFormat="1" applyFont="1" applyAlignment="1">
      <alignment vertical="top" wrapText="1"/>
    </xf>
    <xf numFmtId="4" fontId="102" fillId="0" borderId="0" xfId="26" applyNumberFormat="1" applyFont="1" applyAlignment="1">
      <alignment vertical="top" wrapText="1"/>
    </xf>
    <xf numFmtId="179" fontId="110" fillId="0" borderId="0" xfId="26" applyNumberFormat="1" applyFont="1" applyAlignment="1">
      <alignment vertical="top"/>
    </xf>
    <xf numFmtId="171" fontId="12" fillId="0" borderId="0" xfId="7" applyNumberFormat="1" applyFont="1" applyAlignment="1">
      <alignment horizontal="right" vertical="top"/>
    </xf>
    <xf numFmtId="0" fontId="12" fillId="0" borderId="0" xfId="7" applyFont="1" applyAlignment="1">
      <alignment horizontal="center"/>
    </xf>
    <xf numFmtId="1" fontId="12" fillId="0" borderId="0" xfId="7" applyNumberFormat="1" applyFont="1" applyAlignment="1">
      <alignment horizontal="right"/>
    </xf>
    <xf numFmtId="4" fontId="9" fillId="0" borderId="0" xfId="7" applyNumberFormat="1" applyFont="1" applyAlignment="1">
      <alignment horizontal="right"/>
    </xf>
    <xf numFmtId="4" fontId="12" fillId="0" borderId="0" xfId="7" applyNumberFormat="1" applyFont="1" applyAlignment="1">
      <alignment horizontal="right"/>
    </xf>
    <xf numFmtId="0" fontId="12" fillId="0" borderId="0" xfId="7" applyFont="1"/>
    <xf numFmtId="0" fontId="100" fillId="4" borderId="12" xfId="26" applyFont="1" applyFill="1" applyBorder="1" applyAlignment="1">
      <alignment horizontal="right"/>
    </xf>
    <xf numFmtId="172" fontId="13" fillId="0" borderId="0" xfId="26" applyNumberFormat="1" applyFont="1" applyAlignment="1">
      <alignment horizontal="right"/>
    </xf>
    <xf numFmtId="179" fontId="117" fillId="0" borderId="0" xfId="26" applyNumberFormat="1" applyFont="1" applyAlignment="1">
      <alignment vertical="top"/>
    </xf>
    <xf numFmtId="0" fontId="111" fillId="0" borderId="25" xfId="26" applyFont="1" applyBorder="1" applyAlignment="1">
      <alignment vertical="top" wrapText="1"/>
    </xf>
    <xf numFmtId="0" fontId="111" fillId="0" borderId="25" xfId="26" applyFont="1" applyBorder="1" applyAlignment="1">
      <alignment horizontal="right"/>
    </xf>
    <xf numFmtId="1" fontId="111" fillId="0" borderId="25" xfId="26" applyNumberFormat="1" applyFont="1" applyBorder="1" applyAlignment="1">
      <alignment horizontal="right"/>
    </xf>
    <xf numFmtId="9" fontId="13" fillId="0" borderId="0" xfId="26" applyNumberFormat="1" applyFont="1" applyAlignment="1">
      <alignment horizontal="right"/>
    </xf>
    <xf numFmtId="171" fontId="101" fillId="4" borderId="11" xfId="26" applyNumberFormat="1" applyFont="1" applyFill="1" applyBorder="1" applyAlignment="1">
      <alignment vertical="top"/>
    </xf>
    <xf numFmtId="0" fontId="101" fillId="4" borderId="12" xfId="26" applyFont="1" applyFill="1" applyBorder="1" applyAlignment="1">
      <alignment vertical="top" wrapText="1"/>
    </xf>
    <xf numFmtId="0" fontId="101" fillId="4" borderId="12" xfId="26" applyFont="1" applyFill="1" applyBorder="1" applyAlignment="1">
      <alignment horizontal="right"/>
    </xf>
    <xf numFmtId="1" fontId="101" fillId="4" borderId="12" xfId="26" applyNumberFormat="1" applyFont="1" applyFill="1" applyBorder="1" applyAlignment="1">
      <alignment horizontal="right"/>
    </xf>
    <xf numFmtId="172" fontId="8" fillId="4" borderId="12" xfId="18" applyNumberFormat="1" applyFont="1" applyFill="1" applyBorder="1" applyAlignment="1">
      <alignment horizontal="right"/>
    </xf>
    <xf numFmtId="4" fontId="101" fillId="4" borderId="13" xfId="26" applyNumberFormat="1" applyFont="1" applyFill="1" applyBorder="1" applyAlignment="1">
      <alignment horizontal="right"/>
    </xf>
    <xf numFmtId="0" fontId="100" fillId="4" borderId="12" xfId="26" applyFont="1" applyFill="1" applyBorder="1" applyAlignment="1">
      <alignment horizontal="left" vertical="top" wrapText="1"/>
    </xf>
    <xf numFmtId="0" fontId="7" fillId="0" borderId="0" xfId="26" applyFont="1" applyAlignment="1">
      <alignment vertical="top" wrapText="1"/>
    </xf>
    <xf numFmtId="49" fontId="12" fillId="0" borderId="0" xfId="26" applyNumberFormat="1" applyFont="1" applyAlignment="1">
      <alignment vertical="top" wrapText="1"/>
    </xf>
    <xf numFmtId="172" fontId="12" fillId="0" borderId="0" xfId="26" applyNumberFormat="1" applyFont="1" applyAlignment="1">
      <alignment horizontal="right"/>
    </xf>
    <xf numFmtId="171" fontId="12" fillId="0" borderId="26" xfId="26" applyNumberFormat="1" applyFont="1" applyBorder="1" applyAlignment="1">
      <alignment vertical="top"/>
    </xf>
    <xf numFmtId="0" fontId="12" fillId="0" borderId="26" xfId="26" applyFont="1" applyBorder="1" applyAlignment="1">
      <alignment vertical="top" wrapText="1"/>
    </xf>
    <xf numFmtId="0" fontId="12" fillId="0" borderId="26" xfId="26" applyFont="1" applyBorder="1" applyAlignment="1">
      <alignment horizontal="right"/>
    </xf>
    <xf numFmtId="1" fontId="12" fillId="0" borderId="26" xfId="26" applyNumberFormat="1" applyFont="1" applyBorder="1" applyAlignment="1">
      <alignment horizontal="right"/>
    </xf>
    <xf numFmtId="4" fontId="9" fillId="0" borderId="26" xfId="18" applyNumberFormat="1" applyBorder="1" applyAlignment="1">
      <alignment horizontal="right"/>
    </xf>
    <xf numFmtId="4" fontId="12" fillId="0" borderId="26" xfId="26" applyNumberFormat="1" applyFont="1" applyBorder="1" applyAlignment="1">
      <alignment horizontal="right"/>
    </xf>
    <xf numFmtId="171" fontId="118" fillId="4" borderId="11" xfId="26" applyNumberFormat="1" applyFont="1" applyFill="1" applyBorder="1" applyAlignment="1">
      <alignment vertical="top"/>
    </xf>
    <xf numFmtId="0" fontId="118" fillId="4" borderId="12" xfId="26" applyFont="1" applyFill="1" applyBorder="1" applyAlignment="1">
      <alignment vertical="top" wrapText="1"/>
    </xf>
    <xf numFmtId="0" fontId="118" fillId="4" borderId="12" xfId="26" applyFont="1" applyFill="1" applyBorder="1" applyAlignment="1">
      <alignment horizontal="right"/>
    </xf>
    <xf numFmtId="1" fontId="118" fillId="4" borderId="12" xfId="26" applyNumberFormat="1" applyFont="1" applyFill="1" applyBorder="1" applyAlignment="1">
      <alignment horizontal="right"/>
    </xf>
    <xf numFmtId="4" fontId="118" fillId="4" borderId="13" xfId="26" applyNumberFormat="1" applyFont="1" applyFill="1" applyBorder="1" applyAlignment="1">
      <alignment horizontal="right"/>
    </xf>
    <xf numFmtId="0" fontId="119" fillId="0" borderId="0" xfId="26" applyFont="1"/>
    <xf numFmtId="4" fontId="9" fillId="0" borderId="0" xfId="18" applyNumberFormat="1"/>
    <xf numFmtId="4" fontId="12" fillId="0" borderId="0" xfId="18" applyNumberFormat="1" applyFont="1" applyAlignment="1">
      <alignment horizontal="right"/>
    </xf>
    <xf numFmtId="180" fontId="72" fillId="0" borderId="19" xfId="100" applyNumberFormat="1" applyFont="1" applyBorder="1" applyAlignment="1">
      <alignment horizontal="right" wrapText="1"/>
    </xf>
    <xf numFmtId="49" fontId="72" fillId="0" borderId="0" xfId="100" applyNumberFormat="1" applyFont="1" applyAlignment="1" applyProtection="1">
      <alignment horizontal="right"/>
      <protection locked="0"/>
    </xf>
    <xf numFmtId="0" fontId="3" fillId="0" borderId="0" xfId="100" applyAlignment="1">
      <alignment horizontal="justify"/>
    </xf>
    <xf numFmtId="171" fontId="56" fillId="0" borderId="0" xfId="100" applyNumberFormat="1" applyFont="1" applyAlignment="1">
      <alignment horizontal="right" vertical="top"/>
    </xf>
    <xf numFmtId="180" fontId="124" fillId="0" borderId="0" xfId="100" applyNumberFormat="1" applyFont="1" applyAlignment="1">
      <alignment horizontal="right"/>
    </xf>
    <xf numFmtId="0" fontId="3" fillId="0" borderId="14" xfId="100" applyBorder="1" applyAlignment="1">
      <alignment horizontal="right" vertical="top"/>
    </xf>
    <xf numFmtId="0" fontId="3" fillId="0" borderId="0" xfId="100" applyAlignment="1">
      <alignment horizontal="center"/>
    </xf>
    <xf numFmtId="0" fontId="3" fillId="0" borderId="0" xfId="100" applyAlignment="1">
      <alignment horizontal="right" vertical="top"/>
    </xf>
    <xf numFmtId="0" fontId="3" fillId="0" borderId="0" xfId="100" applyAlignment="1">
      <alignment horizontal="right" vertical="top" wrapText="1"/>
    </xf>
    <xf numFmtId="0" fontId="72" fillId="0" borderId="0" xfId="100" applyFont="1" applyAlignment="1">
      <alignment vertical="top" wrapText="1"/>
    </xf>
    <xf numFmtId="0" fontId="72" fillId="0" borderId="0" xfId="100" applyFont="1" applyAlignment="1">
      <alignment horizontal="justify" vertical="top" wrapText="1"/>
    </xf>
    <xf numFmtId="0" fontId="120" fillId="0" borderId="6" xfId="100" applyFont="1" applyBorder="1" applyAlignment="1">
      <alignment horizontal="center" vertical="top" wrapText="1"/>
    </xf>
    <xf numFmtId="0" fontId="3" fillId="0" borderId="6" xfId="100" applyBorder="1" applyAlignment="1">
      <alignment horizontal="justify" vertical="top"/>
    </xf>
    <xf numFmtId="180" fontId="3" fillId="0" borderId="0" xfId="100" applyNumberFormat="1" applyAlignment="1">
      <alignment horizontal="center" vertical="top" wrapText="1"/>
    </xf>
    <xf numFmtId="0" fontId="3" fillId="0" borderId="0" xfId="100" applyAlignment="1">
      <alignment horizontal="justify" wrapText="1"/>
    </xf>
    <xf numFmtId="0" fontId="3" fillId="0" borderId="20" xfId="100" applyBorder="1" applyAlignment="1">
      <alignment horizontal="left" vertical="top" wrapText="1"/>
    </xf>
    <xf numFmtId="0" fontId="3" fillId="0" borderId="0" xfId="100" applyAlignment="1">
      <alignment horizontal="justify" vertical="top" wrapText="1"/>
    </xf>
    <xf numFmtId="0" fontId="56" fillId="0" borderId="0" xfId="100" applyFont="1" applyAlignment="1">
      <alignment horizontal="justify"/>
    </xf>
    <xf numFmtId="180" fontId="3" fillId="0" borderId="0" xfId="100" applyNumberFormat="1"/>
    <xf numFmtId="0" fontId="3" fillId="0" borderId="0" xfId="100" applyAlignment="1">
      <alignment vertical="center" wrapText="1"/>
    </xf>
    <xf numFmtId="180" fontId="120" fillId="0" borderId="6" xfId="100" applyNumberFormat="1" applyFont="1" applyBorder="1" applyAlignment="1">
      <alignment horizontal="right"/>
    </xf>
    <xf numFmtId="4" fontId="72" fillId="0" borderId="20" xfId="100" applyNumberFormat="1" applyFont="1" applyBorder="1" applyAlignment="1">
      <alignment vertical="center" wrapText="1"/>
    </xf>
    <xf numFmtId="180" fontId="72" fillId="0" borderId="0" xfId="100" applyNumberFormat="1" applyFont="1" applyAlignment="1">
      <alignment vertical="center" wrapText="1"/>
    </xf>
    <xf numFmtId="4" fontId="72" fillId="0" borderId="0" xfId="100" applyNumberFormat="1" applyFont="1" applyAlignment="1">
      <alignment vertical="center" wrapText="1"/>
    </xf>
    <xf numFmtId="4" fontId="3" fillId="0" borderId="20" xfId="100" applyNumberFormat="1" applyBorder="1" applyAlignment="1">
      <alignment horizontal="justify" vertical="center" wrapText="1"/>
    </xf>
    <xf numFmtId="0" fontId="72" fillId="0" borderId="0" xfId="100" applyFont="1" applyAlignment="1">
      <alignment horizontal="center" vertical="center" wrapText="1"/>
    </xf>
    <xf numFmtId="0" fontId="72" fillId="0" borderId="0" xfId="100" applyFont="1"/>
    <xf numFmtId="180" fontId="120" fillId="0" borderId="6" xfId="100" applyNumberFormat="1" applyFont="1" applyBorder="1" applyAlignment="1">
      <alignment horizontal="right" wrapText="1"/>
    </xf>
    <xf numFmtId="171" fontId="76" fillId="0" borderId="0" xfId="100" applyNumberFormat="1" applyFont="1" applyAlignment="1">
      <alignment horizontal="right" vertical="top"/>
    </xf>
    <xf numFmtId="180" fontId="3" fillId="0" borderId="0" xfId="100" applyNumberFormat="1" applyAlignment="1">
      <alignment horizontal="right" wrapText="1"/>
    </xf>
    <xf numFmtId="0" fontId="72" fillId="0" borderId="0" xfId="100" applyFont="1" applyAlignment="1">
      <alignment horizontal="center" wrapText="1"/>
    </xf>
    <xf numFmtId="171" fontId="3" fillId="0" borderId="0" xfId="100" applyNumberFormat="1" applyAlignment="1">
      <alignment horizontal="right" vertical="top"/>
    </xf>
    <xf numFmtId="180" fontId="3" fillId="0" borderId="6" xfId="100" applyNumberFormat="1" applyBorder="1" applyAlignment="1">
      <alignment horizontal="right" wrapText="1"/>
    </xf>
    <xf numFmtId="49" fontId="72" fillId="0" borderId="0" xfId="101" applyNumberFormat="1" applyFont="1" applyAlignment="1">
      <alignment horizontal="justify" vertical="top" wrapText="1"/>
    </xf>
    <xf numFmtId="0" fontId="3" fillId="0" borderId="0" xfId="100" applyAlignment="1">
      <alignment horizontal="center" wrapText="1"/>
    </xf>
    <xf numFmtId="0" fontId="3" fillId="0" borderId="20" xfId="100" applyBorder="1" applyAlignment="1">
      <alignment horizontal="justify" vertical="center" wrapText="1"/>
    </xf>
    <xf numFmtId="0" fontId="3" fillId="0" borderId="19" xfId="100" applyBorder="1" applyAlignment="1">
      <alignment horizontal="center" wrapText="1"/>
    </xf>
    <xf numFmtId="0" fontId="122" fillId="0" borderId="0" xfId="100" applyFont="1" applyAlignment="1">
      <alignment vertical="top" wrapText="1"/>
    </xf>
    <xf numFmtId="0" fontId="3" fillId="0" borderId="0" xfId="100" applyAlignment="1">
      <alignment horizontal="justify" vertical="center" wrapText="1"/>
    </xf>
    <xf numFmtId="180" fontId="3" fillId="0" borderId="0" xfId="100" applyNumberFormat="1" applyAlignment="1">
      <alignment horizontal="center" wrapText="1"/>
    </xf>
    <xf numFmtId="171" fontId="72" fillId="0" borderId="6" xfId="100" applyNumberFormat="1" applyFont="1" applyBorder="1" applyAlignment="1">
      <alignment horizontal="right" vertical="top"/>
    </xf>
    <xf numFmtId="0" fontId="72" fillId="0" borderId="0" xfId="103" applyFont="1" applyAlignment="1" applyProtection="1">
      <alignment horizontal="justify" vertical="top" wrapText="1"/>
      <protection locked="0"/>
    </xf>
    <xf numFmtId="0" fontId="3" fillId="0" borderId="0" xfId="100" applyAlignment="1">
      <alignment horizontal="left" vertical="top" wrapText="1" indent="3"/>
    </xf>
    <xf numFmtId="171" fontId="72" fillId="0" borderId="0" xfId="100" applyNumberFormat="1" applyFont="1" applyAlignment="1">
      <alignment horizontal="center" vertical="top"/>
    </xf>
    <xf numFmtId="0" fontId="72" fillId="0" borderId="0" xfId="100" applyFont="1" applyAlignment="1">
      <alignment horizontal="left" vertical="top" indent="2"/>
    </xf>
    <xf numFmtId="180" fontId="3" fillId="0" borderId="0" xfId="100" applyNumberFormat="1" applyAlignment="1">
      <alignment wrapText="1"/>
    </xf>
    <xf numFmtId="4" fontId="3" fillId="0" borderId="0" xfId="100" applyNumberFormat="1" applyAlignment="1">
      <alignment horizontal="justify" vertical="center" wrapText="1"/>
    </xf>
    <xf numFmtId="0" fontId="3" fillId="0" borderId="0" xfId="100" applyAlignment="1">
      <alignment horizontal="left" wrapText="1"/>
    </xf>
    <xf numFmtId="0" fontId="49" fillId="0" borderId="0" xfId="100" applyFont="1"/>
    <xf numFmtId="0" fontId="72" fillId="0" borderId="19" xfId="100" applyFont="1" applyBorder="1" applyAlignment="1">
      <alignment horizontal="center" vertical="center" wrapText="1"/>
    </xf>
    <xf numFmtId="0" fontId="3" fillId="0" borderId="0" xfId="100" applyAlignment="1">
      <alignment wrapText="1"/>
    </xf>
    <xf numFmtId="180" fontId="49" fillId="0" borderId="0" xfId="100" applyNumberFormat="1" applyFont="1" applyAlignment="1">
      <alignment horizontal="center" vertical="top" wrapText="1"/>
    </xf>
    <xf numFmtId="0" fontId="3" fillId="0" borderId="0" xfId="100" applyAlignment="1">
      <alignment horizontal="left" vertical="top" indent="2"/>
    </xf>
    <xf numFmtId="0" fontId="72" fillId="0" borderId="0" xfId="100" applyFont="1" applyAlignment="1" applyProtection="1">
      <alignment horizontal="center"/>
      <protection locked="0"/>
    </xf>
    <xf numFmtId="0" fontId="56" fillId="0" borderId="0" xfId="100" applyFont="1" applyAlignment="1">
      <alignment horizontal="left" vertical="top" wrapText="1"/>
    </xf>
    <xf numFmtId="180" fontId="35" fillId="0" borderId="19" xfId="100" applyNumberFormat="1" applyFont="1" applyBorder="1" applyAlignment="1">
      <alignment vertical="center" wrapText="1"/>
    </xf>
    <xf numFmtId="0" fontId="56" fillId="0" borderId="0" xfId="100" applyFont="1" applyAlignment="1">
      <alignment horizontal="right" vertical="top"/>
    </xf>
    <xf numFmtId="0" fontId="124" fillId="0" borderId="0" xfId="100" applyFont="1" applyAlignment="1">
      <alignment horizontal="center"/>
    </xf>
    <xf numFmtId="171" fontId="76" fillId="0" borderId="0" xfId="100" applyNumberFormat="1" applyFont="1" applyAlignment="1">
      <alignment horizontal="center" vertical="top"/>
    </xf>
    <xf numFmtId="0" fontId="72" fillId="0" borderId="19" xfId="100" applyFont="1" applyBorder="1" applyAlignment="1">
      <alignment vertical="center" wrapText="1"/>
    </xf>
    <xf numFmtId="180" fontId="72" fillId="0" borderId="0" xfId="100" applyNumberFormat="1" applyFont="1" applyAlignment="1">
      <alignment horizontal="center" wrapText="1"/>
    </xf>
    <xf numFmtId="180" fontId="124" fillId="0" borderId="0" xfId="100" applyNumberFormat="1" applyFont="1" applyAlignment="1">
      <alignment horizontal="right" wrapText="1"/>
    </xf>
    <xf numFmtId="0" fontId="72" fillId="0" borderId="0" xfId="16" applyFont="1" applyAlignment="1">
      <alignment horizontal="justify" vertical="top" wrapText="1"/>
    </xf>
    <xf numFmtId="0" fontId="3" fillId="0" borderId="0" xfId="100" applyAlignment="1">
      <alignment horizontal="left" vertical="top" wrapText="1"/>
    </xf>
    <xf numFmtId="180" fontId="120" fillId="0" borderId="6" xfId="100" applyNumberFormat="1" applyFont="1" applyBorder="1" applyAlignment="1">
      <alignment horizontal="center" vertical="top" wrapText="1"/>
    </xf>
    <xf numFmtId="171" fontId="54" fillId="0" borderId="6" xfId="100" applyNumberFormat="1" applyFont="1" applyBorder="1" applyAlignment="1">
      <alignment horizontal="right" vertical="top"/>
    </xf>
    <xf numFmtId="0" fontId="120" fillId="0" borderId="6" xfId="100" applyFont="1" applyBorder="1" applyAlignment="1">
      <alignment horizontal="justify" vertical="top"/>
    </xf>
    <xf numFmtId="180" fontId="49" fillId="0" borderId="0" xfId="100" applyNumberFormat="1" applyFont="1" applyAlignment="1">
      <alignment horizontal="center"/>
    </xf>
    <xf numFmtId="0" fontId="3" fillId="0" borderId="0" xfId="100" applyAlignment="1">
      <alignment horizontal="center" vertical="center" wrapText="1"/>
    </xf>
    <xf numFmtId="180" fontId="3" fillId="0" borderId="0" xfId="100" applyNumberFormat="1" applyAlignment="1">
      <alignment horizontal="right" vertical="top"/>
    </xf>
    <xf numFmtId="180" fontId="49" fillId="0" borderId="0" xfId="100" applyNumberFormat="1" applyFont="1"/>
    <xf numFmtId="171" fontId="72" fillId="0" borderId="0" xfId="3" applyNumberFormat="1" applyFont="1" applyAlignment="1">
      <alignment horizontal="right" vertical="top"/>
    </xf>
    <xf numFmtId="180" fontId="120" fillId="0" borderId="6" xfId="100" applyNumberFormat="1" applyFont="1" applyBorder="1" applyAlignment="1">
      <alignment horizontal="right" vertical="top"/>
    </xf>
    <xf numFmtId="0" fontId="72" fillId="0" borderId="0" xfId="102" applyFont="1" applyAlignment="1">
      <alignment horizontal="justify" vertical="top" wrapText="1"/>
    </xf>
    <xf numFmtId="0" fontId="56" fillId="0" borderId="0" xfId="100" applyFont="1" applyAlignment="1">
      <alignment horizontal="right" vertical="top" wrapText="1"/>
    </xf>
    <xf numFmtId="0" fontId="56" fillId="0" borderId="0" xfId="100" applyFont="1" applyAlignment="1">
      <alignment horizontal="left" wrapText="1"/>
    </xf>
    <xf numFmtId="180" fontId="124" fillId="0" borderId="0" xfId="100" applyNumberFormat="1" applyFont="1" applyAlignment="1">
      <alignment horizontal="center"/>
    </xf>
    <xf numFmtId="180" fontId="3" fillId="0" borderId="14" xfId="100" applyNumberFormat="1" applyBorder="1"/>
    <xf numFmtId="180" fontId="120" fillId="0" borderId="6" xfId="100" applyNumberFormat="1" applyFont="1" applyBorder="1" applyAlignment="1">
      <alignment horizontal="right" vertical="top" wrapText="1"/>
    </xf>
    <xf numFmtId="180" fontId="49" fillId="0" borderId="0" xfId="100" applyNumberFormat="1" applyFont="1" applyAlignment="1">
      <alignment horizontal="right"/>
    </xf>
    <xf numFmtId="180" fontId="3" fillId="0" borderId="19" xfId="100" applyNumberFormat="1" applyBorder="1" applyAlignment="1">
      <alignment horizontal="right" wrapText="1"/>
    </xf>
    <xf numFmtId="180" fontId="3" fillId="0" borderId="14" xfId="100" applyNumberFormat="1" applyBorder="1" applyAlignment="1">
      <alignment horizontal="right" wrapText="1"/>
    </xf>
    <xf numFmtId="0" fontId="72" fillId="0" borderId="0" xfId="100" applyFont="1" applyAlignment="1">
      <alignment vertical="center" wrapText="1"/>
    </xf>
    <xf numFmtId="0" fontId="56" fillId="0" borderId="0" xfId="100" applyFont="1" applyAlignment="1">
      <alignment horizontal="justify" wrapText="1"/>
    </xf>
    <xf numFmtId="171" fontId="72" fillId="0" borderId="0" xfId="100" applyNumberFormat="1" applyFont="1" applyAlignment="1">
      <alignment horizontal="right" vertical="top"/>
    </xf>
    <xf numFmtId="180" fontId="72" fillId="0" borderId="0" xfId="100" applyNumberFormat="1" applyFont="1" applyAlignment="1">
      <alignment horizontal="right"/>
    </xf>
    <xf numFmtId="180" fontId="72" fillId="0" borderId="0" xfId="100" applyNumberFormat="1" applyFont="1" applyAlignment="1">
      <alignment horizontal="right" wrapText="1"/>
    </xf>
    <xf numFmtId="0" fontId="72" fillId="0" borderId="0" xfId="100" quotePrefix="1" applyFont="1" applyAlignment="1">
      <alignment horizontal="justify" vertical="top" wrapText="1"/>
    </xf>
    <xf numFmtId="0" fontId="3" fillId="0" borderId="0" xfId="100" applyAlignment="1">
      <alignment horizontal="center" vertical="top" wrapText="1"/>
    </xf>
    <xf numFmtId="0" fontId="3" fillId="0" borderId="0" xfId="100" applyAlignment="1">
      <alignment horizontal="justify" vertical="top"/>
    </xf>
    <xf numFmtId="180" fontId="35" fillId="0" borderId="0" xfId="100" applyNumberFormat="1" applyFont="1" applyAlignment="1" applyProtection="1">
      <alignment horizontal="right"/>
      <protection locked="0"/>
    </xf>
    <xf numFmtId="180" fontId="3" fillId="0" borderId="0" xfId="100" applyNumberFormat="1" applyAlignment="1">
      <alignment horizontal="right" vertical="center"/>
    </xf>
    <xf numFmtId="168" fontId="3" fillId="0" borderId="0" xfId="100" applyNumberFormat="1"/>
    <xf numFmtId="171" fontId="3" fillId="0" borderId="0" xfId="100" applyNumberFormat="1" applyAlignment="1">
      <alignment horizontal="center" vertical="top"/>
    </xf>
    <xf numFmtId="0" fontId="3" fillId="0" borderId="19" xfId="100" applyBorder="1" applyAlignment="1">
      <alignment vertical="center" wrapText="1"/>
    </xf>
    <xf numFmtId="180" fontId="49" fillId="0" borderId="20" xfId="100" applyNumberFormat="1" applyFont="1" applyBorder="1" applyAlignment="1">
      <alignment horizontal="right"/>
    </xf>
    <xf numFmtId="180" fontId="49" fillId="0" borderId="0" xfId="100" applyNumberFormat="1" applyFont="1" applyAlignment="1">
      <alignment horizontal="right" vertical="top"/>
    </xf>
    <xf numFmtId="0" fontId="3" fillId="0" borderId="20" xfId="100" applyBorder="1"/>
    <xf numFmtId="180" fontId="3" fillId="0" borderId="14" xfId="100" applyNumberFormat="1" applyBorder="1" applyAlignment="1">
      <alignment horizontal="right"/>
    </xf>
    <xf numFmtId="0" fontId="3" fillId="0" borderId="0" xfId="100" applyAlignment="1">
      <alignment horizontal="center" vertical="center"/>
    </xf>
    <xf numFmtId="0" fontId="3" fillId="0" borderId="0" xfId="100" applyAlignment="1">
      <alignment vertical="top" wrapText="1"/>
    </xf>
    <xf numFmtId="0" fontId="72" fillId="0" borderId="0" xfId="100" applyFont="1" applyAlignment="1">
      <alignment horizontal="justify" vertical="top"/>
    </xf>
    <xf numFmtId="0" fontId="72" fillId="0" borderId="0" xfId="100" applyFont="1" applyAlignment="1">
      <alignment horizontal="left" vertical="top"/>
    </xf>
    <xf numFmtId="0" fontId="3" fillId="0" borderId="0" xfId="100"/>
    <xf numFmtId="180" fontId="3" fillId="0" borderId="0" xfId="100" applyNumberFormat="1" applyAlignment="1">
      <alignment horizontal="right"/>
    </xf>
    <xf numFmtId="0" fontId="3" fillId="0" borderId="19" xfId="100" applyBorder="1" applyAlignment="1">
      <alignment horizontal="center"/>
    </xf>
    <xf numFmtId="180" fontId="3" fillId="0" borderId="19" xfId="100" applyNumberFormat="1" applyBorder="1" applyAlignment="1">
      <alignment vertical="center" wrapText="1"/>
    </xf>
    <xf numFmtId="0" fontId="120" fillId="0" borderId="0" xfId="100" applyFont="1"/>
    <xf numFmtId="0" fontId="124" fillId="0" borderId="0" xfId="100" applyFont="1" applyAlignment="1">
      <alignment horizontal="justify" vertical="top"/>
    </xf>
    <xf numFmtId="180" fontId="3" fillId="0" borderId="0" xfId="100" applyNumberFormat="1" applyAlignment="1">
      <alignment horizontal="center"/>
    </xf>
    <xf numFmtId="0" fontId="120" fillId="0" borderId="6" xfId="100" applyFont="1" applyBorder="1" applyAlignment="1">
      <alignment horizontal="right" vertical="top" wrapText="1"/>
    </xf>
    <xf numFmtId="180" fontId="72" fillId="0" borderId="0" xfId="100" applyNumberFormat="1" applyFont="1"/>
    <xf numFmtId="49" fontId="72" fillId="0" borderId="0" xfId="100" applyNumberFormat="1" applyFont="1" applyAlignment="1" applyProtection="1">
      <alignment vertical="top" wrapText="1"/>
      <protection locked="0"/>
    </xf>
    <xf numFmtId="49" fontId="122" fillId="0" borderId="0" xfId="100" applyNumberFormat="1" applyFont="1" applyAlignment="1">
      <alignment horizontal="center"/>
    </xf>
    <xf numFmtId="49" fontId="72" fillId="0" borderId="0" xfId="100" applyNumberFormat="1" applyFont="1" applyAlignment="1">
      <alignment horizontal="center"/>
    </xf>
    <xf numFmtId="0" fontId="72" fillId="0" borderId="0" xfId="100" applyFont="1" applyAlignment="1">
      <alignment horizontal="center"/>
    </xf>
    <xf numFmtId="49" fontId="72" fillId="0" borderId="0" xfId="100" applyNumberFormat="1" applyFont="1" applyAlignment="1">
      <alignment horizontal="left" vertical="top" wrapText="1"/>
    </xf>
    <xf numFmtId="0" fontId="49" fillId="0" borderId="0" xfId="100" applyFont="1" applyAlignment="1">
      <alignment horizontal="center"/>
    </xf>
    <xf numFmtId="0" fontId="3" fillId="0" borderId="0" xfId="100" applyAlignment="1">
      <alignment horizontal="left" indent="2"/>
    </xf>
    <xf numFmtId="0" fontId="120" fillId="0" borderId="6" xfId="100" applyFont="1" applyBorder="1" applyAlignment="1">
      <alignment horizontal="center" vertical="center" wrapText="1"/>
    </xf>
    <xf numFmtId="0" fontId="122" fillId="0" borderId="0" xfId="100" applyFont="1"/>
    <xf numFmtId="0" fontId="124" fillId="0" borderId="0" xfId="100" applyFont="1" applyAlignment="1">
      <alignment horizontal="right" vertical="top"/>
    </xf>
    <xf numFmtId="0" fontId="124" fillId="0" borderId="0" xfId="100" applyFont="1" applyAlignment="1">
      <alignment wrapText="1"/>
    </xf>
    <xf numFmtId="0" fontId="122" fillId="0" borderId="0" xfId="100" applyFont="1" applyAlignment="1">
      <alignment horizontal="center"/>
    </xf>
    <xf numFmtId="180" fontId="122" fillId="0" borderId="0" xfId="100" applyNumberFormat="1" applyFont="1" applyAlignment="1">
      <alignment horizontal="right"/>
    </xf>
    <xf numFmtId="4" fontId="3" fillId="0" borderId="20" xfId="100" applyNumberFormat="1" applyBorder="1" applyAlignment="1">
      <alignment horizontal="left" vertical="top" wrapText="1"/>
    </xf>
    <xf numFmtId="4" fontId="25" fillId="0" borderId="0" xfId="0" applyNumberFormat="1" applyFont="1"/>
    <xf numFmtId="0" fontId="12" fillId="0" borderId="0" xfId="0" applyFont="1"/>
    <xf numFmtId="2" fontId="10" fillId="0" borderId="0" xfId="0" applyNumberFormat="1" applyFont="1" applyAlignment="1">
      <alignment horizontal="center" vertical="center" wrapText="1"/>
    </xf>
    <xf numFmtId="4" fontId="10" fillId="0" borderId="0" xfId="0" applyNumberFormat="1" applyFont="1" applyAlignment="1">
      <alignment vertical="center" wrapText="1"/>
    </xf>
    <xf numFmtId="0" fontId="10" fillId="0" borderId="0" xfId="0" applyFont="1" applyAlignment="1">
      <alignment horizontal="center" vertical="top" wrapText="1"/>
    </xf>
    <xf numFmtId="4" fontId="10" fillId="0" borderId="0" xfId="0" applyNumberFormat="1" applyFont="1" applyAlignment="1">
      <alignment vertical="top" wrapText="1"/>
    </xf>
    <xf numFmtId="49" fontId="11" fillId="0" borderId="0" xfId="0" applyNumberFormat="1" applyFont="1" applyAlignment="1">
      <alignment horizontal="justify" vertical="top"/>
    </xf>
    <xf numFmtId="49" fontId="10" fillId="0" borderId="0" xfId="0" applyNumberFormat="1" applyFont="1" applyAlignment="1">
      <alignment horizontal="justify" vertical="top" wrapText="1"/>
    </xf>
    <xf numFmtId="4" fontId="10" fillId="0" borderId="0" xfId="0" applyNumberFormat="1" applyFont="1" applyAlignment="1">
      <alignment horizontal="center" shrinkToFit="1"/>
    </xf>
    <xf numFmtId="170" fontId="11" fillId="0" borderId="3" xfId="0" applyNumberFormat="1" applyFont="1" applyBorder="1" applyAlignment="1">
      <alignment horizontal="left" vertical="top" shrinkToFit="1"/>
    </xf>
    <xf numFmtId="0" fontId="11" fillId="0" borderId="4" xfId="0" applyFont="1" applyBorder="1" applyAlignment="1">
      <alignment horizontal="justify" vertical="top" wrapText="1"/>
    </xf>
    <xf numFmtId="4" fontId="10" fillId="0" borderId="4" xfId="0" applyNumberFormat="1" applyFont="1" applyBorder="1" applyAlignment="1">
      <alignment horizontal="center"/>
    </xf>
    <xf numFmtId="2" fontId="26" fillId="0" borderId="0" xfId="0" applyNumberFormat="1" applyFont="1" applyAlignment="1">
      <alignment horizontal="justify" vertical="top" wrapText="1"/>
    </xf>
    <xf numFmtId="4" fontId="10" fillId="0" borderId="0" xfId="0" applyNumberFormat="1" applyFont="1" applyProtection="1">
      <protection locked="0"/>
    </xf>
    <xf numFmtId="4" fontId="10" fillId="0" borderId="0" xfId="0" applyNumberFormat="1" applyFont="1" applyAlignment="1">
      <alignment horizontal="center" wrapText="1"/>
    </xf>
    <xf numFmtId="2" fontId="10" fillId="0" borderId="0" xfId="0" applyNumberFormat="1" applyFont="1" applyAlignment="1">
      <alignment horizontal="right" vertical="top" wrapText="1"/>
    </xf>
    <xf numFmtId="0" fontId="29" fillId="0" borderId="0" xfId="0" applyFont="1" applyAlignment="1">
      <alignment horizontal="left" vertical="top"/>
    </xf>
    <xf numFmtId="2" fontId="31" fillId="0" borderId="0" xfId="0" applyNumberFormat="1" applyFont="1" applyAlignment="1">
      <alignment horizontal="justify" vertical="top" wrapText="1"/>
    </xf>
    <xf numFmtId="4" fontId="31" fillId="0" borderId="0" xfId="0" applyNumberFormat="1" applyFont="1" applyAlignment="1">
      <alignment horizontal="center" vertical="top" wrapText="1"/>
    </xf>
    <xf numFmtId="4" fontId="31" fillId="0" borderId="0" xfId="0" applyNumberFormat="1" applyFont="1" applyAlignment="1">
      <alignment horizontal="right"/>
    </xf>
    <xf numFmtId="0" fontId="29" fillId="0" borderId="4" xfId="0" applyFont="1" applyBorder="1"/>
    <xf numFmtId="170" fontId="24" fillId="0" borderId="0" xfId="0" applyNumberFormat="1" applyFont="1" applyAlignment="1">
      <alignment horizontal="center" vertical="top" shrinkToFit="1"/>
    </xf>
    <xf numFmtId="2" fontId="24" fillId="0" borderId="0" xfId="0" applyNumberFormat="1" applyFont="1" applyAlignment="1">
      <alignment horizontal="center" vertical="top" wrapText="1"/>
    </xf>
    <xf numFmtId="4" fontId="24" fillId="0" borderId="0" xfId="0" applyNumberFormat="1" applyFont="1" applyAlignment="1">
      <alignment horizontal="center"/>
    </xf>
    <xf numFmtId="0" fontId="10" fillId="0" borderId="0" xfId="0" applyFont="1" applyAlignment="1">
      <alignment horizontal="justify" vertical="center" wrapText="1"/>
    </xf>
    <xf numFmtId="4" fontId="31" fillId="0" borderId="0" xfId="0" applyNumberFormat="1" applyFont="1" applyAlignment="1">
      <alignment horizontal="right" vertical="top" wrapText="1"/>
    </xf>
    <xf numFmtId="0" fontId="11" fillId="0" borderId="7" xfId="0" applyFont="1" applyBorder="1" applyAlignment="1">
      <alignment horizontal="justify" wrapText="1"/>
    </xf>
    <xf numFmtId="4" fontId="11" fillId="0" borderId="9" xfId="0" applyNumberFormat="1" applyFont="1" applyBorder="1" applyAlignment="1">
      <alignment horizontal="right"/>
    </xf>
    <xf numFmtId="4" fontId="10" fillId="0" borderId="0" xfId="0" applyNumberFormat="1" applyFont="1" applyAlignment="1">
      <alignment horizontal="justify" wrapText="1"/>
    </xf>
    <xf numFmtId="4" fontId="10" fillId="0" borderId="0" xfId="0" applyNumberFormat="1" applyFont="1" applyAlignment="1">
      <alignment horizontal="justify" vertical="top"/>
    </xf>
    <xf numFmtId="4" fontId="11" fillId="0" borderId="0" xfId="0" applyNumberFormat="1" applyFont="1" applyAlignment="1">
      <alignment horizontal="justify" vertical="top"/>
    </xf>
    <xf numFmtId="0" fontId="11" fillId="0" borderId="0" xfId="0" applyFont="1" applyAlignment="1">
      <alignment horizontal="right"/>
    </xf>
    <xf numFmtId="4" fontId="39" fillId="0" borderId="0" xfId="0" applyNumberFormat="1" applyFont="1" applyAlignment="1">
      <alignment horizontal="justify" vertical="top"/>
    </xf>
    <xf numFmtId="0" fontId="10" fillId="0" borderId="0" xfId="0" quotePrefix="1" applyFont="1" applyAlignment="1" applyProtection="1">
      <alignment horizontal="justify" vertical="top" wrapText="1"/>
      <protection locked="0"/>
    </xf>
    <xf numFmtId="2" fontId="10" fillId="0" borderId="0" xfId="2" applyNumberFormat="1" applyFont="1" applyAlignment="1" applyProtection="1">
      <alignment horizontal="justify" vertical="top" wrapText="1"/>
      <protection locked="0"/>
    </xf>
    <xf numFmtId="2" fontId="11" fillId="0" borderId="0" xfId="2" applyNumberFormat="1" applyFont="1" applyAlignment="1" applyProtection="1">
      <alignment horizontal="justify" vertical="top" wrapText="1"/>
      <protection locked="0"/>
    </xf>
    <xf numFmtId="2" fontId="11" fillId="0" borderId="0" xfId="0" applyNumberFormat="1" applyFont="1" applyAlignment="1" applyProtection="1">
      <alignment horizontal="justify" vertical="top" wrapText="1" shrinkToFit="1" readingOrder="1"/>
      <protection locked="0"/>
    </xf>
    <xf numFmtId="0" fontId="11" fillId="0" borderId="19" xfId="0" applyFont="1" applyBorder="1" applyAlignment="1">
      <alignment horizontal="justify" vertical="top"/>
    </xf>
    <xf numFmtId="0" fontId="11" fillId="0" borderId="19" xfId="0" applyFont="1" applyBorder="1"/>
    <xf numFmtId="4" fontId="11" fillId="0" borderId="19" xfId="0" applyNumberFormat="1" applyFont="1" applyBorder="1"/>
    <xf numFmtId="0" fontId="11" fillId="0" borderId="20" xfId="0" applyFont="1" applyBorder="1" applyAlignment="1">
      <alignment vertical="top"/>
    </xf>
    <xf numFmtId="4" fontId="11" fillId="0" borderId="18" xfId="0" applyNumberFormat="1" applyFont="1" applyBorder="1" applyAlignment="1">
      <alignment horizontal="right" vertical="center"/>
    </xf>
    <xf numFmtId="0" fontId="25" fillId="0" borderId="0" xfId="0" applyFont="1" applyAlignment="1">
      <alignment horizontal="right"/>
    </xf>
    <xf numFmtId="168" fontId="10" fillId="0" borderId="0" xfId="0" applyNumberFormat="1" applyFont="1" applyAlignment="1">
      <alignment horizontal="justify"/>
    </xf>
    <xf numFmtId="4" fontId="11" fillId="0" borderId="9" xfId="0" applyNumberFormat="1" applyFont="1" applyBorder="1"/>
    <xf numFmtId="171" fontId="35" fillId="0" borderId="0" xfId="0" applyNumberFormat="1" applyFont="1" applyAlignment="1">
      <alignment horizontal="right" vertical="top"/>
    </xf>
    <xf numFmtId="0" fontId="54" fillId="0" borderId="0" xfId="0" applyFont="1" applyAlignment="1">
      <alignment horizontal="centerContinuous" vertical="top"/>
    </xf>
    <xf numFmtId="0" fontId="35" fillId="0" borderId="0" xfId="0" applyFont="1" applyAlignment="1">
      <alignment horizontal="centerContinuous" vertical="top"/>
    </xf>
    <xf numFmtId="1" fontId="35" fillId="0" borderId="0" xfId="0" applyNumberFormat="1" applyFont="1" applyAlignment="1">
      <alignment horizontal="centerContinuous" vertical="top"/>
    </xf>
    <xf numFmtId="4" fontId="35" fillId="0" borderId="0" xfId="0" applyNumberFormat="1" applyFont="1" applyAlignment="1">
      <alignment horizontal="centerContinuous" vertical="top"/>
    </xf>
    <xf numFmtId="0" fontId="24" fillId="0" borderId="0" xfId="0" applyFont="1" applyAlignment="1">
      <alignment vertical="top"/>
    </xf>
    <xf numFmtId="171" fontId="54" fillId="0" borderId="10" xfId="0" applyNumberFormat="1" applyFont="1" applyBorder="1" applyAlignment="1">
      <alignment horizontal="right" vertical="center"/>
    </xf>
    <xf numFmtId="0" fontId="54" fillId="0" borderId="10" xfId="0" applyFont="1" applyBorder="1" applyAlignment="1">
      <alignment horizontal="left" vertical="center"/>
    </xf>
    <xf numFmtId="0" fontId="54" fillId="0" borderId="10" xfId="0" applyFont="1" applyBorder="1" applyAlignment="1">
      <alignment horizontal="center" vertical="center"/>
    </xf>
    <xf numFmtId="1" fontId="54" fillId="0" borderId="10" xfId="0" applyNumberFormat="1" applyFont="1" applyBorder="1" applyAlignment="1">
      <alignment horizontal="right"/>
    </xf>
    <xf numFmtId="4" fontId="54" fillId="0" borderId="10" xfId="0" applyNumberFormat="1" applyFont="1" applyBorder="1" applyAlignment="1">
      <alignment horizontal="center" vertical="center"/>
    </xf>
    <xf numFmtId="0" fontId="53" fillId="0" borderId="0" xfId="0" applyFont="1" applyAlignment="1">
      <alignment horizontal="center" vertical="center"/>
    </xf>
    <xf numFmtId="0" fontId="35" fillId="0" borderId="0" xfId="0" applyFont="1" applyAlignment="1">
      <alignment horizontal="left" vertical="top" wrapText="1"/>
    </xf>
    <xf numFmtId="0" fontId="35" fillId="0" borderId="0" xfId="0" applyFont="1" applyAlignment="1">
      <alignment horizontal="right"/>
    </xf>
    <xf numFmtId="1" fontId="35" fillId="0" borderId="0" xfId="0" applyNumberFormat="1" applyFont="1" applyAlignment="1">
      <alignment horizontal="right"/>
    </xf>
    <xf numFmtId="172" fontId="35" fillId="0" borderId="0" xfId="0" applyNumberFormat="1" applyFont="1" applyAlignment="1">
      <alignment horizontal="right"/>
    </xf>
    <xf numFmtId="4" fontId="35" fillId="0" borderId="0" xfId="0" applyNumberFormat="1" applyFont="1" applyAlignment="1">
      <alignment horizontal="right"/>
    </xf>
    <xf numFmtId="0" fontId="94" fillId="0" borderId="11" xfId="32" applyFont="1" applyBorder="1" applyAlignment="1">
      <alignment horizontal="centerContinuous" vertical="top" wrapText="1"/>
    </xf>
    <xf numFmtId="0" fontId="94" fillId="0" borderId="12" xfId="32" applyFont="1" applyBorder="1" applyAlignment="1">
      <alignment horizontal="centerContinuous" vertical="top" wrapText="1"/>
    </xf>
    <xf numFmtId="4" fontId="94" fillId="0" borderId="12" xfId="32" applyNumberFormat="1" applyFont="1" applyBorder="1" applyAlignment="1">
      <alignment horizontal="centerContinuous" vertical="top" wrapText="1"/>
    </xf>
    <xf numFmtId="49" fontId="55" fillId="0" borderId="0" xfId="99" applyNumberFormat="1" applyFont="1" applyAlignment="1">
      <alignment horizontal="right"/>
    </xf>
    <xf numFmtId="0" fontId="55" fillId="0" borderId="0" xfId="16" applyFont="1" applyAlignment="1">
      <alignment horizontal="left" vertical="top" wrapText="1"/>
    </xf>
    <xf numFmtId="0" fontId="55" fillId="0" borderId="0" xfId="99" applyFont="1" applyAlignment="1">
      <alignment vertical="top" wrapText="1"/>
    </xf>
    <xf numFmtId="4" fontId="55" fillId="0" borderId="0" xfId="99" applyNumberFormat="1" applyFont="1" applyAlignment="1">
      <alignment vertical="top" wrapText="1"/>
    </xf>
    <xf numFmtId="49" fontId="35" fillId="0" borderId="0" xfId="9" applyNumberFormat="1" applyFont="1" applyAlignment="1">
      <alignment horizontal="right" vertical="top"/>
    </xf>
    <xf numFmtId="49" fontId="48" fillId="0" borderId="0" xfId="9" applyNumberFormat="1" applyFont="1" applyAlignment="1">
      <alignment horizontal="left" vertical="justify" wrapText="1"/>
    </xf>
    <xf numFmtId="4" fontId="35" fillId="0" borderId="0" xfId="9" applyNumberFormat="1" applyFont="1" applyAlignment="1">
      <alignment horizontal="left" vertical="center"/>
    </xf>
    <xf numFmtId="49" fontId="35" fillId="0" borderId="0" xfId="9" applyNumberFormat="1" applyFont="1"/>
    <xf numFmtId="4" fontId="35" fillId="0" borderId="0" xfId="9" applyNumberFormat="1" applyFont="1"/>
    <xf numFmtId="4" fontId="35" fillId="0" borderId="0" xfId="9" applyNumberFormat="1" applyFont="1" applyAlignment="1">
      <alignment horizontal="right" vertical="center"/>
    </xf>
    <xf numFmtId="49" fontId="35" fillId="0" borderId="0" xfId="9" applyNumberFormat="1" applyFont="1" applyAlignment="1">
      <alignment horizontal="left" vertical="justify" wrapText="1"/>
    </xf>
    <xf numFmtId="1" fontId="35" fillId="0" borderId="0" xfId="9" applyNumberFormat="1" applyFont="1" applyAlignment="1">
      <alignment horizontal="right" vertical="top"/>
    </xf>
    <xf numFmtId="49" fontId="35" fillId="0" borderId="0" xfId="9" applyNumberFormat="1" applyFont="1" applyAlignment="1">
      <alignment horizontal="left" vertical="center" wrapText="1"/>
    </xf>
    <xf numFmtId="49" fontId="35" fillId="0" borderId="0" xfId="9" applyNumberFormat="1" applyFont="1" applyAlignment="1">
      <alignment wrapText="1"/>
    </xf>
    <xf numFmtId="4" fontId="35" fillId="0" borderId="0" xfId="9" applyNumberFormat="1" applyFont="1" applyAlignment="1">
      <alignment wrapText="1"/>
    </xf>
    <xf numFmtId="49" fontId="35" fillId="0" borderId="0" xfId="9" quotePrefix="1" applyNumberFormat="1" applyFont="1" applyAlignment="1">
      <alignment horizontal="left" vertical="top" wrapText="1"/>
    </xf>
    <xf numFmtId="49" fontId="35" fillId="0" borderId="0" xfId="9" quotePrefix="1" applyNumberFormat="1" applyFont="1" applyAlignment="1">
      <alignment wrapText="1"/>
    </xf>
    <xf numFmtId="4" fontId="35" fillId="0" borderId="0" xfId="9" quotePrefix="1" applyNumberFormat="1" applyFont="1" applyAlignment="1">
      <alignment wrapText="1"/>
    </xf>
    <xf numFmtId="49" fontId="35" fillId="0" borderId="0" xfId="9" applyNumberFormat="1" applyFont="1" applyAlignment="1">
      <alignment horizontal="left" vertical="top" wrapText="1"/>
    </xf>
    <xf numFmtId="1" fontId="35" fillId="0" borderId="0" xfId="9" applyNumberFormat="1" applyFont="1" applyAlignment="1">
      <alignment horizontal="right" vertical="top" wrapText="1"/>
    </xf>
    <xf numFmtId="0" fontId="35" fillId="0" borderId="0" xfId="9" applyFont="1" applyAlignment="1">
      <alignment horizontal="left" vertical="justify" wrapText="1"/>
    </xf>
    <xf numFmtId="0" fontId="35" fillId="0" borderId="0" xfId="9" applyFont="1" applyAlignment="1">
      <alignment horizontal="left" vertical="top" wrapText="1"/>
    </xf>
    <xf numFmtId="0" fontId="35" fillId="0" borderId="0" xfId="9" applyFont="1" applyAlignment="1">
      <alignment wrapText="1"/>
    </xf>
    <xf numFmtId="4" fontId="35" fillId="0" borderId="0" xfId="9" applyNumberFormat="1" applyFont="1" applyAlignment="1">
      <alignment horizontal="right" vertical="top" wrapText="1"/>
    </xf>
    <xf numFmtId="0" fontId="35" fillId="0" borderId="0" xfId="0" applyFont="1" applyAlignment="1">
      <alignment horizontal="center" vertical="top" wrapText="1"/>
    </xf>
    <xf numFmtId="1" fontId="35" fillId="0" borderId="0" xfId="0" applyNumberFormat="1" applyFont="1" applyAlignment="1">
      <alignment horizontal="left" vertical="top" wrapText="1"/>
    </xf>
    <xf numFmtId="171" fontId="48" fillId="0" borderId="11" xfId="0" applyNumberFormat="1" applyFont="1" applyBorder="1" applyAlignment="1">
      <alignment horizontal="right" vertical="top"/>
    </xf>
    <xf numFmtId="0" fontId="48" fillId="0" borderId="12" xfId="0" applyFont="1" applyBorder="1" applyAlignment="1">
      <alignment horizontal="left" vertical="top" wrapText="1"/>
    </xf>
    <xf numFmtId="0" fontId="48" fillId="0" borderId="12" xfId="0" applyFont="1" applyBorder="1" applyAlignment="1">
      <alignment horizontal="right"/>
    </xf>
    <xf numFmtId="1" fontId="48" fillId="0" borderId="12" xfId="0" applyNumberFormat="1" applyFont="1" applyBorder="1" applyAlignment="1">
      <alignment horizontal="right"/>
    </xf>
    <xf numFmtId="4" fontId="48" fillId="0" borderId="12" xfId="0" applyNumberFormat="1" applyFont="1" applyBorder="1" applyAlignment="1">
      <alignment horizontal="right"/>
    </xf>
    <xf numFmtId="171" fontId="35" fillId="0" borderId="0" xfId="0" applyNumberFormat="1" applyFont="1" applyAlignment="1">
      <alignment vertical="top"/>
    </xf>
    <xf numFmtId="0" fontId="35" fillId="0" borderId="0" xfId="0" applyFont="1" applyAlignment="1">
      <alignment vertical="top" wrapText="1"/>
    </xf>
    <xf numFmtId="0" fontId="35" fillId="0" borderId="0" xfId="0" applyFont="1"/>
    <xf numFmtId="0" fontId="35" fillId="0" borderId="0" xfId="0" applyFont="1" applyAlignment="1">
      <alignment horizontal="justify" vertical="top" wrapText="1"/>
    </xf>
    <xf numFmtId="0" fontId="96" fillId="0" borderId="0" xfId="0" applyFont="1" applyAlignment="1">
      <alignment horizontal="left" vertical="center" wrapText="1"/>
    </xf>
    <xf numFmtId="0" fontId="97" fillId="0" borderId="0" xfId="0" applyFont="1" applyAlignment="1">
      <alignment horizontal="right"/>
    </xf>
    <xf numFmtId="4" fontId="97" fillId="0" borderId="0" xfId="0" applyNumberFormat="1" applyFont="1" applyAlignment="1">
      <alignment horizontal="right"/>
    </xf>
    <xf numFmtId="0" fontId="98" fillId="0" borderId="0" xfId="0" applyFont="1" applyAlignment="1">
      <alignment vertical="top" wrapText="1"/>
    </xf>
    <xf numFmtId="171" fontId="35" fillId="0" borderId="0" xfId="0" applyNumberFormat="1" applyFont="1" applyAlignment="1">
      <alignment vertical="top" wrapText="1"/>
    </xf>
    <xf numFmtId="0" fontId="35" fillId="0" borderId="0" xfId="0" applyFont="1" applyAlignment="1">
      <alignment horizontal="right" wrapText="1"/>
    </xf>
    <xf numFmtId="1" fontId="35" fillId="0" borderId="0" xfId="0" applyNumberFormat="1" applyFont="1" applyAlignment="1">
      <alignment horizontal="right" wrapText="1"/>
    </xf>
    <xf numFmtId="4" fontId="35" fillId="0" borderId="0" xfId="0" applyNumberFormat="1" applyFont="1" applyAlignment="1">
      <alignment horizontal="right" wrapText="1"/>
    </xf>
    <xf numFmtId="0" fontId="35" fillId="0" borderId="0" xfId="0" applyFont="1" applyAlignment="1">
      <alignment wrapText="1"/>
    </xf>
    <xf numFmtId="1" fontId="41" fillId="0" borderId="0" xfId="0" applyNumberFormat="1" applyFont="1" applyAlignment="1">
      <alignment horizontal="center" vertical="top" wrapText="1"/>
    </xf>
    <xf numFmtId="49" fontId="97" fillId="0" borderId="0" xfId="0" applyNumberFormat="1" applyFont="1" applyAlignment="1">
      <alignment horizontal="left" vertical="top" wrapText="1"/>
    </xf>
    <xf numFmtId="0" fontId="96" fillId="0" borderId="0" xfId="0" applyFont="1" applyAlignment="1">
      <alignment horizontal="justify" vertical="top" wrapText="1"/>
    </xf>
    <xf numFmtId="4" fontId="96" fillId="0" borderId="0" xfId="0" applyNumberFormat="1" applyFont="1" applyAlignment="1">
      <alignment horizontal="right"/>
    </xf>
    <xf numFmtId="171" fontId="12" fillId="0" borderId="0" xfId="0" applyNumberFormat="1" applyFont="1" applyAlignment="1">
      <alignment vertical="top"/>
    </xf>
    <xf numFmtId="0" fontId="12" fillId="0" borderId="0" xfId="0" applyFont="1" applyAlignment="1">
      <alignment vertical="top" wrapText="1"/>
    </xf>
    <xf numFmtId="0" fontId="12" fillId="0" borderId="0" xfId="0" applyFont="1" applyAlignment="1">
      <alignment horizontal="right"/>
    </xf>
    <xf numFmtId="1" fontId="12" fillId="0" borderId="0" xfId="0" applyNumberFormat="1" applyFont="1" applyAlignment="1">
      <alignment horizontal="right"/>
    </xf>
    <xf numFmtId="4" fontId="12" fillId="0" borderId="0" xfId="0" applyNumberFormat="1" applyFont="1" applyAlignment="1">
      <alignment horizontal="right"/>
    </xf>
    <xf numFmtId="171" fontId="48" fillId="0" borderId="20" xfId="0" applyNumberFormat="1" applyFont="1" applyBorder="1" applyAlignment="1">
      <alignment horizontal="left" vertical="top"/>
    </xf>
    <xf numFmtId="0" fontId="48" fillId="0" borderId="19" xfId="0" applyFont="1" applyBorder="1" applyAlignment="1">
      <alignment horizontal="left" vertical="top" wrapText="1"/>
    </xf>
    <xf numFmtId="0" fontId="48" fillId="0" borderId="19" xfId="0" applyFont="1" applyBorder="1" applyAlignment="1">
      <alignment horizontal="right"/>
    </xf>
    <xf numFmtId="1" fontId="48" fillId="0" borderId="19" xfId="0" applyNumberFormat="1" applyFont="1" applyBorder="1" applyAlignment="1">
      <alignment horizontal="right"/>
    </xf>
    <xf numFmtId="4" fontId="48" fillId="0" borderId="19" xfId="0" applyNumberFormat="1" applyFont="1" applyBorder="1" applyAlignment="1">
      <alignment horizontal="right"/>
    </xf>
    <xf numFmtId="4" fontId="48" fillId="0" borderId="18" xfId="0" applyNumberFormat="1" applyFont="1" applyBorder="1" applyAlignment="1">
      <alignment horizontal="right"/>
    </xf>
    <xf numFmtId="171" fontId="48" fillId="0" borderId="27" xfId="0" applyNumberFormat="1" applyFont="1" applyBorder="1" applyAlignment="1">
      <alignment horizontal="left" vertical="top"/>
    </xf>
    <xf numFmtId="0" fontId="48" fillId="0" borderId="26" xfId="0" applyFont="1" applyBorder="1" applyAlignment="1">
      <alignment horizontal="left" vertical="top" wrapText="1"/>
    </xf>
    <xf numFmtId="0" fontId="48" fillId="0" borderId="26" xfId="0" applyFont="1" applyBorder="1" applyAlignment="1">
      <alignment horizontal="right"/>
    </xf>
    <xf numFmtId="1" fontId="48" fillId="0" borderId="26" xfId="0" applyNumberFormat="1" applyFont="1" applyBorder="1" applyAlignment="1">
      <alignment horizontal="right"/>
    </xf>
    <xf numFmtId="172" fontId="48" fillId="0" borderId="26" xfId="0" applyNumberFormat="1" applyFont="1" applyBorder="1" applyAlignment="1">
      <alignment horizontal="right"/>
    </xf>
    <xf numFmtId="4" fontId="48" fillId="0" borderId="26" xfId="0" applyNumberFormat="1" applyFont="1" applyBorder="1" applyAlignment="1">
      <alignment horizontal="right"/>
    </xf>
    <xf numFmtId="171" fontId="35" fillId="0" borderId="0" xfId="0" applyNumberFormat="1" applyFont="1" applyAlignment="1">
      <alignment horizontal="left" vertical="top"/>
    </xf>
    <xf numFmtId="175" fontId="10" fillId="0" borderId="0" xfId="0" applyNumberFormat="1" applyFont="1" applyAlignment="1">
      <alignment horizontal="justify" vertical="top"/>
    </xf>
    <xf numFmtId="175" fontId="11" fillId="0" borderId="0" xfId="0" applyNumberFormat="1" applyFont="1" applyAlignment="1">
      <alignment horizontal="justify" vertical="top"/>
    </xf>
    <xf numFmtId="0" fontId="11" fillId="0" borderId="0" xfId="0" applyFont="1" applyAlignment="1">
      <alignment horizontal="left" vertical="top" wrapText="1"/>
    </xf>
    <xf numFmtId="175" fontId="10" fillId="0" borderId="0" xfId="0" applyNumberFormat="1" applyFont="1" applyAlignment="1">
      <alignment horizontal="justify" vertical="top" wrapText="1"/>
    </xf>
    <xf numFmtId="175" fontId="10" fillId="0" borderId="0" xfId="19" applyFont="1" applyAlignment="1">
      <alignment horizontal="justify" vertical="top" wrapText="1"/>
    </xf>
    <xf numFmtId="175" fontId="11" fillId="0" borderId="0" xfId="19" applyFont="1" applyAlignment="1">
      <alignment horizontal="justify" vertical="top" wrapText="1"/>
    </xf>
    <xf numFmtId="0" fontId="10" fillId="0" borderId="0" xfId="20" applyFont="1" applyAlignment="1">
      <alignment horizontal="left" vertical="top" wrapText="1"/>
    </xf>
    <xf numFmtId="4" fontId="10" fillId="0" borderId="0" xfId="0" applyNumberFormat="1" applyFont="1" applyAlignment="1">
      <alignment horizontal="center" wrapText="1" shrinkToFit="1"/>
    </xf>
    <xf numFmtId="49" fontId="72" fillId="0" borderId="0" xfId="100" applyNumberFormat="1" applyFont="1" applyAlignment="1">
      <alignment vertical="top" wrapText="1"/>
    </xf>
    <xf numFmtId="171" fontId="1" fillId="0" borderId="0" xfId="100" applyNumberFormat="1" applyFont="1" applyAlignment="1">
      <alignment horizontal="right" vertical="top"/>
    </xf>
    <xf numFmtId="0" fontId="1" fillId="0" borderId="0" xfId="100" applyFont="1" applyAlignment="1">
      <alignment horizontal="justify" vertical="top" wrapText="1"/>
    </xf>
    <xf numFmtId="4" fontId="10" fillId="0" borderId="0" xfId="2" applyNumberFormat="1" applyFont="1" applyAlignment="1" applyProtection="1">
      <alignment horizontal="left" vertical="top" wrapText="1"/>
      <protection locked="0"/>
    </xf>
    <xf numFmtId="177" fontId="89" fillId="0" borderId="14" xfId="98" applyNumberFormat="1" applyFont="1" applyFill="1" applyBorder="1" applyAlignment="1">
      <alignment horizontal="right" wrapText="1"/>
    </xf>
    <xf numFmtId="167" fontId="7" fillId="0" borderId="0" xfId="1"/>
    <xf numFmtId="4" fontId="97" fillId="0" borderId="0" xfId="0" applyNumberFormat="1" applyFont="1"/>
    <xf numFmtId="0" fontId="63" fillId="0" borderId="0" xfId="0" applyFont="1" applyAlignment="1">
      <alignment horizontal="left" wrapText="1"/>
    </xf>
    <xf numFmtId="0" fontId="58" fillId="0" borderId="0" xfId="34" applyFont="1" applyAlignment="1">
      <alignment horizontal="justify" vertical="top"/>
    </xf>
    <xf numFmtId="0" fontId="58" fillId="0" borderId="0" xfId="37" applyFont="1" applyAlignment="1">
      <alignment horizontal="left" vertical="top" wrapText="1"/>
    </xf>
    <xf numFmtId="0" fontId="71" fillId="0" borderId="0" xfId="34" applyFont="1" applyAlignment="1">
      <alignment horizontal="justify" vertical="top"/>
    </xf>
    <xf numFmtId="0" fontId="58" fillId="0" borderId="0" xfId="36" applyFont="1" applyAlignment="1">
      <alignment horizontal="left" vertical="top" wrapText="1"/>
    </xf>
    <xf numFmtId="0" fontId="68" fillId="0" borderId="0" xfId="36" applyFont="1" applyAlignment="1">
      <alignment horizontal="left" vertical="top" wrapText="1"/>
    </xf>
    <xf numFmtId="0" fontId="58" fillId="6" borderId="0" xfId="36" applyFont="1" applyFill="1" applyAlignment="1">
      <alignment horizontal="left" vertical="top" wrapText="1" readingOrder="1"/>
    </xf>
    <xf numFmtId="0" fontId="58" fillId="0" borderId="0" xfId="34" applyFont="1" applyAlignment="1">
      <alignment horizontal="center" vertical="top"/>
    </xf>
    <xf numFmtId="0" fontId="58" fillId="0" borderId="0" xfId="34" applyFont="1" applyAlignment="1">
      <alignment horizontal="left" vertical="top" wrapText="1"/>
    </xf>
    <xf numFmtId="0" fontId="11" fillId="0" borderId="4" xfId="0" applyFont="1" applyBorder="1" applyAlignment="1">
      <alignment horizontal="center"/>
    </xf>
    <xf numFmtId="4" fontId="11" fillId="0" borderId="4" xfId="0" applyNumberFormat="1" applyFont="1" applyBorder="1" applyAlignment="1">
      <alignment horizontal="center"/>
    </xf>
    <xf numFmtId="0" fontId="36" fillId="0" borderId="0" xfId="22" applyFont="1" applyAlignment="1">
      <alignment horizontal="left"/>
    </xf>
    <xf numFmtId="0" fontId="39" fillId="0" borderId="0" xfId="22" applyFont="1" applyAlignment="1">
      <alignment vertical="top" wrapText="1"/>
    </xf>
    <xf numFmtId="0" fontId="39" fillId="0" borderId="0" xfId="22" applyFont="1" applyAlignment="1">
      <alignment wrapText="1"/>
    </xf>
    <xf numFmtId="0" fontId="36" fillId="0" borderId="0" xfId="22" applyFont="1" applyAlignment="1">
      <alignment horizontal="left" wrapText="1"/>
    </xf>
    <xf numFmtId="0" fontId="43" fillId="0" borderId="0" xfId="22" applyFont="1" applyAlignment="1">
      <alignment horizontal="left" vertical="top"/>
    </xf>
    <xf numFmtId="0" fontId="43" fillId="0" borderId="0" xfId="22" applyFont="1" applyAlignment="1">
      <alignment horizontal="left" vertical="top" wrapText="1"/>
    </xf>
    <xf numFmtId="0" fontId="39" fillId="0" borderId="0" xfId="22" applyFont="1" applyAlignment="1">
      <alignment horizontal="left" vertical="top" wrapText="1"/>
    </xf>
    <xf numFmtId="49" fontId="36" fillId="5" borderId="0" xfId="22" applyNumberFormat="1" applyFont="1" applyFill="1" applyAlignment="1" applyProtection="1">
      <alignment horizontal="left" vertical="top"/>
      <protection locked="0"/>
    </xf>
    <xf numFmtId="0" fontId="12" fillId="0" borderId="25" xfId="26" applyFont="1" applyBorder="1" applyAlignment="1">
      <alignment horizontal="left" vertical="top" wrapText="1"/>
    </xf>
    <xf numFmtId="0" fontId="12" fillId="0" borderId="25" xfId="26" applyFont="1" applyBorder="1" applyAlignment="1">
      <alignment horizontal="center" vertical="top" wrapText="1"/>
    </xf>
    <xf numFmtId="1" fontId="12" fillId="0" borderId="25" xfId="26" applyNumberFormat="1" applyFont="1" applyBorder="1" applyAlignment="1">
      <alignment horizontal="left" vertical="top" wrapText="1"/>
    </xf>
    <xf numFmtId="4" fontId="100" fillId="4" borderId="12" xfId="26" applyNumberFormat="1" applyFont="1" applyFill="1" applyBorder="1" applyAlignment="1">
      <alignment horizontal="right"/>
    </xf>
    <xf numFmtId="4" fontId="100" fillId="4" borderId="13" xfId="26" applyNumberFormat="1" applyFont="1" applyFill="1" applyBorder="1" applyAlignment="1">
      <alignment horizontal="right"/>
    </xf>
    <xf numFmtId="49" fontId="35" fillId="0" borderId="0" xfId="9" applyNumberFormat="1" applyFont="1" applyAlignment="1">
      <alignment horizontal="left" vertical="top" wrapText="1"/>
    </xf>
    <xf numFmtId="4" fontId="48" fillId="0" borderId="19" xfId="0" applyNumberFormat="1" applyFont="1" applyBorder="1" applyAlignment="1">
      <alignment horizontal="right"/>
    </xf>
    <xf numFmtId="4" fontId="48" fillId="0" borderId="18" xfId="0" applyNumberFormat="1" applyFont="1" applyBorder="1" applyAlignment="1">
      <alignment horizontal="right"/>
    </xf>
    <xf numFmtId="49" fontId="35" fillId="0" borderId="0" xfId="9" applyNumberFormat="1" applyFont="1" applyAlignment="1">
      <alignment horizontal="left" vertical="justify" wrapText="1"/>
    </xf>
    <xf numFmtId="49" fontId="35" fillId="0" borderId="0" xfId="9" quotePrefix="1" applyNumberFormat="1" applyFont="1" applyAlignment="1">
      <alignment horizontal="left" vertical="top" wrapText="1"/>
    </xf>
    <xf numFmtId="0" fontId="55" fillId="0" borderId="0" xfId="16" applyFont="1" applyAlignment="1">
      <alignment vertical="top" wrapText="1"/>
    </xf>
    <xf numFmtId="0" fontId="35" fillId="0" borderId="0" xfId="16" applyFont="1" applyAlignment="1">
      <alignment vertical="top" wrapText="1"/>
    </xf>
    <xf numFmtId="4" fontId="9" fillId="0" borderId="0" xfId="18" applyNumberFormat="1" applyFont="1" applyAlignment="1">
      <alignment horizontal="right"/>
    </xf>
  </cellXfs>
  <cellStyles count="127">
    <cellStyle name="Comma 2" xfId="23" xr:uid="{135E9698-55B4-4BB7-A35E-2E40D9CEAB74}"/>
    <cellStyle name="Comma 2 2" xfId="119" xr:uid="{135E9698-55B4-4BB7-A35E-2E40D9CEAB74}"/>
    <cellStyle name="Comma 3" xfId="15" xr:uid="{D29087D9-B953-4206-9FB4-3A248828A5B7}"/>
    <cellStyle name="Comma 3 2" xfId="117" xr:uid="{D29087D9-B953-4206-9FB4-3A248828A5B7}"/>
    <cellStyle name="Comma 4" xfId="28" xr:uid="{E81D7FFA-9A77-4269-9639-827863F2C885}"/>
    <cellStyle name="Comma 5" xfId="82" xr:uid="{6E53615B-527B-48C7-8BB0-227876F64315}"/>
    <cellStyle name="Comma 5 2" xfId="122" xr:uid="{6E53615B-527B-48C7-8BB0-227876F64315}"/>
    <cellStyle name="Currency 2" xfId="98" xr:uid="{6DFD1304-C052-46FE-9E2B-46B7C2C1EAF4}"/>
    <cellStyle name="Excel Built-in Normal" xfId="2" xr:uid="{00000000-0005-0000-0000-000001000000}"/>
    <cellStyle name="Explanatory Text 2" xfId="17" xr:uid="{6711B37E-9692-4920-A25D-4BB702A1300D}"/>
    <cellStyle name="Hyperlink 2" xfId="33" xr:uid="{6E2F0827-2E21-4768-A11A-90FE2AF3A5C0}"/>
    <cellStyle name="Normal 10" xfId="30" xr:uid="{32BEEBA5-85F2-4EBE-B69E-8DAE25A71800}"/>
    <cellStyle name="Normal 11" xfId="36" xr:uid="{A6A8A22B-6260-4BB3-B3F7-2FCC70E5A7A3}"/>
    <cellStyle name="Normal 12" xfId="37" xr:uid="{B1A53A87-D101-41EE-99E9-99D1D9DD6948}"/>
    <cellStyle name="Normal 13 2" xfId="8" xr:uid="{ADE84517-3E65-4BE5-A96A-3B85328D7369}"/>
    <cellStyle name="Normal 158" xfId="20" xr:uid="{B10078D6-1960-4BEB-B410-D9F68FE9FFBF}"/>
    <cellStyle name="Normal 17" xfId="99" xr:uid="{0BA4537A-342B-42B4-B972-57A500B45E19}"/>
    <cellStyle name="Normal 17 2" xfId="123" xr:uid="{0BA4537A-342B-42B4-B972-57A500B45E19}"/>
    <cellStyle name="Normal 17_REKAP SVEUK" xfId="104" xr:uid="{FAA4CB69-3AD0-4B36-A649-BA34DF9F3556}"/>
    <cellStyle name="Normal 19 2" xfId="18" xr:uid="{A177124E-75A7-4DFE-B6AD-CDFFC88E6EA4}"/>
    <cellStyle name="Normal 2" xfId="6" xr:uid="{353702B3-96BE-4AAB-A003-CC1B25142465}"/>
    <cellStyle name="Normal 2 2" xfId="10" xr:uid="{C5E54646-47DB-4F2C-B0D1-C55E1BC34455}"/>
    <cellStyle name="Normal 2 2 2" xfId="31" xr:uid="{8E0F3644-E254-4374-A958-DA02FCDEF7A5}"/>
    <cellStyle name="Normal 2 2 2 2" xfId="32" xr:uid="{59697686-4AD0-4778-B328-3178BFEF77DF}"/>
    <cellStyle name="Normal 2 2 4" xfId="29" xr:uid="{9B0E83A1-FAE3-4CD2-85ED-E12ED887210B}"/>
    <cellStyle name="Normal 2 3" xfId="13" xr:uid="{3FA60236-E919-4AB5-8E80-0A8AE714F56C}"/>
    <cellStyle name="Normal 2 5" xfId="34" xr:uid="{CBC0152F-B2B1-4741-ACDA-6BDC7FB35157}"/>
    <cellStyle name="Normal 275" xfId="126" xr:uid="{53777FA6-DE87-4763-B406-A296D1402268}"/>
    <cellStyle name="Normal 3" xfId="12" xr:uid="{95867FD2-EC7B-4D32-BCEB-CBF58327D257}"/>
    <cellStyle name="Normal 3 2 2" xfId="25" xr:uid="{2804ADFC-06EE-474D-8A6F-D3CFC894B417}"/>
    <cellStyle name="Normal 3_REKAP SVEUK" xfId="105" xr:uid="{E4880B12-AF0D-4ED4-BCD3-A66F26E58E90}"/>
    <cellStyle name="Normal 4" xfId="22" xr:uid="{74FD91A6-E70A-4753-A066-BC10329827F3}"/>
    <cellStyle name="Normal 4 2" xfId="118" xr:uid="{74FD91A6-E70A-4753-A066-BC10329827F3}"/>
    <cellStyle name="Normal 4_REKAP SVEUK" xfId="106" xr:uid="{5D659C16-3003-4AF7-931D-2F6F4C4864C7}"/>
    <cellStyle name="Normal 5" xfId="14" xr:uid="{4413C5BF-0A82-415B-91F1-8B52D1C55E5B}"/>
    <cellStyle name="Normal 5 2" xfId="38" xr:uid="{473C4898-95CB-4F3B-A067-2E2F950C03DE}"/>
    <cellStyle name="Normal 5 2 2" xfId="121" xr:uid="{473C4898-95CB-4F3B-A067-2E2F950C03DE}"/>
    <cellStyle name="Normal 5 2_REKAP SVEUK" xfId="108" xr:uid="{3CA967D1-96B1-43B8-827C-B6143D8971F8}"/>
    <cellStyle name="Normal 5 3" xfId="116" xr:uid="{4413C5BF-0A82-415B-91F1-8B52D1C55E5B}"/>
    <cellStyle name="Normal 5_REKAP SVEUK" xfId="107" xr:uid="{78C1EF3D-0EEA-4A6F-A326-778678E04A3D}"/>
    <cellStyle name="Normal 6" xfId="26" xr:uid="{067A72A1-2EBC-4FFB-8AC6-B3CD7389E858}"/>
    <cellStyle name="Normal 6 2" xfId="120" xr:uid="{067A72A1-2EBC-4FFB-8AC6-B3CD7389E858}"/>
    <cellStyle name="Normal 6_REKAP SVEUK" xfId="109" xr:uid="{ABE4B888-D3E9-4DDF-AA20-7942D692F3CC}"/>
    <cellStyle name="Normal 7" xfId="35" xr:uid="{B60A0057-F11D-48B7-B71F-FF7B94899CFA}"/>
    <cellStyle name="Normal 8" xfId="100" xr:uid="{1852CB8F-B1F6-4031-83A2-83ABB7D4008F}"/>
    <cellStyle name="Normal 8 2" xfId="124" xr:uid="{1852CB8F-B1F6-4031-83A2-83ABB7D4008F}"/>
    <cellStyle name="Normal 8_REKAP SVEUK" xfId="110" xr:uid="{92E29121-EC00-411A-9DC8-92FDEC2AD9BC}"/>
    <cellStyle name="Normal_42-2006 Troškovnik Solar" xfId="95" xr:uid="{9CAB3DC4-4864-4252-873B-7EE0F6F8AFAB}"/>
    <cellStyle name="Normal_JUB-GP_TR-GO_2010-01-14" xfId="19" xr:uid="{8A378A8C-10ED-441C-B526-7931EF8F2D18}"/>
    <cellStyle name="Normal_KA-DOM" xfId="11" xr:uid="{05796B8E-B5BB-4C90-A207-FB466D0B0D8B}"/>
    <cellStyle name="Normal_tros_TPKC_Dubrava_29_11_05 2 2" xfId="101" xr:uid="{E70CD2DB-E6ED-4753-83E6-AEF58CF95F99}"/>
    <cellStyle name="Normal_tros_TPKC_Dubrava_29_11_05_2kat 2" xfId="102" xr:uid="{0C868011-4FEB-4F7E-A1FC-D35BA8BD181F}"/>
    <cellStyle name="Normal_TROŠKOVNIK - KAM - ŽUTO 2" xfId="21" xr:uid="{D628D341-5049-4B00-B66C-E5B078B2406D}"/>
    <cellStyle name="Normal_troškovnik_energetski deo" xfId="103" xr:uid="{5FB058F5-9493-4235-BE52-236550E841A6}"/>
    <cellStyle name="Normalno" xfId="0" builtinId="0"/>
    <cellStyle name="Normalno 100 2" xfId="84" xr:uid="{097F9256-896C-4197-BCB9-D907C276EE3C}"/>
    <cellStyle name="Normalno 2 2" xfId="27" xr:uid="{92DB0782-CF63-436A-A33A-04BA16B7C2A1}"/>
    <cellStyle name="Normalno 23" xfId="41" xr:uid="{5B79ACCD-160E-4123-BDFC-8D8C8611B9E5}"/>
    <cellStyle name="Normalno 24" xfId="42" xr:uid="{5B244631-FA32-48BE-A805-7B30E8A4FDB1}"/>
    <cellStyle name="Normalno 25" xfId="43" xr:uid="{0355713A-8CAD-4B79-9976-D6BD302C7094}"/>
    <cellStyle name="Normalno 34" xfId="44" xr:uid="{C7E7A33D-6A76-49AF-9FF8-C6205B3D3693}"/>
    <cellStyle name="Normalno 36" xfId="57" xr:uid="{4EA1D32D-2BFE-402D-AFB4-A82E687E4327}"/>
    <cellStyle name="Normalno 36 2" xfId="92" xr:uid="{A84DC5CD-9279-4548-BD7C-BA3E3044500E}"/>
    <cellStyle name="Normalno 36 3" xfId="93" xr:uid="{C0C18B9E-CBFE-41EA-99CA-6293EA570454}"/>
    <cellStyle name="Normalno 37" xfId="46" xr:uid="{76A1A290-E378-43C0-957A-CD1282A456FA}"/>
    <cellStyle name="Normalno 37 2" xfId="66" xr:uid="{16806668-603C-4FF9-9CCF-BCE30661BC1A}"/>
    <cellStyle name="Normalno 38" xfId="40" xr:uid="{78EA8078-7374-475F-A865-578BB15D4CC6}"/>
    <cellStyle name="Normalno 38 2" xfId="54" xr:uid="{DA666177-261F-4150-9AFD-FB3A34805DD2}"/>
    <cellStyle name="Normalno 39" xfId="47" xr:uid="{A4790B14-4D0B-4089-98A0-CB7597F41117}"/>
    <cellStyle name="Normalno 4" xfId="24" xr:uid="{450A4C2E-51D4-4A13-B474-3CB7853214ED}"/>
    <cellStyle name="Normalno 40" xfId="48" xr:uid="{6ED2EA91-D8A2-424E-B990-91373614BE75}"/>
    <cellStyle name="Normalno 41" xfId="45" xr:uid="{925916FD-C4D7-491E-839D-4EF77A508070}"/>
    <cellStyle name="Normalno 42" xfId="39" xr:uid="{DB3679EC-C36B-4B3F-A4FF-E09122F132B1}"/>
    <cellStyle name="Normalno 43" xfId="49" xr:uid="{2B21DB4F-15B4-487E-8764-3BDD047AB40B}"/>
    <cellStyle name="Normalno 44" xfId="50" xr:uid="{95D5BB76-025A-4FA4-8E13-FE159308C81C}"/>
    <cellStyle name="Normalno 45" xfId="51" xr:uid="{F21CCD43-6F8A-4BA4-818A-4E3B9D6FC50A}"/>
    <cellStyle name="Normalno 48" xfId="67" xr:uid="{73CD8A40-375B-408F-8E1B-19BB80DD2A37}"/>
    <cellStyle name="Normalno 49" xfId="68" xr:uid="{0CA10EB6-1DEC-4B87-8445-6071B1A4363B}"/>
    <cellStyle name="Normalno 50 2" xfId="65" xr:uid="{37493CDC-0165-48C8-8B23-4FBDA66D3A2D}"/>
    <cellStyle name="Normalno 51" xfId="69" xr:uid="{4527787D-AF35-4D0D-AA70-49A36FCAEB93}"/>
    <cellStyle name="Normalno 53" xfId="70" xr:uid="{0F1F8C32-E3C3-4AC6-AF7F-B5CFB4799F31}"/>
    <cellStyle name="Normalno 54" xfId="71" xr:uid="{2518E12C-02F2-4FFA-A648-5E92D0F418A1}"/>
    <cellStyle name="Normalno 54 2" xfId="94" xr:uid="{96CB5317-23ED-41B8-BEE8-40AF3B068BA8}"/>
    <cellStyle name="Normalno 55" xfId="72" xr:uid="{9CF297E5-937D-46C2-88D2-EB1C3B64BF84}"/>
    <cellStyle name="Normalno 56" xfId="73" xr:uid="{23FC288B-6DBC-4B9D-A4C4-5B6D8C0DB6D8}"/>
    <cellStyle name="Normalno 57" xfId="74" xr:uid="{E5473B54-8FC3-4B8D-8B25-043D036B9535}"/>
    <cellStyle name="Normalno 58" xfId="75" xr:uid="{21D3E23E-A68B-402E-A389-3C95FB9F454D}"/>
    <cellStyle name="Normalno 58 2" xfId="77" xr:uid="{1F94B98E-1B1F-4B3E-814D-16ACE37766A1}"/>
    <cellStyle name="Normalno 59 2" xfId="76" xr:uid="{5070ACC6-D1E4-4EDB-82CD-CDFA1CE528B8}"/>
    <cellStyle name="Normalno 61" xfId="78" xr:uid="{E7E0B04E-DB7B-4041-8DB1-E920447F5FDF}"/>
    <cellStyle name="Normalno 61 2" xfId="80" xr:uid="{A5A187C7-3FF1-4D84-829B-D8B1FEF8663A}"/>
    <cellStyle name="Normalno 63" xfId="79" xr:uid="{CD18D516-6050-40FF-A012-DBB0870438B7}"/>
    <cellStyle name="Normalno 63 2" xfId="81" xr:uid="{97A7A3BE-D8E9-436E-9A0C-75DA2DEC5774}"/>
    <cellStyle name="Normalno 67" xfId="52" xr:uid="{9DD0A5A4-1765-46D3-8678-440FD3E1C91D}"/>
    <cellStyle name="Normalno 67 2" xfId="53" xr:uid="{002788E5-A373-4740-B404-25EB674F6784}"/>
    <cellStyle name="Normalno 68 2" xfId="55" xr:uid="{DE208C37-A312-4D73-A7A6-D75F73FD450C}"/>
    <cellStyle name="Normalno 70 2" xfId="83" xr:uid="{589AD266-B68B-4CCC-9585-07E3608EC8A9}"/>
    <cellStyle name="Normalno 71" xfId="56" xr:uid="{F15BEC9E-F587-40BB-BCD2-6302096FC576}"/>
    <cellStyle name="Normalno 76" xfId="58" xr:uid="{08F180C3-40DF-4A38-9DAF-66F62F06B826}"/>
    <cellStyle name="Normalno 76 2" xfId="87" xr:uid="{6291EBA4-5BB3-4AE7-989B-2AAFC941DA93}"/>
    <cellStyle name="Normalno 79" xfId="59" xr:uid="{2C12C420-B31C-43D5-B647-41A1F9788197}"/>
    <cellStyle name="Normalno 83" xfId="60" xr:uid="{2DCB8A9B-5BAA-4B0F-882A-F2B3223C1015}"/>
    <cellStyle name="Normalno 86 2" xfId="61" xr:uid="{6A155963-1E7E-41EE-A5FB-A9B080F075BA}"/>
    <cellStyle name="Normalno 88" xfId="62" xr:uid="{289630D2-0493-4DE2-ACCF-1F10C73F7DAA}"/>
    <cellStyle name="Normalno 89" xfId="63" xr:uid="{87B5580E-C9D4-4026-BBF0-93B08E02F24F}"/>
    <cellStyle name="Normalno 90 2" xfId="86" xr:uid="{9BAACDED-5ED3-4C94-AF31-CF95B9126AEC}"/>
    <cellStyle name="Normalno 93" xfId="88" xr:uid="{9EE34CFF-0A67-4E08-AF54-ADBAA86285BC}"/>
    <cellStyle name="Normalno 94" xfId="89" xr:uid="{B359E72D-ABAC-46FF-9064-1A0B9F9ED06A}"/>
    <cellStyle name="Normalno 95" xfId="90" xr:uid="{9553018C-89A9-403D-A0C1-5DD19BB5E4AB}"/>
    <cellStyle name="Normalno 95 2" xfId="91" xr:uid="{EE87A737-4149-447E-BF7A-D7F832AA219A}"/>
    <cellStyle name="Normalno 97" xfId="64" xr:uid="{6375E1E4-4F6C-4E6A-8367-8282049F7310}"/>
    <cellStyle name="Normalno 97 2" xfId="85" xr:uid="{7DDD199F-F59D-40F5-B669-9563C682F6FA}"/>
    <cellStyle name="Obi?no 2" xfId="111" xr:uid="{ECD66F8E-DFBE-47F7-8624-9A93F92ED200}"/>
    <cellStyle name="Obi?no 2 2" xfId="112" xr:uid="{58EAD9A2-E12E-4927-B910-40B3485C16CA}"/>
    <cellStyle name="Obi?no 28" xfId="113" xr:uid="{B14D5410-2309-4BB7-9810-D1BD4D404171}"/>
    <cellStyle name="Obi?no_ETD2009_997_Materada_TROSKO_TENDER_A 2" xfId="114" xr:uid="{91204417-8B9D-40AF-B13B-0D66B16EC6DC}"/>
    <cellStyle name="Obično 2" xfId="3" xr:uid="{00000000-0005-0000-0000-000005000000}"/>
    <cellStyle name="Obično 2 2" xfId="96" xr:uid="{A92F4E85-78E4-43DE-927A-DE83281E8F9A}"/>
    <cellStyle name="Obično 28" xfId="97" xr:uid="{6EC4D331-6BB7-42A3-967D-4372B8B987B1}"/>
    <cellStyle name="Obično_ETD2009_997_Materada_TROSKO_TENDER_A 2" xfId="7" xr:uid="{AAFE5E00-7EA9-4B94-9D14-3F7A56151527}"/>
    <cellStyle name="Stil 1" xfId="9" xr:uid="{D39894D5-53B9-447A-88BB-B8D5770AAA31}"/>
    <cellStyle name="Style 1" xfId="4" xr:uid="{00000000-0005-0000-0000-000007000000}"/>
    <cellStyle name="Style 1 2" xfId="16" xr:uid="{F92BB091-56B2-44C1-BA02-4091D971C8FF}"/>
    <cellStyle name="Zarez" xfId="1" builtinId="3"/>
    <cellStyle name="Zarez 2" xfId="5" xr:uid="{00000000-0005-0000-0000-000008000000}"/>
    <cellStyle name="Zarez 2 2" xfId="115" xr:uid="{00000000-0005-0000-0000-000008000000}"/>
    <cellStyle name="Zarez 2 2 2" xfId="125" xr:uid="{00000000-0005-0000-0000-000008000000}"/>
  </cellStyles>
  <dxfs count="3">
    <dxf>
      <font>
        <b val="0"/>
        <condense val="0"/>
        <extend val="0"/>
        <color auto="1"/>
      </font>
    </dxf>
    <dxf>
      <font>
        <b val="0"/>
        <condense val="0"/>
        <extend val="0"/>
        <color auto="1"/>
      </font>
    </dxf>
    <dxf>
      <font>
        <b val="0"/>
        <condense val="0"/>
        <extend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57</xdr:row>
      <xdr:rowOff>0</xdr:rowOff>
    </xdr:from>
    <xdr:to>
      <xdr:col>2</xdr:col>
      <xdr:colOff>1221</xdr:colOff>
      <xdr:row>57</xdr:row>
      <xdr:rowOff>2994</xdr:rowOff>
    </xdr:to>
    <xdr:pic>
      <xdr:nvPicPr>
        <xdr:cNvPr id="2" name="Picture 31">
          <a:extLst>
            <a:ext uri="{FF2B5EF4-FFF2-40B4-BE49-F238E27FC236}">
              <a16:creationId xmlns:a16="http://schemas.microsoft.com/office/drawing/2014/main" id="{CDEF388E-8831-4B3E-B45E-6236076ED0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 name="Picture 31">
          <a:extLst>
            <a:ext uri="{FF2B5EF4-FFF2-40B4-BE49-F238E27FC236}">
              <a16:creationId xmlns:a16="http://schemas.microsoft.com/office/drawing/2014/main" id="{1F9B9A6A-8F06-44BA-B191-64B8D8D2C8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 name="Picture 31">
          <a:extLst>
            <a:ext uri="{FF2B5EF4-FFF2-40B4-BE49-F238E27FC236}">
              <a16:creationId xmlns:a16="http://schemas.microsoft.com/office/drawing/2014/main" id="{40CA37A4-4642-4DF1-8EDB-F5F0B82B28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 name="Picture 31">
          <a:extLst>
            <a:ext uri="{FF2B5EF4-FFF2-40B4-BE49-F238E27FC236}">
              <a16:creationId xmlns:a16="http://schemas.microsoft.com/office/drawing/2014/main" id="{DC67B586-6A38-42D0-8B89-0C510F67BC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 name="Picture 31">
          <a:extLst>
            <a:ext uri="{FF2B5EF4-FFF2-40B4-BE49-F238E27FC236}">
              <a16:creationId xmlns:a16="http://schemas.microsoft.com/office/drawing/2014/main" id="{62172FD5-92E1-4261-B88A-EC6303F692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 name="Picture 31">
          <a:extLst>
            <a:ext uri="{FF2B5EF4-FFF2-40B4-BE49-F238E27FC236}">
              <a16:creationId xmlns:a16="http://schemas.microsoft.com/office/drawing/2014/main" id="{CCF2A293-ACC6-4E50-8EDD-DC196BF05A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 name="Picture 31">
          <a:extLst>
            <a:ext uri="{FF2B5EF4-FFF2-40B4-BE49-F238E27FC236}">
              <a16:creationId xmlns:a16="http://schemas.microsoft.com/office/drawing/2014/main" id="{CB44C45C-4D05-4877-A513-602AE3EA7A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 name="Picture 31">
          <a:extLst>
            <a:ext uri="{FF2B5EF4-FFF2-40B4-BE49-F238E27FC236}">
              <a16:creationId xmlns:a16="http://schemas.microsoft.com/office/drawing/2014/main" id="{3E999CCD-CCFB-41AA-9653-E81E11CBA9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 name="Picture 31">
          <a:extLst>
            <a:ext uri="{FF2B5EF4-FFF2-40B4-BE49-F238E27FC236}">
              <a16:creationId xmlns:a16="http://schemas.microsoft.com/office/drawing/2014/main" id="{55BE273B-147B-44AA-ABC9-E86B227F3E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 name="Picture 31">
          <a:extLst>
            <a:ext uri="{FF2B5EF4-FFF2-40B4-BE49-F238E27FC236}">
              <a16:creationId xmlns:a16="http://schemas.microsoft.com/office/drawing/2014/main" id="{AAB5C4F9-6CAC-40C8-9434-5DE0A741E0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 name="Picture 31">
          <a:extLst>
            <a:ext uri="{FF2B5EF4-FFF2-40B4-BE49-F238E27FC236}">
              <a16:creationId xmlns:a16="http://schemas.microsoft.com/office/drawing/2014/main" id="{8D9D6445-4582-447A-B78C-875BDC1F11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 name="Picture 31">
          <a:extLst>
            <a:ext uri="{FF2B5EF4-FFF2-40B4-BE49-F238E27FC236}">
              <a16:creationId xmlns:a16="http://schemas.microsoft.com/office/drawing/2014/main" id="{2EB14585-C052-4B1C-910F-292189CFBF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 name="Picture 31">
          <a:extLst>
            <a:ext uri="{FF2B5EF4-FFF2-40B4-BE49-F238E27FC236}">
              <a16:creationId xmlns:a16="http://schemas.microsoft.com/office/drawing/2014/main" id="{1806AABD-6DC0-4B96-9A72-123B4DDD01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 name="Picture 31">
          <a:extLst>
            <a:ext uri="{FF2B5EF4-FFF2-40B4-BE49-F238E27FC236}">
              <a16:creationId xmlns:a16="http://schemas.microsoft.com/office/drawing/2014/main" id="{30813286-49DF-44B4-A742-8FF3114EA2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 name="Picture 31">
          <a:extLst>
            <a:ext uri="{FF2B5EF4-FFF2-40B4-BE49-F238E27FC236}">
              <a16:creationId xmlns:a16="http://schemas.microsoft.com/office/drawing/2014/main" id="{B7E6581C-3A59-4D1D-92E7-03573CE1E0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 name="Picture 31">
          <a:extLst>
            <a:ext uri="{FF2B5EF4-FFF2-40B4-BE49-F238E27FC236}">
              <a16:creationId xmlns:a16="http://schemas.microsoft.com/office/drawing/2014/main" id="{1F1CFCA7-5EF2-432F-A394-8BA7F8A028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 name="Picture 31">
          <a:extLst>
            <a:ext uri="{FF2B5EF4-FFF2-40B4-BE49-F238E27FC236}">
              <a16:creationId xmlns:a16="http://schemas.microsoft.com/office/drawing/2014/main" id="{95F60B24-1041-4C30-8357-963ACED225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 name="Picture 31">
          <a:extLst>
            <a:ext uri="{FF2B5EF4-FFF2-40B4-BE49-F238E27FC236}">
              <a16:creationId xmlns:a16="http://schemas.microsoft.com/office/drawing/2014/main" id="{A9748CD8-F654-4A22-9A27-A4EA62004B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 name="Picture 31">
          <a:extLst>
            <a:ext uri="{FF2B5EF4-FFF2-40B4-BE49-F238E27FC236}">
              <a16:creationId xmlns:a16="http://schemas.microsoft.com/office/drawing/2014/main" id="{73F99CE6-0811-45B5-968B-94C7B85A87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 name="Picture 31">
          <a:extLst>
            <a:ext uri="{FF2B5EF4-FFF2-40B4-BE49-F238E27FC236}">
              <a16:creationId xmlns:a16="http://schemas.microsoft.com/office/drawing/2014/main" id="{206A28F0-3164-4826-8645-6A3B9085DB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 name="Picture 31">
          <a:extLst>
            <a:ext uri="{FF2B5EF4-FFF2-40B4-BE49-F238E27FC236}">
              <a16:creationId xmlns:a16="http://schemas.microsoft.com/office/drawing/2014/main" id="{D6DC6F8D-0981-4DA0-9ACD-897E05E7DB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 name="Picture 31">
          <a:extLst>
            <a:ext uri="{FF2B5EF4-FFF2-40B4-BE49-F238E27FC236}">
              <a16:creationId xmlns:a16="http://schemas.microsoft.com/office/drawing/2014/main" id="{A0D98449-8F14-447A-833B-4E6D45CA38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 name="Picture 31">
          <a:extLst>
            <a:ext uri="{FF2B5EF4-FFF2-40B4-BE49-F238E27FC236}">
              <a16:creationId xmlns:a16="http://schemas.microsoft.com/office/drawing/2014/main" id="{292A6476-1EDB-47AA-BA2E-1A81A4ECF1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 name="Picture 31">
          <a:extLst>
            <a:ext uri="{FF2B5EF4-FFF2-40B4-BE49-F238E27FC236}">
              <a16:creationId xmlns:a16="http://schemas.microsoft.com/office/drawing/2014/main" id="{F244C74F-02CD-43A0-9177-93E9714E5F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 name="Picture 31">
          <a:extLst>
            <a:ext uri="{FF2B5EF4-FFF2-40B4-BE49-F238E27FC236}">
              <a16:creationId xmlns:a16="http://schemas.microsoft.com/office/drawing/2014/main" id="{483B2EB3-7430-41A2-A2BC-0AB9658D12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 name="Picture 31">
          <a:extLst>
            <a:ext uri="{FF2B5EF4-FFF2-40B4-BE49-F238E27FC236}">
              <a16:creationId xmlns:a16="http://schemas.microsoft.com/office/drawing/2014/main" id="{33CBBEC8-E4EA-4FFD-BD88-D48CA8CBC6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 name="Picture 31">
          <a:extLst>
            <a:ext uri="{FF2B5EF4-FFF2-40B4-BE49-F238E27FC236}">
              <a16:creationId xmlns:a16="http://schemas.microsoft.com/office/drawing/2014/main" id="{DA7CB91F-E603-44E1-92E7-7F949D83B9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 name="Picture 31">
          <a:extLst>
            <a:ext uri="{FF2B5EF4-FFF2-40B4-BE49-F238E27FC236}">
              <a16:creationId xmlns:a16="http://schemas.microsoft.com/office/drawing/2014/main" id="{7291736A-0118-4E86-AFB4-1226FA2DB9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 name="Picture 31">
          <a:extLst>
            <a:ext uri="{FF2B5EF4-FFF2-40B4-BE49-F238E27FC236}">
              <a16:creationId xmlns:a16="http://schemas.microsoft.com/office/drawing/2014/main" id="{8DB48CBD-61C1-49DF-BAB9-64109AE6E2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 name="Picture 31">
          <a:extLst>
            <a:ext uri="{FF2B5EF4-FFF2-40B4-BE49-F238E27FC236}">
              <a16:creationId xmlns:a16="http://schemas.microsoft.com/office/drawing/2014/main" id="{B8D8D009-ABCC-402D-B928-38B71AA52B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 name="Picture 31">
          <a:extLst>
            <a:ext uri="{FF2B5EF4-FFF2-40B4-BE49-F238E27FC236}">
              <a16:creationId xmlns:a16="http://schemas.microsoft.com/office/drawing/2014/main" id="{CC14A000-796C-4961-8605-CA5BF96D38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 name="Picture 31">
          <a:extLst>
            <a:ext uri="{FF2B5EF4-FFF2-40B4-BE49-F238E27FC236}">
              <a16:creationId xmlns:a16="http://schemas.microsoft.com/office/drawing/2014/main" id="{C6B2DABE-28CF-401D-B501-A91D9E9A54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 name="Picture 31">
          <a:extLst>
            <a:ext uri="{FF2B5EF4-FFF2-40B4-BE49-F238E27FC236}">
              <a16:creationId xmlns:a16="http://schemas.microsoft.com/office/drawing/2014/main" id="{F63D6D4C-E02A-4405-9DA9-55935ABAF6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 name="Picture 31">
          <a:extLst>
            <a:ext uri="{FF2B5EF4-FFF2-40B4-BE49-F238E27FC236}">
              <a16:creationId xmlns:a16="http://schemas.microsoft.com/office/drawing/2014/main" id="{65935261-0265-48AB-A52A-A9041D4428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 name="Picture 31">
          <a:extLst>
            <a:ext uri="{FF2B5EF4-FFF2-40B4-BE49-F238E27FC236}">
              <a16:creationId xmlns:a16="http://schemas.microsoft.com/office/drawing/2014/main" id="{1CDA37CA-1296-4E9E-9699-9C0BF90977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 name="Picture 31">
          <a:extLst>
            <a:ext uri="{FF2B5EF4-FFF2-40B4-BE49-F238E27FC236}">
              <a16:creationId xmlns:a16="http://schemas.microsoft.com/office/drawing/2014/main" id="{0F131656-C99A-48C2-B914-A30C1283FB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 name="Picture 31">
          <a:extLst>
            <a:ext uri="{FF2B5EF4-FFF2-40B4-BE49-F238E27FC236}">
              <a16:creationId xmlns:a16="http://schemas.microsoft.com/office/drawing/2014/main" id="{C471938F-7DB3-4F0A-B867-3100DF2113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 name="Picture 31">
          <a:extLst>
            <a:ext uri="{FF2B5EF4-FFF2-40B4-BE49-F238E27FC236}">
              <a16:creationId xmlns:a16="http://schemas.microsoft.com/office/drawing/2014/main" id="{34AA4DF7-F074-4B19-9C67-DA5A8DF78D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 name="Picture 31">
          <a:extLst>
            <a:ext uri="{FF2B5EF4-FFF2-40B4-BE49-F238E27FC236}">
              <a16:creationId xmlns:a16="http://schemas.microsoft.com/office/drawing/2014/main" id="{FFC44CF9-B02F-4945-A9C9-184E6FF454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 name="Picture 31">
          <a:extLst>
            <a:ext uri="{FF2B5EF4-FFF2-40B4-BE49-F238E27FC236}">
              <a16:creationId xmlns:a16="http://schemas.microsoft.com/office/drawing/2014/main" id="{DE5DBAF5-4CA1-417E-AE7A-DBC4CAF2B2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 name="Picture 31">
          <a:extLst>
            <a:ext uri="{FF2B5EF4-FFF2-40B4-BE49-F238E27FC236}">
              <a16:creationId xmlns:a16="http://schemas.microsoft.com/office/drawing/2014/main" id="{475E5329-3A23-4653-8642-577FEA2B90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 name="Picture 31">
          <a:extLst>
            <a:ext uri="{FF2B5EF4-FFF2-40B4-BE49-F238E27FC236}">
              <a16:creationId xmlns:a16="http://schemas.microsoft.com/office/drawing/2014/main" id="{A7C0F6B4-3F2D-460B-8DAB-FF91D4BB78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 name="Picture 31">
          <a:extLst>
            <a:ext uri="{FF2B5EF4-FFF2-40B4-BE49-F238E27FC236}">
              <a16:creationId xmlns:a16="http://schemas.microsoft.com/office/drawing/2014/main" id="{DD823D28-28E2-4999-971D-BB3E9292B2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 name="Picture 31">
          <a:extLst>
            <a:ext uri="{FF2B5EF4-FFF2-40B4-BE49-F238E27FC236}">
              <a16:creationId xmlns:a16="http://schemas.microsoft.com/office/drawing/2014/main" id="{2882389D-A138-42C7-A230-EE09034014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 name="Picture 31">
          <a:extLst>
            <a:ext uri="{FF2B5EF4-FFF2-40B4-BE49-F238E27FC236}">
              <a16:creationId xmlns:a16="http://schemas.microsoft.com/office/drawing/2014/main" id="{96E740D3-FBDF-4336-BF76-C0FEC0B5C7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 name="Picture 31">
          <a:extLst>
            <a:ext uri="{FF2B5EF4-FFF2-40B4-BE49-F238E27FC236}">
              <a16:creationId xmlns:a16="http://schemas.microsoft.com/office/drawing/2014/main" id="{CEDE1EE5-A411-4D77-A8A8-BD94FFB17F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8" name="Picture 31">
          <a:extLst>
            <a:ext uri="{FF2B5EF4-FFF2-40B4-BE49-F238E27FC236}">
              <a16:creationId xmlns:a16="http://schemas.microsoft.com/office/drawing/2014/main" id="{D874B5E9-E527-48C9-9DD5-25C211851D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9" name="Picture 31">
          <a:extLst>
            <a:ext uri="{FF2B5EF4-FFF2-40B4-BE49-F238E27FC236}">
              <a16:creationId xmlns:a16="http://schemas.microsoft.com/office/drawing/2014/main" id="{64DFEAEC-7686-4075-8859-5663455237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0" name="Picture 31">
          <a:extLst>
            <a:ext uri="{FF2B5EF4-FFF2-40B4-BE49-F238E27FC236}">
              <a16:creationId xmlns:a16="http://schemas.microsoft.com/office/drawing/2014/main" id="{C987029A-24BF-4C77-8D4E-EFBF01EAA8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1" name="Picture 31">
          <a:extLst>
            <a:ext uri="{FF2B5EF4-FFF2-40B4-BE49-F238E27FC236}">
              <a16:creationId xmlns:a16="http://schemas.microsoft.com/office/drawing/2014/main" id="{B27B2230-47F2-4EA8-A95A-D961DB4CB5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2" name="Picture 31">
          <a:extLst>
            <a:ext uri="{FF2B5EF4-FFF2-40B4-BE49-F238E27FC236}">
              <a16:creationId xmlns:a16="http://schemas.microsoft.com/office/drawing/2014/main" id="{160654F4-DA91-48B3-8ACB-6E2A48CDE4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3" name="Picture 31">
          <a:extLst>
            <a:ext uri="{FF2B5EF4-FFF2-40B4-BE49-F238E27FC236}">
              <a16:creationId xmlns:a16="http://schemas.microsoft.com/office/drawing/2014/main" id="{A4740DDF-1DAC-421A-8787-5FD729CF47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4" name="Picture 31">
          <a:extLst>
            <a:ext uri="{FF2B5EF4-FFF2-40B4-BE49-F238E27FC236}">
              <a16:creationId xmlns:a16="http://schemas.microsoft.com/office/drawing/2014/main" id="{D02D87ED-F225-4B2F-885E-D9C8C8BC19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5" name="Picture 31">
          <a:extLst>
            <a:ext uri="{FF2B5EF4-FFF2-40B4-BE49-F238E27FC236}">
              <a16:creationId xmlns:a16="http://schemas.microsoft.com/office/drawing/2014/main" id="{A08D1C33-12B0-4856-988F-1985C6CF86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6" name="Picture 31">
          <a:extLst>
            <a:ext uri="{FF2B5EF4-FFF2-40B4-BE49-F238E27FC236}">
              <a16:creationId xmlns:a16="http://schemas.microsoft.com/office/drawing/2014/main" id="{2D9CDEC1-8844-4A0F-B990-A3E00F319D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7" name="Picture 31">
          <a:extLst>
            <a:ext uri="{FF2B5EF4-FFF2-40B4-BE49-F238E27FC236}">
              <a16:creationId xmlns:a16="http://schemas.microsoft.com/office/drawing/2014/main" id="{FC76E948-8F74-45F7-A0EC-AE93F1818E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8" name="Picture 31">
          <a:extLst>
            <a:ext uri="{FF2B5EF4-FFF2-40B4-BE49-F238E27FC236}">
              <a16:creationId xmlns:a16="http://schemas.microsoft.com/office/drawing/2014/main" id="{22995130-B81B-4E7A-ACC8-B869500E57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59" name="Picture 31">
          <a:extLst>
            <a:ext uri="{FF2B5EF4-FFF2-40B4-BE49-F238E27FC236}">
              <a16:creationId xmlns:a16="http://schemas.microsoft.com/office/drawing/2014/main" id="{51A891AE-5DCE-4E44-B2A2-BA987C4B3E8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0" name="Picture 31">
          <a:extLst>
            <a:ext uri="{FF2B5EF4-FFF2-40B4-BE49-F238E27FC236}">
              <a16:creationId xmlns:a16="http://schemas.microsoft.com/office/drawing/2014/main" id="{677F544F-9E71-4339-8ECA-B0C7AC727B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1" name="Picture 31">
          <a:extLst>
            <a:ext uri="{FF2B5EF4-FFF2-40B4-BE49-F238E27FC236}">
              <a16:creationId xmlns:a16="http://schemas.microsoft.com/office/drawing/2014/main" id="{F2D374A3-DF20-48C2-A25E-93AA51008E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2" name="Picture 31">
          <a:extLst>
            <a:ext uri="{FF2B5EF4-FFF2-40B4-BE49-F238E27FC236}">
              <a16:creationId xmlns:a16="http://schemas.microsoft.com/office/drawing/2014/main" id="{3F734BA7-9634-4076-BF6B-C2CB7D0F50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3" name="Picture 31">
          <a:extLst>
            <a:ext uri="{FF2B5EF4-FFF2-40B4-BE49-F238E27FC236}">
              <a16:creationId xmlns:a16="http://schemas.microsoft.com/office/drawing/2014/main" id="{535405BC-DBD4-4CC4-944C-D4137779E0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4" name="Picture 31">
          <a:extLst>
            <a:ext uri="{FF2B5EF4-FFF2-40B4-BE49-F238E27FC236}">
              <a16:creationId xmlns:a16="http://schemas.microsoft.com/office/drawing/2014/main" id="{3D4D378C-2FBB-4E11-B91B-4B727F3BC0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5" name="Picture 31">
          <a:extLst>
            <a:ext uri="{FF2B5EF4-FFF2-40B4-BE49-F238E27FC236}">
              <a16:creationId xmlns:a16="http://schemas.microsoft.com/office/drawing/2014/main" id="{26815BFF-3C9E-4F5F-AAC0-A476AAB03D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6" name="Picture 31">
          <a:extLst>
            <a:ext uri="{FF2B5EF4-FFF2-40B4-BE49-F238E27FC236}">
              <a16:creationId xmlns:a16="http://schemas.microsoft.com/office/drawing/2014/main" id="{F4F7F826-FA9B-462E-80FB-C61D541498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7" name="Picture 31">
          <a:extLst>
            <a:ext uri="{FF2B5EF4-FFF2-40B4-BE49-F238E27FC236}">
              <a16:creationId xmlns:a16="http://schemas.microsoft.com/office/drawing/2014/main" id="{9BBAB5DA-374B-47CD-AA47-F7EB8B5A0F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8" name="Picture 31">
          <a:extLst>
            <a:ext uri="{FF2B5EF4-FFF2-40B4-BE49-F238E27FC236}">
              <a16:creationId xmlns:a16="http://schemas.microsoft.com/office/drawing/2014/main" id="{EADE6E07-A529-4495-BA40-3B311BA7E9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69" name="Picture 31">
          <a:extLst>
            <a:ext uri="{FF2B5EF4-FFF2-40B4-BE49-F238E27FC236}">
              <a16:creationId xmlns:a16="http://schemas.microsoft.com/office/drawing/2014/main" id="{8E44F226-A24B-4082-BB33-7B1DC9DEB8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0" name="Picture 31">
          <a:extLst>
            <a:ext uri="{FF2B5EF4-FFF2-40B4-BE49-F238E27FC236}">
              <a16:creationId xmlns:a16="http://schemas.microsoft.com/office/drawing/2014/main" id="{ABA3203C-8583-4019-8574-91B3A876A4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1" name="Picture 31">
          <a:extLst>
            <a:ext uri="{FF2B5EF4-FFF2-40B4-BE49-F238E27FC236}">
              <a16:creationId xmlns:a16="http://schemas.microsoft.com/office/drawing/2014/main" id="{2D40EF7F-36CB-4CFF-A9F8-799F4CA2D7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2" name="Picture 31">
          <a:extLst>
            <a:ext uri="{FF2B5EF4-FFF2-40B4-BE49-F238E27FC236}">
              <a16:creationId xmlns:a16="http://schemas.microsoft.com/office/drawing/2014/main" id="{B133B16D-D3E6-47C1-A05A-D6908BBF69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3" name="Picture 31">
          <a:extLst>
            <a:ext uri="{FF2B5EF4-FFF2-40B4-BE49-F238E27FC236}">
              <a16:creationId xmlns:a16="http://schemas.microsoft.com/office/drawing/2014/main" id="{832CC73A-6E39-42F1-8938-6F39A39442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4" name="Picture 31">
          <a:extLst>
            <a:ext uri="{FF2B5EF4-FFF2-40B4-BE49-F238E27FC236}">
              <a16:creationId xmlns:a16="http://schemas.microsoft.com/office/drawing/2014/main" id="{38961F99-2076-4356-92FF-3439835B67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5" name="Picture 31">
          <a:extLst>
            <a:ext uri="{FF2B5EF4-FFF2-40B4-BE49-F238E27FC236}">
              <a16:creationId xmlns:a16="http://schemas.microsoft.com/office/drawing/2014/main" id="{6875A3A1-ED11-45C1-8300-82D103571A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6" name="Picture 31">
          <a:extLst>
            <a:ext uri="{FF2B5EF4-FFF2-40B4-BE49-F238E27FC236}">
              <a16:creationId xmlns:a16="http://schemas.microsoft.com/office/drawing/2014/main" id="{8EBEF650-1CA2-4C59-B8F2-7E21B4FCF8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7" name="Picture 31">
          <a:extLst>
            <a:ext uri="{FF2B5EF4-FFF2-40B4-BE49-F238E27FC236}">
              <a16:creationId xmlns:a16="http://schemas.microsoft.com/office/drawing/2014/main" id="{098C2A44-EBA6-45F1-9B4D-48E25472C6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8" name="Picture 31">
          <a:extLst>
            <a:ext uri="{FF2B5EF4-FFF2-40B4-BE49-F238E27FC236}">
              <a16:creationId xmlns:a16="http://schemas.microsoft.com/office/drawing/2014/main" id="{B850DEF4-C948-40EA-BD75-DA92FF202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79" name="Picture 31">
          <a:extLst>
            <a:ext uri="{FF2B5EF4-FFF2-40B4-BE49-F238E27FC236}">
              <a16:creationId xmlns:a16="http://schemas.microsoft.com/office/drawing/2014/main" id="{E6E981CC-7FA8-4E8E-A223-4A63AF0883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0" name="Picture 31">
          <a:extLst>
            <a:ext uri="{FF2B5EF4-FFF2-40B4-BE49-F238E27FC236}">
              <a16:creationId xmlns:a16="http://schemas.microsoft.com/office/drawing/2014/main" id="{BBE16FB2-3B8B-49FC-8801-3491409D09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1" name="Picture 31">
          <a:extLst>
            <a:ext uri="{FF2B5EF4-FFF2-40B4-BE49-F238E27FC236}">
              <a16:creationId xmlns:a16="http://schemas.microsoft.com/office/drawing/2014/main" id="{D139220A-C041-4B20-9A9D-1D72D3D522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2" name="Picture 31">
          <a:extLst>
            <a:ext uri="{FF2B5EF4-FFF2-40B4-BE49-F238E27FC236}">
              <a16:creationId xmlns:a16="http://schemas.microsoft.com/office/drawing/2014/main" id="{6385CC50-F735-457E-9123-78707CD6F9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3" name="Picture 31">
          <a:extLst>
            <a:ext uri="{FF2B5EF4-FFF2-40B4-BE49-F238E27FC236}">
              <a16:creationId xmlns:a16="http://schemas.microsoft.com/office/drawing/2014/main" id="{D3B602CC-3966-4DCA-8829-5099CC3146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4" name="Picture 31">
          <a:extLst>
            <a:ext uri="{FF2B5EF4-FFF2-40B4-BE49-F238E27FC236}">
              <a16:creationId xmlns:a16="http://schemas.microsoft.com/office/drawing/2014/main" id="{A1014971-0711-4D61-B562-3B389D484F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5" name="Picture 31">
          <a:extLst>
            <a:ext uri="{FF2B5EF4-FFF2-40B4-BE49-F238E27FC236}">
              <a16:creationId xmlns:a16="http://schemas.microsoft.com/office/drawing/2014/main" id="{E3C43A60-3FFF-4AFA-B8C4-9866E253FE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6" name="Picture 31">
          <a:extLst>
            <a:ext uri="{FF2B5EF4-FFF2-40B4-BE49-F238E27FC236}">
              <a16:creationId xmlns:a16="http://schemas.microsoft.com/office/drawing/2014/main" id="{8A4DE4BF-3A0F-4CCB-B852-C8E2693A6C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7" name="Picture 31">
          <a:extLst>
            <a:ext uri="{FF2B5EF4-FFF2-40B4-BE49-F238E27FC236}">
              <a16:creationId xmlns:a16="http://schemas.microsoft.com/office/drawing/2014/main" id="{7A3DE78B-7EDB-4A5C-B3CA-0D588234B3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8" name="Picture 31">
          <a:extLst>
            <a:ext uri="{FF2B5EF4-FFF2-40B4-BE49-F238E27FC236}">
              <a16:creationId xmlns:a16="http://schemas.microsoft.com/office/drawing/2014/main" id="{1011E19D-18AE-496E-B235-6BFC643AC1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89" name="Picture 31">
          <a:extLst>
            <a:ext uri="{FF2B5EF4-FFF2-40B4-BE49-F238E27FC236}">
              <a16:creationId xmlns:a16="http://schemas.microsoft.com/office/drawing/2014/main" id="{9BFD7FAD-633A-4868-B8AC-CD52EC17DD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0" name="Picture 31">
          <a:extLst>
            <a:ext uri="{FF2B5EF4-FFF2-40B4-BE49-F238E27FC236}">
              <a16:creationId xmlns:a16="http://schemas.microsoft.com/office/drawing/2014/main" id="{CD0547CF-5C57-4008-B3F6-11FF29E784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1" name="Picture 31">
          <a:extLst>
            <a:ext uri="{FF2B5EF4-FFF2-40B4-BE49-F238E27FC236}">
              <a16:creationId xmlns:a16="http://schemas.microsoft.com/office/drawing/2014/main" id="{4612BF8B-C588-491F-ADA4-9DE5CB564B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2" name="Picture 31">
          <a:extLst>
            <a:ext uri="{FF2B5EF4-FFF2-40B4-BE49-F238E27FC236}">
              <a16:creationId xmlns:a16="http://schemas.microsoft.com/office/drawing/2014/main" id="{2B099F32-1958-4BF7-A125-66F32D94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3" name="Picture 31">
          <a:extLst>
            <a:ext uri="{FF2B5EF4-FFF2-40B4-BE49-F238E27FC236}">
              <a16:creationId xmlns:a16="http://schemas.microsoft.com/office/drawing/2014/main" id="{1717AC4D-FB54-48D4-992F-DFD96A2BC9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4" name="Picture 31">
          <a:extLst>
            <a:ext uri="{FF2B5EF4-FFF2-40B4-BE49-F238E27FC236}">
              <a16:creationId xmlns:a16="http://schemas.microsoft.com/office/drawing/2014/main" id="{CE51BD6B-22A7-4EE0-A8E9-BE82DA8F06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5" name="Picture 31">
          <a:extLst>
            <a:ext uri="{FF2B5EF4-FFF2-40B4-BE49-F238E27FC236}">
              <a16:creationId xmlns:a16="http://schemas.microsoft.com/office/drawing/2014/main" id="{4B79212F-3847-4835-89A1-460874EC5F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 name="Picture 31">
          <a:extLst>
            <a:ext uri="{FF2B5EF4-FFF2-40B4-BE49-F238E27FC236}">
              <a16:creationId xmlns:a16="http://schemas.microsoft.com/office/drawing/2014/main" id="{4EEB80EF-B611-4261-B258-AC50F75F65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 name="Picture 31">
          <a:extLst>
            <a:ext uri="{FF2B5EF4-FFF2-40B4-BE49-F238E27FC236}">
              <a16:creationId xmlns:a16="http://schemas.microsoft.com/office/drawing/2014/main" id="{CA52BF3A-9C48-4906-A8B9-D3A06B1D9E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 name="Picture 31">
          <a:extLst>
            <a:ext uri="{FF2B5EF4-FFF2-40B4-BE49-F238E27FC236}">
              <a16:creationId xmlns:a16="http://schemas.microsoft.com/office/drawing/2014/main" id="{4BD147D1-7E66-4754-A3B2-9F92B50C9F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 name="Picture 31">
          <a:extLst>
            <a:ext uri="{FF2B5EF4-FFF2-40B4-BE49-F238E27FC236}">
              <a16:creationId xmlns:a16="http://schemas.microsoft.com/office/drawing/2014/main" id="{3AE3BA85-5D6D-4240-8EA7-68C4D34FA6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 name="Picture 31">
          <a:extLst>
            <a:ext uri="{FF2B5EF4-FFF2-40B4-BE49-F238E27FC236}">
              <a16:creationId xmlns:a16="http://schemas.microsoft.com/office/drawing/2014/main" id="{077E2C40-F2DC-41E8-8BA0-98458AE392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 name="Picture 31">
          <a:extLst>
            <a:ext uri="{FF2B5EF4-FFF2-40B4-BE49-F238E27FC236}">
              <a16:creationId xmlns:a16="http://schemas.microsoft.com/office/drawing/2014/main" id="{88A6CF3C-85A3-4F14-B207-07D5023772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 name="Picture 31">
          <a:extLst>
            <a:ext uri="{FF2B5EF4-FFF2-40B4-BE49-F238E27FC236}">
              <a16:creationId xmlns:a16="http://schemas.microsoft.com/office/drawing/2014/main" id="{B01F152B-E90A-48EF-9BB9-5CB1BC1F73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 name="Picture 31">
          <a:extLst>
            <a:ext uri="{FF2B5EF4-FFF2-40B4-BE49-F238E27FC236}">
              <a16:creationId xmlns:a16="http://schemas.microsoft.com/office/drawing/2014/main" id="{E735ABC4-5569-4BB7-94BA-F30B9C9FD1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 name="Picture 31">
          <a:extLst>
            <a:ext uri="{FF2B5EF4-FFF2-40B4-BE49-F238E27FC236}">
              <a16:creationId xmlns:a16="http://schemas.microsoft.com/office/drawing/2014/main" id="{87FAC550-EA80-49F2-B7AA-50A2FCE4C4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 name="Picture 31">
          <a:extLst>
            <a:ext uri="{FF2B5EF4-FFF2-40B4-BE49-F238E27FC236}">
              <a16:creationId xmlns:a16="http://schemas.microsoft.com/office/drawing/2014/main" id="{D835C794-711E-47FD-9113-CE59F22AC9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 name="Picture 31">
          <a:extLst>
            <a:ext uri="{FF2B5EF4-FFF2-40B4-BE49-F238E27FC236}">
              <a16:creationId xmlns:a16="http://schemas.microsoft.com/office/drawing/2014/main" id="{F970342D-43E8-4FD8-A190-2413B204F6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 name="Picture 31">
          <a:extLst>
            <a:ext uri="{FF2B5EF4-FFF2-40B4-BE49-F238E27FC236}">
              <a16:creationId xmlns:a16="http://schemas.microsoft.com/office/drawing/2014/main" id="{525BB1C7-9037-4AA8-9FDC-4AD59A4A0F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 name="Picture 31">
          <a:extLst>
            <a:ext uri="{FF2B5EF4-FFF2-40B4-BE49-F238E27FC236}">
              <a16:creationId xmlns:a16="http://schemas.microsoft.com/office/drawing/2014/main" id="{AA8318F0-94DB-4049-8936-E3696B79D4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 name="Picture 31">
          <a:extLst>
            <a:ext uri="{FF2B5EF4-FFF2-40B4-BE49-F238E27FC236}">
              <a16:creationId xmlns:a16="http://schemas.microsoft.com/office/drawing/2014/main" id="{85C47F66-1063-49CA-8EE1-D0310EF89D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 name="Picture 31">
          <a:extLst>
            <a:ext uri="{FF2B5EF4-FFF2-40B4-BE49-F238E27FC236}">
              <a16:creationId xmlns:a16="http://schemas.microsoft.com/office/drawing/2014/main" id="{4F88B269-5DF2-46F1-855B-6BC06C014A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 name="Picture 31">
          <a:extLst>
            <a:ext uri="{FF2B5EF4-FFF2-40B4-BE49-F238E27FC236}">
              <a16:creationId xmlns:a16="http://schemas.microsoft.com/office/drawing/2014/main" id="{5C0A8DFD-5AC4-49F6-BC3F-6DCA2021D3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 name="Picture 31">
          <a:extLst>
            <a:ext uri="{FF2B5EF4-FFF2-40B4-BE49-F238E27FC236}">
              <a16:creationId xmlns:a16="http://schemas.microsoft.com/office/drawing/2014/main" id="{8CC3A87B-8BBB-46E9-ADFC-9A477856D8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 name="Picture 31">
          <a:extLst>
            <a:ext uri="{FF2B5EF4-FFF2-40B4-BE49-F238E27FC236}">
              <a16:creationId xmlns:a16="http://schemas.microsoft.com/office/drawing/2014/main" id="{D0AB48A4-37EC-4F6F-9D24-E6A5FF5106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 name="Picture 31">
          <a:extLst>
            <a:ext uri="{FF2B5EF4-FFF2-40B4-BE49-F238E27FC236}">
              <a16:creationId xmlns:a16="http://schemas.microsoft.com/office/drawing/2014/main" id="{DF8D88FD-9912-4091-9BA1-1E427E0C16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 name="Picture 31">
          <a:extLst>
            <a:ext uri="{FF2B5EF4-FFF2-40B4-BE49-F238E27FC236}">
              <a16:creationId xmlns:a16="http://schemas.microsoft.com/office/drawing/2014/main" id="{15547787-EA83-45E0-9AB5-8E2CD3D00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 name="Picture 31">
          <a:extLst>
            <a:ext uri="{FF2B5EF4-FFF2-40B4-BE49-F238E27FC236}">
              <a16:creationId xmlns:a16="http://schemas.microsoft.com/office/drawing/2014/main" id="{BB59FE38-CC28-4435-902C-DA7AB8AC3F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 name="Picture 31">
          <a:extLst>
            <a:ext uri="{FF2B5EF4-FFF2-40B4-BE49-F238E27FC236}">
              <a16:creationId xmlns:a16="http://schemas.microsoft.com/office/drawing/2014/main" id="{D502A9E4-6F03-45A3-9C65-29BD5209B4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 name="Picture 31">
          <a:extLst>
            <a:ext uri="{FF2B5EF4-FFF2-40B4-BE49-F238E27FC236}">
              <a16:creationId xmlns:a16="http://schemas.microsoft.com/office/drawing/2014/main" id="{0E28E4C6-B646-4C38-B140-D2ECB397EA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 name="Picture 31">
          <a:extLst>
            <a:ext uri="{FF2B5EF4-FFF2-40B4-BE49-F238E27FC236}">
              <a16:creationId xmlns:a16="http://schemas.microsoft.com/office/drawing/2014/main" id="{36FA37F7-0E83-4243-AFEE-9C07D8602E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 name="Picture 31">
          <a:extLst>
            <a:ext uri="{FF2B5EF4-FFF2-40B4-BE49-F238E27FC236}">
              <a16:creationId xmlns:a16="http://schemas.microsoft.com/office/drawing/2014/main" id="{B0643C1D-48BB-47B3-9DFA-E08299811B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 name="Picture 31">
          <a:extLst>
            <a:ext uri="{FF2B5EF4-FFF2-40B4-BE49-F238E27FC236}">
              <a16:creationId xmlns:a16="http://schemas.microsoft.com/office/drawing/2014/main" id="{2CE9F390-2163-45E2-A9E6-210447E852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 name="Picture 31">
          <a:extLst>
            <a:ext uri="{FF2B5EF4-FFF2-40B4-BE49-F238E27FC236}">
              <a16:creationId xmlns:a16="http://schemas.microsoft.com/office/drawing/2014/main" id="{9E204A2D-00CF-4279-B3BF-B3517B1DDF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 name="Picture 31">
          <a:extLst>
            <a:ext uri="{FF2B5EF4-FFF2-40B4-BE49-F238E27FC236}">
              <a16:creationId xmlns:a16="http://schemas.microsoft.com/office/drawing/2014/main" id="{6315B06E-A2BD-44A3-932B-B3DA642330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 name="Picture 31">
          <a:extLst>
            <a:ext uri="{FF2B5EF4-FFF2-40B4-BE49-F238E27FC236}">
              <a16:creationId xmlns:a16="http://schemas.microsoft.com/office/drawing/2014/main" id="{F39B7CF2-9463-4D03-8C52-4E67BBFA0C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 name="Picture 31">
          <a:extLst>
            <a:ext uri="{FF2B5EF4-FFF2-40B4-BE49-F238E27FC236}">
              <a16:creationId xmlns:a16="http://schemas.microsoft.com/office/drawing/2014/main" id="{EAD36124-62FD-4E7C-90C9-EB4E40B9B2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 name="Picture 31">
          <a:extLst>
            <a:ext uri="{FF2B5EF4-FFF2-40B4-BE49-F238E27FC236}">
              <a16:creationId xmlns:a16="http://schemas.microsoft.com/office/drawing/2014/main" id="{1C217A21-A18F-4700-9A5E-3E1D1572E5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 name="Picture 31">
          <a:extLst>
            <a:ext uri="{FF2B5EF4-FFF2-40B4-BE49-F238E27FC236}">
              <a16:creationId xmlns:a16="http://schemas.microsoft.com/office/drawing/2014/main" id="{FD801C23-74DA-4829-ACAC-B46B289F17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 name="Picture 31">
          <a:extLst>
            <a:ext uri="{FF2B5EF4-FFF2-40B4-BE49-F238E27FC236}">
              <a16:creationId xmlns:a16="http://schemas.microsoft.com/office/drawing/2014/main" id="{781147D1-55D3-4A80-ADF3-0698F9C8CF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 name="Picture 31">
          <a:extLst>
            <a:ext uri="{FF2B5EF4-FFF2-40B4-BE49-F238E27FC236}">
              <a16:creationId xmlns:a16="http://schemas.microsoft.com/office/drawing/2014/main" id="{AD1781FD-CD49-475E-BF15-BA9C567E9A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 name="Picture 31">
          <a:extLst>
            <a:ext uri="{FF2B5EF4-FFF2-40B4-BE49-F238E27FC236}">
              <a16:creationId xmlns:a16="http://schemas.microsoft.com/office/drawing/2014/main" id="{43F2948E-9A23-446A-996E-1A2261115C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 name="Picture 31">
          <a:extLst>
            <a:ext uri="{FF2B5EF4-FFF2-40B4-BE49-F238E27FC236}">
              <a16:creationId xmlns:a16="http://schemas.microsoft.com/office/drawing/2014/main" id="{6232E45E-7A20-49BB-91A4-CB490D51ED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 name="Picture 31">
          <a:extLst>
            <a:ext uri="{FF2B5EF4-FFF2-40B4-BE49-F238E27FC236}">
              <a16:creationId xmlns:a16="http://schemas.microsoft.com/office/drawing/2014/main" id="{89F6B1AE-1D72-47D3-9BF0-6274E13849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 name="Picture 31">
          <a:extLst>
            <a:ext uri="{FF2B5EF4-FFF2-40B4-BE49-F238E27FC236}">
              <a16:creationId xmlns:a16="http://schemas.microsoft.com/office/drawing/2014/main" id="{FCF0C115-709E-4F3A-95AD-DD68A20853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 name="Picture 31">
          <a:extLst>
            <a:ext uri="{FF2B5EF4-FFF2-40B4-BE49-F238E27FC236}">
              <a16:creationId xmlns:a16="http://schemas.microsoft.com/office/drawing/2014/main" id="{136DDD49-8C8A-41A9-B5E2-F0C060F23A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 name="Picture 31">
          <a:extLst>
            <a:ext uri="{FF2B5EF4-FFF2-40B4-BE49-F238E27FC236}">
              <a16:creationId xmlns:a16="http://schemas.microsoft.com/office/drawing/2014/main" id="{E7F968F3-FF76-4AD1-9EF4-B11ADAA8E5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 name="Picture 31">
          <a:extLst>
            <a:ext uri="{FF2B5EF4-FFF2-40B4-BE49-F238E27FC236}">
              <a16:creationId xmlns:a16="http://schemas.microsoft.com/office/drawing/2014/main" id="{4706B0C7-8E98-4AFB-97F8-703238A2E8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 name="Picture 31">
          <a:extLst>
            <a:ext uri="{FF2B5EF4-FFF2-40B4-BE49-F238E27FC236}">
              <a16:creationId xmlns:a16="http://schemas.microsoft.com/office/drawing/2014/main" id="{C372AB89-744F-4F33-9029-0EE5E82FA6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 name="Picture 31">
          <a:extLst>
            <a:ext uri="{FF2B5EF4-FFF2-40B4-BE49-F238E27FC236}">
              <a16:creationId xmlns:a16="http://schemas.microsoft.com/office/drawing/2014/main" id="{78A47DF0-EB0C-452F-93BC-A296B8FE8C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 name="Picture 31">
          <a:extLst>
            <a:ext uri="{FF2B5EF4-FFF2-40B4-BE49-F238E27FC236}">
              <a16:creationId xmlns:a16="http://schemas.microsoft.com/office/drawing/2014/main" id="{E5930425-26BC-46D4-8D3D-F2E8DDC92B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 name="Picture 31">
          <a:extLst>
            <a:ext uri="{FF2B5EF4-FFF2-40B4-BE49-F238E27FC236}">
              <a16:creationId xmlns:a16="http://schemas.microsoft.com/office/drawing/2014/main" id="{B71B9DC9-0BCF-401D-8884-C5B539865C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 name="Picture 31">
          <a:extLst>
            <a:ext uri="{FF2B5EF4-FFF2-40B4-BE49-F238E27FC236}">
              <a16:creationId xmlns:a16="http://schemas.microsoft.com/office/drawing/2014/main" id="{BE4127B7-1B7C-463E-AE42-076C704012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 name="Picture 31">
          <a:extLst>
            <a:ext uri="{FF2B5EF4-FFF2-40B4-BE49-F238E27FC236}">
              <a16:creationId xmlns:a16="http://schemas.microsoft.com/office/drawing/2014/main" id="{3BC4E2CC-0326-4AEE-BD26-458D55BE97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 name="Picture 31">
          <a:extLst>
            <a:ext uri="{FF2B5EF4-FFF2-40B4-BE49-F238E27FC236}">
              <a16:creationId xmlns:a16="http://schemas.microsoft.com/office/drawing/2014/main" id="{833E9A67-993D-4779-A433-2381E37DC7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4" name="Picture 31">
          <a:extLst>
            <a:ext uri="{FF2B5EF4-FFF2-40B4-BE49-F238E27FC236}">
              <a16:creationId xmlns:a16="http://schemas.microsoft.com/office/drawing/2014/main" id="{C88E3A78-F857-4BDB-8238-70C3E21654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5" name="Picture 31">
          <a:extLst>
            <a:ext uri="{FF2B5EF4-FFF2-40B4-BE49-F238E27FC236}">
              <a16:creationId xmlns:a16="http://schemas.microsoft.com/office/drawing/2014/main" id="{0F92A7EB-88EC-4CA9-B3D1-A1B55F079B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6" name="Picture 31">
          <a:extLst>
            <a:ext uri="{FF2B5EF4-FFF2-40B4-BE49-F238E27FC236}">
              <a16:creationId xmlns:a16="http://schemas.microsoft.com/office/drawing/2014/main" id="{C26F66E2-198D-4C55-A8E0-0C337F1CCE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7" name="Picture 31">
          <a:extLst>
            <a:ext uri="{FF2B5EF4-FFF2-40B4-BE49-F238E27FC236}">
              <a16:creationId xmlns:a16="http://schemas.microsoft.com/office/drawing/2014/main" id="{FC4E87A9-C0BC-49C8-8613-464B8BE844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8" name="Picture 31">
          <a:extLst>
            <a:ext uri="{FF2B5EF4-FFF2-40B4-BE49-F238E27FC236}">
              <a16:creationId xmlns:a16="http://schemas.microsoft.com/office/drawing/2014/main" id="{811EF369-6B4D-420C-A41C-B39AEB5AB1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9" name="Picture 31">
          <a:extLst>
            <a:ext uri="{FF2B5EF4-FFF2-40B4-BE49-F238E27FC236}">
              <a16:creationId xmlns:a16="http://schemas.microsoft.com/office/drawing/2014/main" id="{AF391F21-6730-4B08-BE2E-EC156E40B8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0" name="Picture 31">
          <a:extLst>
            <a:ext uri="{FF2B5EF4-FFF2-40B4-BE49-F238E27FC236}">
              <a16:creationId xmlns:a16="http://schemas.microsoft.com/office/drawing/2014/main" id="{BA8A12F1-0B61-4217-A4E7-77C0D650B6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1" name="Picture 31">
          <a:extLst>
            <a:ext uri="{FF2B5EF4-FFF2-40B4-BE49-F238E27FC236}">
              <a16:creationId xmlns:a16="http://schemas.microsoft.com/office/drawing/2014/main" id="{817EB9F6-3AEA-47A2-BD96-483983AEEE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2" name="Picture 31">
          <a:extLst>
            <a:ext uri="{FF2B5EF4-FFF2-40B4-BE49-F238E27FC236}">
              <a16:creationId xmlns:a16="http://schemas.microsoft.com/office/drawing/2014/main" id="{BAE7A8BB-8D44-4928-B766-6A084E7F17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3" name="Picture 31">
          <a:extLst>
            <a:ext uri="{FF2B5EF4-FFF2-40B4-BE49-F238E27FC236}">
              <a16:creationId xmlns:a16="http://schemas.microsoft.com/office/drawing/2014/main" id="{B9529C71-1207-4693-8766-900CA1F6C2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4" name="Picture 31">
          <a:extLst>
            <a:ext uri="{FF2B5EF4-FFF2-40B4-BE49-F238E27FC236}">
              <a16:creationId xmlns:a16="http://schemas.microsoft.com/office/drawing/2014/main" id="{5008E647-5DDB-4C13-AEC8-691046D35B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5" name="Picture 31">
          <a:extLst>
            <a:ext uri="{FF2B5EF4-FFF2-40B4-BE49-F238E27FC236}">
              <a16:creationId xmlns:a16="http://schemas.microsoft.com/office/drawing/2014/main" id="{AB7F59B0-FD6C-41ED-9047-C8515DF464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6" name="Picture 31">
          <a:extLst>
            <a:ext uri="{FF2B5EF4-FFF2-40B4-BE49-F238E27FC236}">
              <a16:creationId xmlns:a16="http://schemas.microsoft.com/office/drawing/2014/main" id="{B6C73C8D-46A5-4932-941A-63918BD08F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7" name="Picture 31">
          <a:extLst>
            <a:ext uri="{FF2B5EF4-FFF2-40B4-BE49-F238E27FC236}">
              <a16:creationId xmlns:a16="http://schemas.microsoft.com/office/drawing/2014/main" id="{1D6EC991-9B65-4889-BCEE-70B79A29D4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8" name="Picture 31">
          <a:extLst>
            <a:ext uri="{FF2B5EF4-FFF2-40B4-BE49-F238E27FC236}">
              <a16:creationId xmlns:a16="http://schemas.microsoft.com/office/drawing/2014/main" id="{6D3E3DD1-4191-4A60-979B-9AAE2CA89F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59" name="Picture 31">
          <a:extLst>
            <a:ext uri="{FF2B5EF4-FFF2-40B4-BE49-F238E27FC236}">
              <a16:creationId xmlns:a16="http://schemas.microsoft.com/office/drawing/2014/main" id="{6D6B55E9-2DB3-4EF0-B76D-5C50665A17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0" name="Picture 31">
          <a:extLst>
            <a:ext uri="{FF2B5EF4-FFF2-40B4-BE49-F238E27FC236}">
              <a16:creationId xmlns:a16="http://schemas.microsoft.com/office/drawing/2014/main" id="{DCD864FC-C138-439F-8100-5ABC23AF28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1" name="Picture 31">
          <a:extLst>
            <a:ext uri="{FF2B5EF4-FFF2-40B4-BE49-F238E27FC236}">
              <a16:creationId xmlns:a16="http://schemas.microsoft.com/office/drawing/2014/main" id="{C05C292C-9A4D-440D-8530-BCD06E9983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2" name="Picture 31">
          <a:extLst>
            <a:ext uri="{FF2B5EF4-FFF2-40B4-BE49-F238E27FC236}">
              <a16:creationId xmlns:a16="http://schemas.microsoft.com/office/drawing/2014/main" id="{1E645B97-343F-419F-B29A-B979DE7F5C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3" name="Picture 31">
          <a:extLst>
            <a:ext uri="{FF2B5EF4-FFF2-40B4-BE49-F238E27FC236}">
              <a16:creationId xmlns:a16="http://schemas.microsoft.com/office/drawing/2014/main" id="{8819387C-0FB3-4DA4-A9F1-75FA3E666C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4" name="Picture 31">
          <a:extLst>
            <a:ext uri="{FF2B5EF4-FFF2-40B4-BE49-F238E27FC236}">
              <a16:creationId xmlns:a16="http://schemas.microsoft.com/office/drawing/2014/main" id="{6CE89A3A-D02A-4245-A654-B5886307B0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5" name="Picture 31">
          <a:extLst>
            <a:ext uri="{FF2B5EF4-FFF2-40B4-BE49-F238E27FC236}">
              <a16:creationId xmlns:a16="http://schemas.microsoft.com/office/drawing/2014/main" id="{504F2B3A-1782-4962-BD54-3937A9E413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6" name="Picture 31">
          <a:extLst>
            <a:ext uri="{FF2B5EF4-FFF2-40B4-BE49-F238E27FC236}">
              <a16:creationId xmlns:a16="http://schemas.microsoft.com/office/drawing/2014/main" id="{4C8D81FA-581F-42B2-871D-2F24B04E2B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7" name="Picture 31">
          <a:extLst>
            <a:ext uri="{FF2B5EF4-FFF2-40B4-BE49-F238E27FC236}">
              <a16:creationId xmlns:a16="http://schemas.microsoft.com/office/drawing/2014/main" id="{01DD355F-02FA-4AD8-B41F-2C69B43803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8" name="Picture 31">
          <a:extLst>
            <a:ext uri="{FF2B5EF4-FFF2-40B4-BE49-F238E27FC236}">
              <a16:creationId xmlns:a16="http://schemas.microsoft.com/office/drawing/2014/main" id="{00412E55-8375-4FF4-820F-B4BE4C1AE2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69" name="Picture 31">
          <a:extLst>
            <a:ext uri="{FF2B5EF4-FFF2-40B4-BE49-F238E27FC236}">
              <a16:creationId xmlns:a16="http://schemas.microsoft.com/office/drawing/2014/main" id="{BDB1DB94-2CA6-47E4-AEBD-788239490D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0" name="Picture 31">
          <a:extLst>
            <a:ext uri="{FF2B5EF4-FFF2-40B4-BE49-F238E27FC236}">
              <a16:creationId xmlns:a16="http://schemas.microsoft.com/office/drawing/2014/main" id="{008905F6-397E-435B-A458-C94430C0C3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1" name="Picture 31">
          <a:extLst>
            <a:ext uri="{FF2B5EF4-FFF2-40B4-BE49-F238E27FC236}">
              <a16:creationId xmlns:a16="http://schemas.microsoft.com/office/drawing/2014/main" id="{0FECDDC2-AA6B-4288-AFEB-16A93EACA2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2" name="Picture 31">
          <a:extLst>
            <a:ext uri="{FF2B5EF4-FFF2-40B4-BE49-F238E27FC236}">
              <a16:creationId xmlns:a16="http://schemas.microsoft.com/office/drawing/2014/main" id="{9664D29B-1F17-48E7-8004-BC22210996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3" name="Picture 31">
          <a:extLst>
            <a:ext uri="{FF2B5EF4-FFF2-40B4-BE49-F238E27FC236}">
              <a16:creationId xmlns:a16="http://schemas.microsoft.com/office/drawing/2014/main" id="{053E7822-E20C-4F49-B32A-A9E55A6F7D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4" name="Picture 31">
          <a:extLst>
            <a:ext uri="{FF2B5EF4-FFF2-40B4-BE49-F238E27FC236}">
              <a16:creationId xmlns:a16="http://schemas.microsoft.com/office/drawing/2014/main" id="{10E23C61-0C34-40F6-8A4D-EB90305454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5" name="Picture 31">
          <a:extLst>
            <a:ext uri="{FF2B5EF4-FFF2-40B4-BE49-F238E27FC236}">
              <a16:creationId xmlns:a16="http://schemas.microsoft.com/office/drawing/2014/main" id="{183DCF90-890E-4865-AA7D-C8EB2FB9CC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6" name="Picture 31">
          <a:extLst>
            <a:ext uri="{FF2B5EF4-FFF2-40B4-BE49-F238E27FC236}">
              <a16:creationId xmlns:a16="http://schemas.microsoft.com/office/drawing/2014/main" id="{6BF3F222-007A-4D9A-B7DD-10166AC2D6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7" name="Picture 31">
          <a:extLst>
            <a:ext uri="{FF2B5EF4-FFF2-40B4-BE49-F238E27FC236}">
              <a16:creationId xmlns:a16="http://schemas.microsoft.com/office/drawing/2014/main" id="{C97D826C-AF81-47C3-956E-1B7A5887A2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8" name="Picture 31">
          <a:extLst>
            <a:ext uri="{FF2B5EF4-FFF2-40B4-BE49-F238E27FC236}">
              <a16:creationId xmlns:a16="http://schemas.microsoft.com/office/drawing/2014/main" id="{A12DF06F-0816-4ED6-9BD8-749830A9AF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79" name="Picture 31">
          <a:extLst>
            <a:ext uri="{FF2B5EF4-FFF2-40B4-BE49-F238E27FC236}">
              <a16:creationId xmlns:a16="http://schemas.microsoft.com/office/drawing/2014/main" id="{94F18E87-29E4-4116-A201-9D77BE2D59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0" name="Picture 31">
          <a:extLst>
            <a:ext uri="{FF2B5EF4-FFF2-40B4-BE49-F238E27FC236}">
              <a16:creationId xmlns:a16="http://schemas.microsoft.com/office/drawing/2014/main" id="{193FF61D-5B02-43C4-8302-14D3D11794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1" name="Picture 31">
          <a:extLst>
            <a:ext uri="{FF2B5EF4-FFF2-40B4-BE49-F238E27FC236}">
              <a16:creationId xmlns:a16="http://schemas.microsoft.com/office/drawing/2014/main" id="{1147A236-4B16-45D4-B505-F90BC092CB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2" name="Picture 31">
          <a:extLst>
            <a:ext uri="{FF2B5EF4-FFF2-40B4-BE49-F238E27FC236}">
              <a16:creationId xmlns:a16="http://schemas.microsoft.com/office/drawing/2014/main" id="{97652381-D5C4-4E97-B236-8439618EEC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3" name="Picture 31">
          <a:extLst>
            <a:ext uri="{FF2B5EF4-FFF2-40B4-BE49-F238E27FC236}">
              <a16:creationId xmlns:a16="http://schemas.microsoft.com/office/drawing/2014/main" id="{8FED6840-1130-4A97-A088-0B2ECB3EDE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4" name="Picture 31">
          <a:extLst>
            <a:ext uri="{FF2B5EF4-FFF2-40B4-BE49-F238E27FC236}">
              <a16:creationId xmlns:a16="http://schemas.microsoft.com/office/drawing/2014/main" id="{DA77A6C3-F8E5-4855-9860-473A60621F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5" name="Picture 31">
          <a:extLst>
            <a:ext uri="{FF2B5EF4-FFF2-40B4-BE49-F238E27FC236}">
              <a16:creationId xmlns:a16="http://schemas.microsoft.com/office/drawing/2014/main" id="{FE800A2F-F71A-482D-BF16-BE2EDCDAAC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6" name="Picture 31">
          <a:extLst>
            <a:ext uri="{FF2B5EF4-FFF2-40B4-BE49-F238E27FC236}">
              <a16:creationId xmlns:a16="http://schemas.microsoft.com/office/drawing/2014/main" id="{6EC30C8A-6038-4E57-BF26-8D5AE135B4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7" name="Picture 31">
          <a:extLst>
            <a:ext uri="{FF2B5EF4-FFF2-40B4-BE49-F238E27FC236}">
              <a16:creationId xmlns:a16="http://schemas.microsoft.com/office/drawing/2014/main" id="{97C3FED0-FD8F-48EC-BB1C-74E188D85A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8" name="Picture 31">
          <a:extLst>
            <a:ext uri="{FF2B5EF4-FFF2-40B4-BE49-F238E27FC236}">
              <a16:creationId xmlns:a16="http://schemas.microsoft.com/office/drawing/2014/main" id="{BE13D921-A382-4335-AA66-05AE1EBD99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89" name="Picture 31">
          <a:extLst>
            <a:ext uri="{FF2B5EF4-FFF2-40B4-BE49-F238E27FC236}">
              <a16:creationId xmlns:a16="http://schemas.microsoft.com/office/drawing/2014/main" id="{B5550BF2-A7D0-4886-95BB-710B1DD311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0" name="Picture 31">
          <a:extLst>
            <a:ext uri="{FF2B5EF4-FFF2-40B4-BE49-F238E27FC236}">
              <a16:creationId xmlns:a16="http://schemas.microsoft.com/office/drawing/2014/main" id="{2EF91BFE-7320-45DB-9C40-1BB84C3266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1" name="Picture 31">
          <a:extLst>
            <a:ext uri="{FF2B5EF4-FFF2-40B4-BE49-F238E27FC236}">
              <a16:creationId xmlns:a16="http://schemas.microsoft.com/office/drawing/2014/main" id="{A5B911C2-E505-4E6F-AA67-7EF8178BCF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2" name="Picture 31">
          <a:extLst>
            <a:ext uri="{FF2B5EF4-FFF2-40B4-BE49-F238E27FC236}">
              <a16:creationId xmlns:a16="http://schemas.microsoft.com/office/drawing/2014/main" id="{70626624-C071-46A5-AA04-17C699D080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3" name="Picture 31">
          <a:extLst>
            <a:ext uri="{FF2B5EF4-FFF2-40B4-BE49-F238E27FC236}">
              <a16:creationId xmlns:a16="http://schemas.microsoft.com/office/drawing/2014/main" id="{A2F8CC73-C8DC-4F10-8FEA-685FAF4547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4" name="Picture 31">
          <a:extLst>
            <a:ext uri="{FF2B5EF4-FFF2-40B4-BE49-F238E27FC236}">
              <a16:creationId xmlns:a16="http://schemas.microsoft.com/office/drawing/2014/main" id="{3C49C2AB-DA42-42E4-8487-D94BED08BE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5" name="Picture 31">
          <a:extLst>
            <a:ext uri="{FF2B5EF4-FFF2-40B4-BE49-F238E27FC236}">
              <a16:creationId xmlns:a16="http://schemas.microsoft.com/office/drawing/2014/main" id="{169A0D4F-F005-41F1-8846-EEDE48B910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6" name="Picture 31">
          <a:extLst>
            <a:ext uri="{FF2B5EF4-FFF2-40B4-BE49-F238E27FC236}">
              <a16:creationId xmlns:a16="http://schemas.microsoft.com/office/drawing/2014/main" id="{9E6DCCA0-CC1E-466E-A391-BFCE2F7D42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7" name="Picture 31">
          <a:extLst>
            <a:ext uri="{FF2B5EF4-FFF2-40B4-BE49-F238E27FC236}">
              <a16:creationId xmlns:a16="http://schemas.microsoft.com/office/drawing/2014/main" id="{F36AD5E3-9E2C-4C21-ADBC-D2027149E6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8" name="Picture 31">
          <a:extLst>
            <a:ext uri="{FF2B5EF4-FFF2-40B4-BE49-F238E27FC236}">
              <a16:creationId xmlns:a16="http://schemas.microsoft.com/office/drawing/2014/main" id="{5D596E94-4271-4C7D-BE15-49C82B6782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99" name="Picture 31">
          <a:extLst>
            <a:ext uri="{FF2B5EF4-FFF2-40B4-BE49-F238E27FC236}">
              <a16:creationId xmlns:a16="http://schemas.microsoft.com/office/drawing/2014/main" id="{A7257D39-D252-47E9-9159-2A9C51A6A0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0" name="Picture 31">
          <a:extLst>
            <a:ext uri="{FF2B5EF4-FFF2-40B4-BE49-F238E27FC236}">
              <a16:creationId xmlns:a16="http://schemas.microsoft.com/office/drawing/2014/main" id="{D8CC7C02-6D0C-4BBA-B636-6EDD5B6454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1" name="Picture 31">
          <a:extLst>
            <a:ext uri="{FF2B5EF4-FFF2-40B4-BE49-F238E27FC236}">
              <a16:creationId xmlns:a16="http://schemas.microsoft.com/office/drawing/2014/main" id="{23A7E26B-8D01-49B6-BA84-EABB58135E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2" name="Picture 31">
          <a:extLst>
            <a:ext uri="{FF2B5EF4-FFF2-40B4-BE49-F238E27FC236}">
              <a16:creationId xmlns:a16="http://schemas.microsoft.com/office/drawing/2014/main" id="{2B9BB0E7-FEC2-4CDE-BE12-40ED6AA91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3" name="Picture 31">
          <a:extLst>
            <a:ext uri="{FF2B5EF4-FFF2-40B4-BE49-F238E27FC236}">
              <a16:creationId xmlns:a16="http://schemas.microsoft.com/office/drawing/2014/main" id="{3E4C9EA0-32D1-425A-8106-E5BBE1D845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4" name="Picture 31">
          <a:extLst>
            <a:ext uri="{FF2B5EF4-FFF2-40B4-BE49-F238E27FC236}">
              <a16:creationId xmlns:a16="http://schemas.microsoft.com/office/drawing/2014/main" id="{F778FE73-9F27-4566-BF09-ABD1446089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5" name="Picture 31">
          <a:extLst>
            <a:ext uri="{FF2B5EF4-FFF2-40B4-BE49-F238E27FC236}">
              <a16:creationId xmlns:a16="http://schemas.microsoft.com/office/drawing/2014/main" id="{A56E4202-EB51-4848-8756-EF579303CA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6" name="Picture 31">
          <a:extLst>
            <a:ext uri="{FF2B5EF4-FFF2-40B4-BE49-F238E27FC236}">
              <a16:creationId xmlns:a16="http://schemas.microsoft.com/office/drawing/2014/main" id="{0FF50E73-B28B-4C46-A672-523A776F4F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7" name="Picture 31">
          <a:extLst>
            <a:ext uri="{FF2B5EF4-FFF2-40B4-BE49-F238E27FC236}">
              <a16:creationId xmlns:a16="http://schemas.microsoft.com/office/drawing/2014/main" id="{6EF9ACD2-FBF1-45C7-BE98-4D2CDE6323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8" name="Picture 31">
          <a:extLst>
            <a:ext uri="{FF2B5EF4-FFF2-40B4-BE49-F238E27FC236}">
              <a16:creationId xmlns:a16="http://schemas.microsoft.com/office/drawing/2014/main" id="{FBBC957C-DCEF-4983-96E4-63AE332D64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09" name="Picture 31">
          <a:extLst>
            <a:ext uri="{FF2B5EF4-FFF2-40B4-BE49-F238E27FC236}">
              <a16:creationId xmlns:a16="http://schemas.microsoft.com/office/drawing/2014/main" id="{3315C2B8-246E-4F27-8733-496DA2F744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0" name="Picture 31">
          <a:extLst>
            <a:ext uri="{FF2B5EF4-FFF2-40B4-BE49-F238E27FC236}">
              <a16:creationId xmlns:a16="http://schemas.microsoft.com/office/drawing/2014/main" id="{84B639A4-69E8-446B-97CC-7BEF54D3D0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1" name="Picture 31">
          <a:extLst>
            <a:ext uri="{FF2B5EF4-FFF2-40B4-BE49-F238E27FC236}">
              <a16:creationId xmlns:a16="http://schemas.microsoft.com/office/drawing/2014/main" id="{C5E1566D-F10A-4C9F-B1A2-BCECD8E8FE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2" name="Picture 31">
          <a:extLst>
            <a:ext uri="{FF2B5EF4-FFF2-40B4-BE49-F238E27FC236}">
              <a16:creationId xmlns:a16="http://schemas.microsoft.com/office/drawing/2014/main" id="{97139236-8A7D-4059-A1D3-81CF575236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3" name="Picture 31">
          <a:extLst>
            <a:ext uri="{FF2B5EF4-FFF2-40B4-BE49-F238E27FC236}">
              <a16:creationId xmlns:a16="http://schemas.microsoft.com/office/drawing/2014/main" id="{5FEEEBDA-B4FF-41C0-A0EC-DD2F1FBC42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4" name="Picture 31">
          <a:extLst>
            <a:ext uri="{FF2B5EF4-FFF2-40B4-BE49-F238E27FC236}">
              <a16:creationId xmlns:a16="http://schemas.microsoft.com/office/drawing/2014/main" id="{1FCC69D1-7188-45FB-A0E2-88F6C734BE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5" name="Picture 31">
          <a:extLst>
            <a:ext uri="{FF2B5EF4-FFF2-40B4-BE49-F238E27FC236}">
              <a16:creationId xmlns:a16="http://schemas.microsoft.com/office/drawing/2014/main" id="{65FE9C64-9B7B-45F3-B41F-F3F079BC8B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6" name="Picture 31">
          <a:extLst>
            <a:ext uri="{FF2B5EF4-FFF2-40B4-BE49-F238E27FC236}">
              <a16:creationId xmlns:a16="http://schemas.microsoft.com/office/drawing/2014/main" id="{819D4AB7-4989-47E6-ACF6-FF14486AC2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7" name="Picture 31">
          <a:extLst>
            <a:ext uri="{FF2B5EF4-FFF2-40B4-BE49-F238E27FC236}">
              <a16:creationId xmlns:a16="http://schemas.microsoft.com/office/drawing/2014/main" id="{77CC48A8-27D2-4161-8A12-C40AB07ADC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8" name="Picture 31">
          <a:extLst>
            <a:ext uri="{FF2B5EF4-FFF2-40B4-BE49-F238E27FC236}">
              <a16:creationId xmlns:a16="http://schemas.microsoft.com/office/drawing/2014/main" id="{5E50D4C9-CF48-4D86-963A-34048A4CF9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19" name="Picture 31">
          <a:extLst>
            <a:ext uri="{FF2B5EF4-FFF2-40B4-BE49-F238E27FC236}">
              <a16:creationId xmlns:a16="http://schemas.microsoft.com/office/drawing/2014/main" id="{04943CEF-B100-4C23-979E-86BD47E757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0" name="Picture 31">
          <a:extLst>
            <a:ext uri="{FF2B5EF4-FFF2-40B4-BE49-F238E27FC236}">
              <a16:creationId xmlns:a16="http://schemas.microsoft.com/office/drawing/2014/main" id="{3C14C2AF-6428-496D-AE08-5A3A5DBB69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1" name="Picture 31">
          <a:extLst>
            <a:ext uri="{FF2B5EF4-FFF2-40B4-BE49-F238E27FC236}">
              <a16:creationId xmlns:a16="http://schemas.microsoft.com/office/drawing/2014/main" id="{76153992-3652-4096-9E91-D3FB89D96E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2" name="Picture 31">
          <a:extLst>
            <a:ext uri="{FF2B5EF4-FFF2-40B4-BE49-F238E27FC236}">
              <a16:creationId xmlns:a16="http://schemas.microsoft.com/office/drawing/2014/main" id="{462A5DC4-6065-4041-94A5-E313EFBF7F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3" name="Picture 31">
          <a:extLst>
            <a:ext uri="{FF2B5EF4-FFF2-40B4-BE49-F238E27FC236}">
              <a16:creationId xmlns:a16="http://schemas.microsoft.com/office/drawing/2014/main" id="{265D6F2F-AA19-40F4-A632-E45FEFB9BD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4" name="Picture 31">
          <a:extLst>
            <a:ext uri="{FF2B5EF4-FFF2-40B4-BE49-F238E27FC236}">
              <a16:creationId xmlns:a16="http://schemas.microsoft.com/office/drawing/2014/main" id="{FEF9D067-87CD-4D85-A129-387833132F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5" name="Picture 31">
          <a:extLst>
            <a:ext uri="{FF2B5EF4-FFF2-40B4-BE49-F238E27FC236}">
              <a16:creationId xmlns:a16="http://schemas.microsoft.com/office/drawing/2014/main" id="{E0A7985F-3BAC-4FD8-ACBC-BCECA605FD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6" name="Picture 31">
          <a:extLst>
            <a:ext uri="{FF2B5EF4-FFF2-40B4-BE49-F238E27FC236}">
              <a16:creationId xmlns:a16="http://schemas.microsoft.com/office/drawing/2014/main" id="{E9D74E67-013D-4A5E-9F8F-740C45F413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7" name="Picture 31">
          <a:extLst>
            <a:ext uri="{FF2B5EF4-FFF2-40B4-BE49-F238E27FC236}">
              <a16:creationId xmlns:a16="http://schemas.microsoft.com/office/drawing/2014/main" id="{BEFDF72D-7A67-454A-8E00-79BC01F042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8" name="Picture 31">
          <a:extLst>
            <a:ext uri="{FF2B5EF4-FFF2-40B4-BE49-F238E27FC236}">
              <a16:creationId xmlns:a16="http://schemas.microsoft.com/office/drawing/2014/main" id="{4697FC04-FDB0-4D1F-AF6F-6423566CF7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29" name="Picture 31">
          <a:extLst>
            <a:ext uri="{FF2B5EF4-FFF2-40B4-BE49-F238E27FC236}">
              <a16:creationId xmlns:a16="http://schemas.microsoft.com/office/drawing/2014/main" id="{5EE8E22A-E83E-49AC-86CB-6751C285EE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0" name="Picture 31">
          <a:extLst>
            <a:ext uri="{FF2B5EF4-FFF2-40B4-BE49-F238E27FC236}">
              <a16:creationId xmlns:a16="http://schemas.microsoft.com/office/drawing/2014/main" id="{DAEE8F17-3595-4CB4-9518-6157205E59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1" name="Picture 31">
          <a:extLst>
            <a:ext uri="{FF2B5EF4-FFF2-40B4-BE49-F238E27FC236}">
              <a16:creationId xmlns:a16="http://schemas.microsoft.com/office/drawing/2014/main" id="{1F2D6057-7ADA-4704-B4AA-4116F68CAA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2" name="Picture 31">
          <a:extLst>
            <a:ext uri="{FF2B5EF4-FFF2-40B4-BE49-F238E27FC236}">
              <a16:creationId xmlns:a16="http://schemas.microsoft.com/office/drawing/2014/main" id="{40F6173B-D8D8-462E-BBE5-60365BA15A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3" name="Picture 31">
          <a:extLst>
            <a:ext uri="{FF2B5EF4-FFF2-40B4-BE49-F238E27FC236}">
              <a16:creationId xmlns:a16="http://schemas.microsoft.com/office/drawing/2014/main" id="{38272DD7-72EC-4906-940B-43E3D8EFF5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4" name="Picture 31">
          <a:extLst>
            <a:ext uri="{FF2B5EF4-FFF2-40B4-BE49-F238E27FC236}">
              <a16:creationId xmlns:a16="http://schemas.microsoft.com/office/drawing/2014/main" id="{2289D5ED-60E3-4BB8-8554-9D35CEFE7E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5" name="Picture 31">
          <a:extLst>
            <a:ext uri="{FF2B5EF4-FFF2-40B4-BE49-F238E27FC236}">
              <a16:creationId xmlns:a16="http://schemas.microsoft.com/office/drawing/2014/main" id="{05E23920-423C-4D4A-B193-300382DEAC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6" name="Picture 31">
          <a:extLst>
            <a:ext uri="{FF2B5EF4-FFF2-40B4-BE49-F238E27FC236}">
              <a16:creationId xmlns:a16="http://schemas.microsoft.com/office/drawing/2014/main" id="{569C189F-DABF-4818-AF2E-5FC771EE97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7" name="Picture 31">
          <a:extLst>
            <a:ext uri="{FF2B5EF4-FFF2-40B4-BE49-F238E27FC236}">
              <a16:creationId xmlns:a16="http://schemas.microsoft.com/office/drawing/2014/main" id="{3D0EDD40-26C1-4219-B6AF-EA2DDE3083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8" name="Picture 31">
          <a:extLst>
            <a:ext uri="{FF2B5EF4-FFF2-40B4-BE49-F238E27FC236}">
              <a16:creationId xmlns:a16="http://schemas.microsoft.com/office/drawing/2014/main" id="{79A28415-1075-4CDE-97C5-CDD106E51A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39" name="Picture 31">
          <a:extLst>
            <a:ext uri="{FF2B5EF4-FFF2-40B4-BE49-F238E27FC236}">
              <a16:creationId xmlns:a16="http://schemas.microsoft.com/office/drawing/2014/main" id="{3442F731-AF9C-49B8-B8C4-C8F13F7C05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0" name="Picture 31">
          <a:extLst>
            <a:ext uri="{FF2B5EF4-FFF2-40B4-BE49-F238E27FC236}">
              <a16:creationId xmlns:a16="http://schemas.microsoft.com/office/drawing/2014/main" id="{268DFFEC-7E08-4966-B285-B0520CB74E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1" name="Picture 31">
          <a:extLst>
            <a:ext uri="{FF2B5EF4-FFF2-40B4-BE49-F238E27FC236}">
              <a16:creationId xmlns:a16="http://schemas.microsoft.com/office/drawing/2014/main" id="{1D9B93B9-0F7E-4F7B-84F7-A066D32AB4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2" name="Picture 31">
          <a:extLst>
            <a:ext uri="{FF2B5EF4-FFF2-40B4-BE49-F238E27FC236}">
              <a16:creationId xmlns:a16="http://schemas.microsoft.com/office/drawing/2014/main" id="{E297F55D-BFD1-49BA-B33C-60FA28F21F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3" name="Picture 31">
          <a:extLst>
            <a:ext uri="{FF2B5EF4-FFF2-40B4-BE49-F238E27FC236}">
              <a16:creationId xmlns:a16="http://schemas.microsoft.com/office/drawing/2014/main" id="{A58452F9-E548-40FA-98BE-AAD1AF6C29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4" name="Picture 31">
          <a:extLst>
            <a:ext uri="{FF2B5EF4-FFF2-40B4-BE49-F238E27FC236}">
              <a16:creationId xmlns:a16="http://schemas.microsoft.com/office/drawing/2014/main" id="{0F720B44-4815-43FF-87FE-3FE6B08CD2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5" name="Picture 31">
          <a:extLst>
            <a:ext uri="{FF2B5EF4-FFF2-40B4-BE49-F238E27FC236}">
              <a16:creationId xmlns:a16="http://schemas.microsoft.com/office/drawing/2014/main" id="{566F6AAF-7FB6-4A9C-B277-B23B7E39B7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6" name="Picture 31">
          <a:extLst>
            <a:ext uri="{FF2B5EF4-FFF2-40B4-BE49-F238E27FC236}">
              <a16:creationId xmlns:a16="http://schemas.microsoft.com/office/drawing/2014/main" id="{DC902F09-3EB6-43A6-AC4E-6678570B14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7" name="Picture 31">
          <a:extLst>
            <a:ext uri="{FF2B5EF4-FFF2-40B4-BE49-F238E27FC236}">
              <a16:creationId xmlns:a16="http://schemas.microsoft.com/office/drawing/2014/main" id="{5AA93448-3488-4EC4-94AB-71AC60E45A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8" name="Picture 31">
          <a:extLst>
            <a:ext uri="{FF2B5EF4-FFF2-40B4-BE49-F238E27FC236}">
              <a16:creationId xmlns:a16="http://schemas.microsoft.com/office/drawing/2014/main" id="{57EC4DAB-B34D-41A2-BC33-2EA129C3BC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49" name="Picture 31">
          <a:extLst>
            <a:ext uri="{FF2B5EF4-FFF2-40B4-BE49-F238E27FC236}">
              <a16:creationId xmlns:a16="http://schemas.microsoft.com/office/drawing/2014/main" id="{4B3961C6-543A-49EB-ABA0-D76CA2DFA8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0" name="Picture 31">
          <a:extLst>
            <a:ext uri="{FF2B5EF4-FFF2-40B4-BE49-F238E27FC236}">
              <a16:creationId xmlns:a16="http://schemas.microsoft.com/office/drawing/2014/main" id="{4EF3BD91-B9FB-47A7-9AE8-A1B26C72B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1" name="Picture 31">
          <a:extLst>
            <a:ext uri="{FF2B5EF4-FFF2-40B4-BE49-F238E27FC236}">
              <a16:creationId xmlns:a16="http://schemas.microsoft.com/office/drawing/2014/main" id="{B80F6274-7588-4D8F-8B55-40F178FDB5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2" name="Picture 31">
          <a:extLst>
            <a:ext uri="{FF2B5EF4-FFF2-40B4-BE49-F238E27FC236}">
              <a16:creationId xmlns:a16="http://schemas.microsoft.com/office/drawing/2014/main" id="{434B0EC1-34D2-4EDD-90BE-9547D3CAC4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3" name="Picture 31">
          <a:extLst>
            <a:ext uri="{FF2B5EF4-FFF2-40B4-BE49-F238E27FC236}">
              <a16:creationId xmlns:a16="http://schemas.microsoft.com/office/drawing/2014/main" id="{D9403B07-BB67-46FF-9CA0-0F43AA7A74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4" name="Picture 31">
          <a:extLst>
            <a:ext uri="{FF2B5EF4-FFF2-40B4-BE49-F238E27FC236}">
              <a16:creationId xmlns:a16="http://schemas.microsoft.com/office/drawing/2014/main" id="{D6A4F9A0-C7CE-4FE4-B3E2-B48FDA6EA5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5" name="Picture 31">
          <a:extLst>
            <a:ext uri="{FF2B5EF4-FFF2-40B4-BE49-F238E27FC236}">
              <a16:creationId xmlns:a16="http://schemas.microsoft.com/office/drawing/2014/main" id="{EBA8AB1A-17BC-4253-A00E-7FFCDA3E65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6" name="Picture 31">
          <a:extLst>
            <a:ext uri="{FF2B5EF4-FFF2-40B4-BE49-F238E27FC236}">
              <a16:creationId xmlns:a16="http://schemas.microsoft.com/office/drawing/2014/main" id="{BD9C62AE-AD0A-4245-A695-F084449D10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7" name="Picture 31">
          <a:extLst>
            <a:ext uri="{FF2B5EF4-FFF2-40B4-BE49-F238E27FC236}">
              <a16:creationId xmlns:a16="http://schemas.microsoft.com/office/drawing/2014/main" id="{3102099C-5D19-42F6-8DA8-C6B5554E3E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8" name="Picture 31">
          <a:extLst>
            <a:ext uri="{FF2B5EF4-FFF2-40B4-BE49-F238E27FC236}">
              <a16:creationId xmlns:a16="http://schemas.microsoft.com/office/drawing/2014/main" id="{72A01816-9CDC-4B09-9004-176D3AC3EC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59" name="Picture 31">
          <a:extLst>
            <a:ext uri="{FF2B5EF4-FFF2-40B4-BE49-F238E27FC236}">
              <a16:creationId xmlns:a16="http://schemas.microsoft.com/office/drawing/2014/main" id="{C9B1FB9B-4EB2-4122-807B-8EE6E6FDE3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0" name="Picture 31">
          <a:extLst>
            <a:ext uri="{FF2B5EF4-FFF2-40B4-BE49-F238E27FC236}">
              <a16:creationId xmlns:a16="http://schemas.microsoft.com/office/drawing/2014/main" id="{1F4CAECB-0EA0-45F6-AE72-0F01C894BF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1" name="Picture 31">
          <a:extLst>
            <a:ext uri="{FF2B5EF4-FFF2-40B4-BE49-F238E27FC236}">
              <a16:creationId xmlns:a16="http://schemas.microsoft.com/office/drawing/2014/main" id="{CF434CD9-76FA-4BA6-865E-E54ED2FC4D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2" name="Picture 31">
          <a:extLst>
            <a:ext uri="{FF2B5EF4-FFF2-40B4-BE49-F238E27FC236}">
              <a16:creationId xmlns:a16="http://schemas.microsoft.com/office/drawing/2014/main" id="{84B52B58-4996-4463-B485-F677B8318E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3" name="Picture 31">
          <a:extLst>
            <a:ext uri="{FF2B5EF4-FFF2-40B4-BE49-F238E27FC236}">
              <a16:creationId xmlns:a16="http://schemas.microsoft.com/office/drawing/2014/main" id="{B385F6ED-5C4D-4DA1-8F89-CA7556F10E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4" name="Picture 31">
          <a:extLst>
            <a:ext uri="{FF2B5EF4-FFF2-40B4-BE49-F238E27FC236}">
              <a16:creationId xmlns:a16="http://schemas.microsoft.com/office/drawing/2014/main" id="{B5A37C1F-19D7-4B28-AA94-AF64C7B4B1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5" name="Picture 31">
          <a:extLst>
            <a:ext uri="{FF2B5EF4-FFF2-40B4-BE49-F238E27FC236}">
              <a16:creationId xmlns:a16="http://schemas.microsoft.com/office/drawing/2014/main" id="{E5240645-9B6B-4790-83E2-941B698712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6" name="Picture 31">
          <a:extLst>
            <a:ext uri="{FF2B5EF4-FFF2-40B4-BE49-F238E27FC236}">
              <a16:creationId xmlns:a16="http://schemas.microsoft.com/office/drawing/2014/main" id="{9C504668-CC2D-4D95-8605-1593D8ADD7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7" name="Picture 31">
          <a:extLst>
            <a:ext uri="{FF2B5EF4-FFF2-40B4-BE49-F238E27FC236}">
              <a16:creationId xmlns:a16="http://schemas.microsoft.com/office/drawing/2014/main" id="{B86657F8-CF25-40B4-BB77-8CAC9865FE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8" name="Picture 31">
          <a:extLst>
            <a:ext uri="{FF2B5EF4-FFF2-40B4-BE49-F238E27FC236}">
              <a16:creationId xmlns:a16="http://schemas.microsoft.com/office/drawing/2014/main" id="{E09ED11D-6CBA-4853-A29D-26788AC90C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69" name="Picture 31">
          <a:extLst>
            <a:ext uri="{FF2B5EF4-FFF2-40B4-BE49-F238E27FC236}">
              <a16:creationId xmlns:a16="http://schemas.microsoft.com/office/drawing/2014/main" id="{9507BA3C-0984-493E-8D97-C4BD09F69A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0" name="Picture 31">
          <a:extLst>
            <a:ext uri="{FF2B5EF4-FFF2-40B4-BE49-F238E27FC236}">
              <a16:creationId xmlns:a16="http://schemas.microsoft.com/office/drawing/2014/main" id="{104269FD-7C70-4149-801D-C4621FBBCD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1" name="Picture 31">
          <a:extLst>
            <a:ext uri="{FF2B5EF4-FFF2-40B4-BE49-F238E27FC236}">
              <a16:creationId xmlns:a16="http://schemas.microsoft.com/office/drawing/2014/main" id="{1740B82A-80FA-4067-89B6-3041853377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2" name="Picture 31">
          <a:extLst>
            <a:ext uri="{FF2B5EF4-FFF2-40B4-BE49-F238E27FC236}">
              <a16:creationId xmlns:a16="http://schemas.microsoft.com/office/drawing/2014/main" id="{EEADB478-53D5-4741-A1CC-722C8112F9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3" name="Picture 31">
          <a:extLst>
            <a:ext uri="{FF2B5EF4-FFF2-40B4-BE49-F238E27FC236}">
              <a16:creationId xmlns:a16="http://schemas.microsoft.com/office/drawing/2014/main" id="{8A80B953-8261-45C7-BF5F-B1D349A201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4" name="Picture 31">
          <a:extLst>
            <a:ext uri="{FF2B5EF4-FFF2-40B4-BE49-F238E27FC236}">
              <a16:creationId xmlns:a16="http://schemas.microsoft.com/office/drawing/2014/main" id="{C8412140-F193-4A40-B9C9-9F11D8872B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5" name="Picture 31">
          <a:extLst>
            <a:ext uri="{FF2B5EF4-FFF2-40B4-BE49-F238E27FC236}">
              <a16:creationId xmlns:a16="http://schemas.microsoft.com/office/drawing/2014/main" id="{CA63B77E-AF27-457B-924D-033AC98CCE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6" name="Picture 31">
          <a:extLst>
            <a:ext uri="{FF2B5EF4-FFF2-40B4-BE49-F238E27FC236}">
              <a16:creationId xmlns:a16="http://schemas.microsoft.com/office/drawing/2014/main" id="{F36257DF-3D91-405E-9BEE-155F07B3AD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7" name="Picture 31">
          <a:extLst>
            <a:ext uri="{FF2B5EF4-FFF2-40B4-BE49-F238E27FC236}">
              <a16:creationId xmlns:a16="http://schemas.microsoft.com/office/drawing/2014/main" id="{B027EF88-0025-4866-ADC5-5EF7B01420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8" name="Picture 31">
          <a:extLst>
            <a:ext uri="{FF2B5EF4-FFF2-40B4-BE49-F238E27FC236}">
              <a16:creationId xmlns:a16="http://schemas.microsoft.com/office/drawing/2014/main" id="{ED0C586B-47C4-489C-94B2-6F1E802E5F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79" name="Picture 31">
          <a:extLst>
            <a:ext uri="{FF2B5EF4-FFF2-40B4-BE49-F238E27FC236}">
              <a16:creationId xmlns:a16="http://schemas.microsoft.com/office/drawing/2014/main" id="{A7518F40-96EA-46DB-9FA6-6BAC2F7681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0" name="Picture 31">
          <a:extLst>
            <a:ext uri="{FF2B5EF4-FFF2-40B4-BE49-F238E27FC236}">
              <a16:creationId xmlns:a16="http://schemas.microsoft.com/office/drawing/2014/main" id="{D5156670-C65C-4004-8DB9-CFB5863DAD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1" name="Picture 31">
          <a:extLst>
            <a:ext uri="{FF2B5EF4-FFF2-40B4-BE49-F238E27FC236}">
              <a16:creationId xmlns:a16="http://schemas.microsoft.com/office/drawing/2014/main" id="{A8869AD2-481C-4704-9610-ACDE92843F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2" name="Picture 31">
          <a:extLst>
            <a:ext uri="{FF2B5EF4-FFF2-40B4-BE49-F238E27FC236}">
              <a16:creationId xmlns:a16="http://schemas.microsoft.com/office/drawing/2014/main" id="{58BF03FF-9612-4D07-8CE6-C8F25408B0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3" name="Picture 31">
          <a:extLst>
            <a:ext uri="{FF2B5EF4-FFF2-40B4-BE49-F238E27FC236}">
              <a16:creationId xmlns:a16="http://schemas.microsoft.com/office/drawing/2014/main" id="{617964E1-029F-4567-ACC1-2068568A655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4" name="Picture 31">
          <a:extLst>
            <a:ext uri="{FF2B5EF4-FFF2-40B4-BE49-F238E27FC236}">
              <a16:creationId xmlns:a16="http://schemas.microsoft.com/office/drawing/2014/main" id="{23BA74C2-C3BF-4A50-8008-5F4A4FE8B3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5" name="Picture 31">
          <a:extLst>
            <a:ext uri="{FF2B5EF4-FFF2-40B4-BE49-F238E27FC236}">
              <a16:creationId xmlns:a16="http://schemas.microsoft.com/office/drawing/2014/main" id="{357EA7E2-550F-4BDE-B766-2C670DAB9A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6" name="Picture 31">
          <a:extLst>
            <a:ext uri="{FF2B5EF4-FFF2-40B4-BE49-F238E27FC236}">
              <a16:creationId xmlns:a16="http://schemas.microsoft.com/office/drawing/2014/main" id="{ADD2BAB8-B418-4B03-8949-609F4A8FCE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7" name="Picture 31">
          <a:extLst>
            <a:ext uri="{FF2B5EF4-FFF2-40B4-BE49-F238E27FC236}">
              <a16:creationId xmlns:a16="http://schemas.microsoft.com/office/drawing/2014/main" id="{8F9AC77D-AF1F-4630-919E-6E9CC9500C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8" name="Picture 31">
          <a:extLst>
            <a:ext uri="{FF2B5EF4-FFF2-40B4-BE49-F238E27FC236}">
              <a16:creationId xmlns:a16="http://schemas.microsoft.com/office/drawing/2014/main" id="{C8A28BA8-61BC-4AC5-9E27-C866FA3A96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89" name="Picture 31">
          <a:extLst>
            <a:ext uri="{FF2B5EF4-FFF2-40B4-BE49-F238E27FC236}">
              <a16:creationId xmlns:a16="http://schemas.microsoft.com/office/drawing/2014/main" id="{DB688595-4576-483B-A684-7C14766D8E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0" name="Picture 31">
          <a:extLst>
            <a:ext uri="{FF2B5EF4-FFF2-40B4-BE49-F238E27FC236}">
              <a16:creationId xmlns:a16="http://schemas.microsoft.com/office/drawing/2014/main" id="{096BB191-0C58-421E-A7B2-42C328633A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1" name="Picture 31">
          <a:extLst>
            <a:ext uri="{FF2B5EF4-FFF2-40B4-BE49-F238E27FC236}">
              <a16:creationId xmlns:a16="http://schemas.microsoft.com/office/drawing/2014/main" id="{BF6D6EEB-5C4C-4325-B33E-CA5F645E5C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2" name="Picture 31">
          <a:extLst>
            <a:ext uri="{FF2B5EF4-FFF2-40B4-BE49-F238E27FC236}">
              <a16:creationId xmlns:a16="http://schemas.microsoft.com/office/drawing/2014/main" id="{A6BF5ED8-3186-4258-93C1-9DA1B6D52C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3" name="Picture 31">
          <a:extLst>
            <a:ext uri="{FF2B5EF4-FFF2-40B4-BE49-F238E27FC236}">
              <a16:creationId xmlns:a16="http://schemas.microsoft.com/office/drawing/2014/main" id="{CFD9FC21-E396-4DDB-B998-19371669A9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4" name="Picture 31">
          <a:extLst>
            <a:ext uri="{FF2B5EF4-FFF2-40B4-BE49-F238E27FC236}">
              <a16:creationId xmlns:a16="http://schemas.microsoft.com/office/drawing/2014/main" id="{4DEBA236-2768-4EA2-A764-186B8844EC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5" name="Picture 31">
          <a:extLst>
            <a:ext uri="{FF2B5EF4-FFF2-40B4-BE49-F238E27FC236}">
              <a16:creationId xmlns:a16="http://schemas.microsoft.com/office/drawing/2014/main" id="{6B5BE308-E8FE-4269-9EC0-9F00991977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6" name="Picture 31">
          <a:extLst>
            <a:ext uri="{FF2B5EF4-FFF2-40B4-BE49-F238E27FC236}">
              <a16:creationId xmlns:a16="http://schemas.microsoft.com/office/drawing/2014/main" id="{37A2ED26-619A-49F1-AE65-2BBF982C66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7" name="Picture 31">
          <a:extLst>
            <a:ext uri="{FF2B5EF4-FFF2-40B4-BE49-F238E27FC236}">
              <a16:creationId xmlns:a16="http://schemas.microsoft.com/office/drawing/2014/main" id="{EE776BC2-BAE7-475E-9F48-39FE30C700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8" name="Picture 31">
          <a:extLst>
            <a:ext uri="{FF2B5EF4-FFF2-40B4-BE49-F238E27FC236}">
              <a16:creationId xmlns:a16="http://schemas.microsoft.com/office/drawing/2014/main" id="{22469C24-2649-4192-8165-028AA98F04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299" name="Picture 31">
          <a:extLst>
            <a:ext uri="{FF2B5EF4-FFF2-40B4-BE49-F238E27FC236}">
              <a16:creationId xmlns:a16="http://schemas.microsoft.com/office/drawing/2014/main" id="{35E4BCF5-6CC7-4092-9FA7-D6B118F76D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0" name="Picture 31">
          <a:extLst>
            <a:ext uri="{FF2B5EF4-FFF2-40B4-BE49-F238E27FC236}">
              <a16:creationId xmlns:a16="http://schemas.microsoft.com/office/drawing/2014/main" id="{17831F9F-37C9-456F-9BFE-BCE7E0B6B9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1" name="Picture 31">
          <a:extLst>
            <a:ext uri="{FF2B5EF4-FFF2-40B4-BE49-F238E27FC236}">
              <a16:creationId xmlns:a16="http://schemas.microsoft.com/office/drawing/2014/main" id="{8DB69668-9966-4F0F-9F2C-837D3A4905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2" name="Picture 31">
          <a:extLst>
            <a:ext uri="{FF2B5EF4-FFF2-40B4-BE49-F238E27FC236}">
              <a16:creationId xmlns:a16="http://schemas.microsoft.com/office/drawing/2014/main" id="{EED79234-91E3-43DA-B9CC-65260710C0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3" name="Picture 31">
          <a:extLst>
            <a:ext uri="{FF2B5EF4-FFF2-40B4-BE49-F238E27FC236}">
              <a16:creationId xmlns:a16="http://schemas.microsoft.com/office/drawing/2014/main" id="{37BBFC68-8C7D-48A7-9351-60F5630C12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4" name="Picture 31">
          <a:extLst>
            <a:ext uri="{FF2B5EF4-FFF2-40B4-BE49-F238E27FC236}">
              <a16:creationId xmlns:a16="http://schemas.microsoft.com/office/drawing/2014/main" id="{3E4B5A08-43F4-4E67-8593-B0555E744A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5" name="Picture 31">
          <a:extLst>
            <a:ext uri="{FF2B5EF4-FFF2-40B4-BE49-F238E27FC236}">
              <a16:creationId xmlns:a16="http://schemas.microsoft.com/office/drawing/2014/main" id="{B0D8A76B-33C3-4074-9BDF-5C38BFDFE8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6" name="Picture 31">
          <a:extLst>
            <a:ext uri="{FF2B5EF4-FFF2-40B4-BE49-F238E27FC236}">
              <a16:creationId xmlns:a16="http://schemas.microsoft.com/office/drawing/2014/main" id="{4C36B7C8-D691-413D-BB0F-83A7EFBC3CE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7" name="Picture 31">
          <a:extLst>
            <a:ext uri="{FF2B5EF4-FFF2-40B4-BE49-F238E27FC236}">
              <a16:creationId xmlns:a16="http://schemas.microsoft.com/office/drawing/2014/main" id="{D60D12A5-242D-4869-8834-918E3D5E2B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8" name="Picture 31">
          <a:extLst>
            <a:ext uri="{FF2B5EF4-FFF2-40B4-BE49-F238E27FC236}">
              <a16:creationId xmlns:a16="http://schemas.microsoft.com/office/drawing/2014/main" id="{39711E4B-4B13-410C-A318-36101B85E1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09" name="Picture 31">
          <a:extLst>
            <a:ext uri="{FF2B5EF4-FFF2-40B4-BE49-F238E27FC236}">
              <a16:creationId xmlns:a16="http://schemas.microsoft.com/office/drawing/2014/main" id="{939AFD0C-0A97-4C94-8928-D5847472F7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0" name="Picture 31">
          <a:extLst>
            <a:ext uri="{FF2B5EF4-FFF2-40B4-BE49-F238E27FC236}">
              <a16:creationId xmlns:a16="http://schemas.microsoft.com/office/drawing/2014/main" id="{4C89E4A0-D497-4CAA-9242-E3747CC72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1" name="Picture 31">
          <a:extLst>
            <a:ext uri="{FF2B5EF4-FFF2-40B4-BE49-F238E27FC236}">
              <a16:creationId xmlns:a16="http://schemas.microsoft.com/office/drawing/2014/main" id="{04F10844-DA40-43CC-AFE1-BB2B60AB1E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2" name="Picture 31">
          <a:extLst>
            <a:ext uri="{FF2B5EF4-FFF2-40B4-BE49-F238E27FC236}">
              <a16:creationId xmlns:a16="http://schemas.microsoft.com/office/drawing/2014/main" id="{8C6D1025-60CC-4730-82A2-EB7870CFA9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3" name="Picture 31">
          <a:extLst>
            <a:ext uri="{FF2B5EF4-FFF2-40B4-BE49-F238E27FC236}">
              <a16:creationId xmlns:a16="http://schemas.microsoft.com/office/drawing/2014/main" id="{FDB64792-A418-4539-BA4B-70685EAAAF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4" name="Picture 31">
          <a:extLst>
            <a:ext uri="{FF2B5EF4-FFF2-40B4-BE49-F238E27FC236}">
              <a16:creationId xmlns:a16="http://schemas.microsoft.com/office/drawing/2014/main" id="{A24AE473-8949-4DB6-A2C2-A56E6E02F9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5" name="Picture 31">
          <a:extLst>
            <a:ext uri="{FF2B5EF4-FFF2-40B4-BE49-F238E27FC236}">
              <a16:creationId xmlns:a16="http://schemas.microsoft.com/office/drawing/2014/main" id="{C6C5379D-34AC-4EAA-9608-B8AE3D0526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6" name="Picture 31">
          <a:extLst>
            <a:ext uri="{FF2B5EF4-FFF2-40B4-BE49-F238E27FC236}">
              <a16:creationId xmlns:a16="http://schemas.microsoft.com/office/drawing/2014/main" id="{C3CA2525-715B-48F0-B8A7-158688FE03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7" name="Picture 31">
          <a:extLst>
            <a:ext uri="{FF2B5EF4-FFF2-40B4-BE49-F238E27FC236}">
              <a16:creationId xmlns:a16="http://schemas.microsoft.com/office/drawing/2014/main" id="{6EABA698-FF77-4AAE-A306-42263BB8B5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8" name="Picture 31">
          <a:extLst>
            <a:ext uri="{FF2B5EF4-FFF2-40B4-BE49-F238E27FC236}">
              <a16:creationId xmlns:a16="http://schemas.microsoft.com/office/drawing/2014/main" id="{26217856-E8E7-4D03-9E73-E1E313916C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19" name="Picture 31">
          <a:extLst>
            <a:ext uri="{FF2B5EF4-FFF2-40B4-BE49-F238E27FC236}">
              <a16:creationId xmlns:a16="http://schemas.microsoft.com/office/drawing/2014/main" id="{E5038C82-C8FE-41E0-BDE4-A70F3D29C2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0" name="Picture 31">
          <a:extLst>
            <a:ext uri="{FF2B5EF4-FFF2-40B4-BE49-F238E27FC236}">
              <a16:creationId xmlns:a16="http://schemas.microsoft.com/office/drawing/2014/main" id="{40779470-A173-43A2-888E-938C06161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1" name="Picture 31">
          <a:extLst>
            <a:ext uri="{FF2B5EF4-FFF2-40B4-BE49-F238E27FC236}">
              <a16:creationId xmlns:a16="http://schemas.microsoft.com/office/drawing/2014/main" id="{635341EC-0508-4FDF-8E2C-B6457246B6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2" name="Picture 31">
          <a:extLst>
            <a:ext uri="{FF2B5EF4-FFF2-40B4-BE49-F238E27FC236}">
              <a16:creationId xmlns:a16="http://schemas.microsoft.com/office/drawing/2014/main" id="{33713BE5-2841-4D86-9F37-CB10D8898B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3" name="Picture 31">
          <a:extLst>
            <a:ext uri="{FF2B5EF4-FFF2-40B4-BE49-F238E27FC236}">
              <a16:creationId xmlns:a16="http://schemas.microsoft.com/office/drawing/2014/main" id="{14B126C5-2244-4737-83B1-7B7DA0F2A8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4" name="Picture 31">
          <a:extLst>
            <a:ext uri="{FF2B5EF4-FFF2-40B4-BE49-F238E27FC236}">
              <a16:creationId xmlns:a16="http://schemas.microsoft.com/office/drawing/2014/main" id="{213C67FE-BDDD-4920-83EA-4202C5565A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5" name="Picture 31">
          <a:extLst>
            <a:ext uri="{FF2B5EF4-FFF2-40B4-BE49-F238E27FC236}">
              <a16:creationId xmlns:a16="http://schemas.microsoft.com/office/drawing/2014/main" id="{8FCE54C7-23F5-4FC9-AB65-82B8FB2523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6" name="Picture 31">
          <a:extLst>
            <a:ext uri="{FF2B5EF4-FFF2-40B4-BE49-F238E27FC236}">
              <a16:creationId xmlns:a16="http://schemas.microsoft.com/office/drawing/2014/main" id="{C48007F2-06D2-49B8-829B-7CAF8284AA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7" name="Picture 31">
          <a:extLst>
            <a:ext uri="{FF2B5EF4-FFF2-40B4-BE49-F238E27FC236}">
              <a16:creationId xmlns:a16="http://schemas.microsoft.com/office/drawing/2014/main" id="{4AEB45F6-C253-4683-B561-E6E6F341AB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8" name="Picture 31">
          <a:extLst>
            <a:ext uri="{FF2B5EF4-FFF2-40B4-BE49-F238E27FC236}">
              <a16:creationId xmlns:a16="http://schemas.microsoft.com/office/drawing/2014/main" id="{4C328993-B62F-41EC-B6C4-68033DAF9B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29" name="Picture 31">
          <a:extLst>
            <a:ext uri="{FF2B5EF4-FFF2-40B4-BE49-F238E27FC236}">
              <a16:creationId xmlns:a16="http://schemas.microsoft.com/office/drawing/2014/main" id="{A5A28397-5D7F-4F50-8839-532B24F5E68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0" name="Picture 31">
          <a:extLst>
            <a:ext uri="{FF2B5EF4-FFF2-40B4-BE49-F238E27FC236}">
              <a16:creationId xmlns:a16="http://schemas.microsoft.com/office/drawing/2014/main" id="{19AE82CC-126E-4B01-9559-20FDD118C3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1" name="Picture 31">
          <a:extLst>
            <a:ext uri="{FF2B5EF4-FFF2-40B4-BE49-F238E27FC236}">
              <a16:creationId xmlns:a16="http://schemas.microsoft.com/office/drawing/2014/main" id="{4D8B3119-B622-4532-9983-478FF1DF96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2" name="Picture 31">
          <a:extLst>
            <a:ext uri="{FF2B5EF4-FFF2-40B4-BE49-F238E27FC236}">
              <a16:creationId xmlns:a16="http://schemas.microsoft.com/office/drawing/2014/main" id="{3982F78C-9B70-414E-86EA-C6BB659FC6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3" name="Picture 31">
          <a:extLst>
            <a:ext uri="{FF2B5EF4-FFF2-40B4-BE49-F238E27FC236}">
              <a16:creationId xmlns:a16="http://schemas.microsoft.com/office/drawing/2014/main" id="{CE8D346F-8C57-4FAB-A87E-EDF43B588E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4" name="Picture 31">
          <a:extLst>
            <a:ext uri="{FF2B5EF4-FFF2-40B4-BE49-F238E27FC236}">
              <a16:creationId xmlns:a16="http://schemas.microsoft.com/office/drawing/2014/main" id="{107CBCA8-96F5-41D1-98E5-6B256973C1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5" name="Picture 31">
          <a:extLst>
            <a:ext uri="{FF2B5EF4-FFF2-40B4-BE49-F238E27FC236}">
              <a16:creationId xmlns:a16="http://schemas.microsoft.com/office/drawing/2014/main" id="{8051AE6B-4413-4ABA-8DD5-FF057BE6D6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6" name="Picture 31">
          <a:extLst>
            <a:ext uri="{FF2B5EF4-FFF2-40B4-BE49-F238E27FC236}">
              <a16:creationId xmlns:a16="http://schemas.microsoft.com/office/drawing/2014/main" id="{85D27F3F-04B6-4593-BB57-CF98F16AF7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7" name="Picture 31">
          <a:extLst>
            <a:ext uri="{FF2B5EF4-FFF2-40B4-BE49-F238E27FC236}">
              <a16:creationId xmlns:a16="http://schemas.microsoft.com/office/drawing/2014/main" id="{A2A57CCF-03A7-4401-A80A-F653F9545D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8" name="Picture 31">
          <a:extLst>
            <a:ext uri="{FF2B5EF4-FFF2-40B4-BE49-F238E27FC236}">
              <a16:creationId xmlns:a16="http://schemas.microsoft.com/office/drawing/2014/main" id="{507CEC10-1088-4C49-8F0B-7406DF4D1F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39" name="Picture 31">
          <a:extLst>
            <a:ext uri="{FF2B5EF4-FFF2-40B4-BE49-F238E27FC236}">
              <a16:creationId xmlns:a16="http://schemas.microsoft.com/office/drawing/2014/main" id="{C141D247-F9F7-4001-A8F1-64FAE5F286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0" name="Picture 31">
          <a:extLst>
            <a:ext uri="{FF2B5EF4-FFF2-40B4-BE49-F238E27FC236}">
              <a16:creationId xmlns:a16="http://schemas.microsoft.com/office/drawing/2014/main" id="{80495E5E-7C58-4685-B9E2-5509007516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1" name="Picture 31">
          <a:extLst>
            <a:ext uri="{FF2B5EF4-FFF2-40B4-BE49-F238E27FC236}">
              <a16:creationId xmlns:a16="http://schemas.microsoft.com/office/drawing/2014/main" id="{2CA2CFB8-308C-411A-AD7E-2844501ACE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2" name="Picture 31">
          <a:extLst>
            <a:ext uri="{FF2B5EF4-FFF2-40B4-BE49-F238E27FC236}">
              <a16:creationId xmlns:a16="http://schemas.microsoft.com/office/drawing/2014/main" id="{ACD6E262-D3B0-47DD-92E5-1BFC5EEB1F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3" name="Picture 31">
          <a:extLst>
            <a:ext uri="{FF2B5EF4-FFF2-40B4-BE49-F238E27FC236}">
              <a16:creationId xmlns:a16="http://schemas.microsoft.com/office/drawing/2014/main" id="{C8C4F0FB-2C9D-4E2B-BD03-21FB922420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4" name="Picture 31">
          <a:extLst>
            <a:ext uri="{FF2B5EF4-FFF2-40B4-BE49-F238E27FC236}">
              <a16:creationId xmlns:a16="http://schemas.microsoft.com/office/drawing/2014/main" id="{E224123C-6BB6-4FF2-AC63-6251C54718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5" name="Picture 31">
          <a:extLst>
            <a:ext uri="{FF2B5EF4-FFF2-40B4-BE49-F238E27FC236}">
              <a16:creationId xmlns:a16="http://schemas.microsoft.com/office/drawing/2014/main" id="{BB5E637C-FFDD-4064-BDE4-85E7BBEE22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6" name="Picture 31">
          <a:extLst>
            <a:ext uri="{FF2B5EF4-FFF2-40B4-BE49-F238E27FC236}">
              <a16:creationId xmlns:a16="http://schemas.microsoft.com/office/drawing/2014/main" id="{628A8DED-F3E9-4F35-B444-9E6C30E57A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7" name="Picture 31">
          <a:extLst>
            <a:ext uri="{FF2B5EF4-FFF2-40B4-BE49-F238E27FC236}">
              <a16:creationId xmlns:a16="http://schemas.microsoft.com/office/drawing/2014/main" id="{43854981-858F-4100-92DF-23D8B74F36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8" name="Picture 31">
          <a:extLst>
            <a:ext uri="{FF2B5EF4-FFF2-40B4-BE49-F238E27FC236}">
              <a16:creationId xmlns:a16="http://schemas.microsoft.com/office/drawing/2014/main" id="{BECC8BDC-CC93-49ED-9DF8-4547D5909F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49" name="Picture 31">
          <a:extLst>
            <a:ext uri="{FF2B5EF4-FFF2-40B4-BE49-F238E27FC236}">
              <a16:creationId xmlns:a16="http://schemas.microsoft.com/office/drawing/2014/main" id="{ADB63FE3-9F3B-40F8-8A6D-20DF2C22D0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0" name="Picture 31">
          <a:extLst>
            <a:ext uri="{FF2B5EF4-FFF2-40B4-BE49-F238E27FC236}">
              <a16:creationId xmlns:a16="http://schemas.microsoft.com/office/drawing/2014/main" id="{79E45474-DDB3-417A-B977-87BCC8C88E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1" name="Picture 31">
          <a:extLst>
            <a:ext uri="{FF2B5EF4-FFF2-40B4-BE49-F238E27FC236}">
              <a16:creationId xmlns:a16="http://schemas.microsoft.com/office/drawing/2014/main" id="{76E29392-A818-4D01-96D1-3F3A2E99D9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2" name="Picture 31">
          <a:extLst>
            <a:ext uri="{FF2B5EF4-FFF2-40B4-BE49-F238E27FC236}">
              <a16:creationId xmlns:a16="http://schemas.microsoft.com/office/drawing/2014/main" id="{4196D18C-DC3D-445A-9032-95AE665D2D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3" name="Picture 31">
          <a:extLst>
            <a:ext uri="{FF2B5EF4-FFF2-40B4-BE49-F238E27FC236}">
              <a16:creationId xmlns:a16="http://schemas.microsoft.com/office/drawing/2014/main" id="{116E0D77-E192-44A9-A30D-D338160E3D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4" name="Picture 31">
          <a:extLst>
            <a:ext uri="{FF2B5EF4-FFF2-40B4-BE49-F238E27FC236}">
              <a16:creationId xmlns:a16="http://schemas.microsoft.com/office/drawing/2014/main" id="{E6AD0BF7-9533-4757-A34D-329C1F9E8F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5" name="Picture 31">
          <a:extLst>
            <a:ext uri="{FF2B5EF4-FFF2-40B4-BE49-F238E27FC236}">
              <a16:creationId xmlns:a16="http://schemas.microsoft.com/office/drawing/2014/main" id="{7E7031F9-A68B-4272-9313-F958A1808D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6" name="Picture 31">
          <a:extLst>
            <a:ext uri="{FF2B5EF4-FFF2-40B4-BE49-F238E27FC236}">
              <a16:creationId xmlns:a16="http://schemas.microsoft.com/office/drawing/2014/main" id="{2F408CA1-DFDC-49CA-8CE9-7E77174B51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7" name="Picture 31">
          <a:extLst>
            <a:ext uri="{FF2B5EF4-FFF2-40B4-BE49-F238E27FC236}">
              <a16:creationId xmlns:a16="http://schemas.microsoft.com/office/drawing/2014/main" id="{033AEAD1-EED3-41EE-AA7A-C386FF7347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8" name="Picture 31">
          <a:extLst>
            <a:ext uri="{FF2B5EF4-FFF2-40B4-BE49-F238E27FC236}">
              <a16:creationId xmlns:a16="http://schemas.microsoft.com/office/drawing/2014/main" id="{5AF0E0B1-EC67-4B76-89A0-EB06679A6A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59" name="Picture 31">
          <a:extLst>
            <a:ext uri="{FF2B5EF4-FFF2-40B4-BE49-F238E27FC236}">
              <a16:creationId xmlns:a16="http://schemas.microsoft.com/office/drawing/2014/main" id="{3D33872A-E116-4820-B8AA-9AD84B8C6B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0" name="Picture 31">
          <a:extLst>
            <a:ext uri="{FF2B5EF4-FFF2-40B4-BE49-F238E27FC236}">
              <a16:creationId xmlns:a16="http://schemas.microsoft.com/office/drawing/2014/main" id="{8F3BE264-8A0B-43FB-987C-33A5D5FC1A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1" name="Picture 31">
          <a:extLst>
            <a:ext uri="{FF2B5EF4-FFF2-40B4-BE49-F238E27FC236}">
              <a16:creationId xmlns:a16="http://schemas.microsoft.com/office/drawing/2014/main" id="{0A2BEB30-F5D2-49EA-AAB5-FA7320E753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2" name="Picture 31">
          <a:extLst>
            <a:ext uri="{FF2B5EF4-FFF2-40B4-BE49-F238E27FC236}">
              <a16:creationId xmlns:a16="http://schemas.microsoft.com/office/drawing/2014/main" id="{26307F9D-209C-4CF7-BD96-0F353D9253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3" name="Picture 31">
          <a:extLst>
            <a:ext uri="{FF2B5EF4-FFF2-40B4-BE49-F238E27FC236}">
              <a16:creationId xmlns:a16="http://schemas.microsoft.com/office/drawing/2014/main" id="{2A03163B-EDED-404F-A479-46142FB67A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4" name="Picture 31">
          <a:extLst>
            <a:ext uri="{FF2B5EF4-FFF2-40B4-BE49-F238E27FC236}">
              <a16:creationId xmlns:a16="http://schemas.microsoft.com/office/drawing/2014/main" id="{9CC9DAA2-79BE-4EEA-90D2-BC62BD50F4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5" name="Picture 31">
          <a:extLst>
            <a:ext uri="{FF2B5EF4-FFF2-40B4-BE49-F238E27FC236}">
              <a16:creationId xmlns:a16="http://schemas.microsoft.com/office/drawing/2014/main" id="{9B06B9B6-D77C-40CC-8842-EECCFDE7DD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6" name="Picture 31">
          <a:extLst>
            <a:ext uri="{FF2B5EF4-FFF2-40B4-BE49-F238E27FC236}">
              <a16:creationId xmlns:a16="http://schemas.microsoft.com/office/drawing/2014/main" id="{1490D53A-DABD-4131-8235-6D3D8A5F81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7" name="Picture 31">
          <a:extLst>
            <a:ext uri="{FF2B5EF4-FFF2-40B4-BE49-F238E27FC236}">
              <a16:creationId xmlns:a16="http://schemas.microsoft.com/office/drawing/2014/main" id="{2346A1BB-4D2C-4E46-875A-5750409F75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8" name="Picture 31">
          <a:extLst>
            <a:ext uri="{FF2B5EF4-FFF2-40B4-BE49-F238E27FC236}">
              <a16:creationId xmlns:a16="http://schemas.microsoft.com/office/drawing/2014/main" id="{88E1C4D5-6400-4BC5-9497-A081486225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69" name="Picture 31">
          <a:extLst>
            <a:ext uri="{FF2B5EF4-FFF2-40B4-BE49-F238E27FC236}">
              <a16:creationId xmlns:a16="http://schemas.microsoft.com/office/drawing/2014/main" id="{8B01BBD0-BF3A-4355-B371-941F2670D3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0" name="Picture 31">
          <a:extLst>
            <a:ext uri="{FF2B5EF4-FFF2-40B4-BE49-F238E27FC236}">
              <a16:creationId xmlns:a16="http://schemas.microsoft.com/office/drawing/2014/main" id="{41019D52-0650-4569-BE53-2D46F37E8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1" name="Picture 31">
          <a:extLst>
            <a:ext uri="{FF2B5EF4-FFF2-40B4-BE49-F238E27FC236}">
              <a16:creationId xmlns:a16="http://schemas.microsoft.com/office/drawing/2014/main" id="{712E839B-182C-4EBE-A4B5-4125C4DCA6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2" name="Picture 31">
          <a:extLst>
            <a:ext uri="{FF2B5EF4-FFF2-40B4-BE49-F238E27FC236}">
              <a16:creationId xmlns:a16="http://schemas.microsoft.com/office/drawing/2014/main" id="{44BBF4C4-70ED-4B1E-A683-972E051FD7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3" name="Picture 31">
          <a:extLst>
            <a:ext uri="{FF2B5EF4-FFF2-40B4-BE49-F238E27FC236}">
              <a16:creationId xmlns:a16="http://schemas.microsoft.com/office/drawing/2014/main" id="{754FE56F-E4FB-43AF-8A1B-05A01EEF67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4" name="Picture 31">
          <a:extLst>
            <a:ext uri="{FF2B5EF4-FFF2-40B4-BE49-F238E27FC236}">
              <a16:creationId xmlns:a16="http://schemas.microsoft.com/office/drawing/2014/main" id="{424B0922-2774-4B54-BCDA-30AF663BBB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5" name="Picture 31">
          <a:extLst>
            <a:ext uri="{FF2B5EF4-FFF2-40B4-BE49-F238E27FC236}">
              <a16:creationId xmlns:a16="http://schemas.microsoft.com/office/drawing/2014/main" id="{3E3523C0-23E9-4B92-AE97-407B64A158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6" name="Picture 31">
          <a:extLst>
            <a:ext uri="{FF2B5EF4-FFF2-40B4-BE49-F238E27FC236}">
              <a16:creationId xmlns:a16="http://schemas.microsoft.com/office/drawing/2014/main" id="{094CA8E8-C44F-4A1B-9788-53800E0D98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7" name="Picture 31">
          <a:extLst>
            <a:ext uri="{FF2B5EF4-FFF2-40B4-BE49-F238E27FC236}">
              <a16:creationId xmlns:a16="http://schemas.microsoft.com/office/drawing/2014/main" id="{B81D8C3B-B867-4638-89B5-36B587684B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8" name="Picture 31">
          <a:extLst>
            <a:ext uri="{FF2B5EF4-FFF2-40B4-BE49-F238E27FC236}">
              <a16:creationId xmlns:a16="http://schemas.microsoft.com/office/drawing/2014/main" id="{6758F1E5-8CF5-42B0-A2F5-99446285AA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79" name="Picture 31">
          <a:extLst>
            <a:ext uri="{FF2B5EF4-FFF2-40B4-BE49-F238E27FC236}">
              <a16:creationId xmlns:a16="http://schemas.microsoft.com/office/drawing/2014/main" id="{298EF1BE-AF85-42DC-903E-08154426C6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0" name="Picture 31">
          <a:extLst>
            <a:ext uri="{FF2B5EF4-FFF2-40B4-BE49-F238E27FC236}">
              <a16:creationId xmlns:a16="http://schemas.microsoft.com/office/drawing/2014/main" id="{C8B35419-EDCC-4E42-AFDC-4E65ABA3DB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1" name="Picture 31">
          <a:extLst>
            <a:ext uri="{FF2B5EF4-FFF2-40B4-BE49-F238E27FC236}">
              <a16:creationId xmlns:a16="http://schemas.microsoft.com/office/drawing/2014/main" id="{7E670450-13A3-4C56-8E04-76DBB0806B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2" name="Picture 31">
          <a:extLst>
            <a:ext uri="{FF2B5EF4-FFF2-40B4-BE49-F238E27FC236}">
              <a16:creationId xmlns:a16="http://schemas.microsoft.com/office/drawing/2014/main" id="{10427D20-D98D-48F0-8342-DE93D968AB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3" name="Picture 31">
          <a:extLst>
            <a:ext uri="{FF2B5EF4-FFF2-40B4-BE49-F238E27FC236}">
              <a16:creationId xmlns:a16="http://schemas.microsoft.com/office/drawing/2014/main" id="{A58955D3-8BE4-43BB-9C11-10CF9089A8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4" name="Picture 31">
          <a:extLst>
            <a:ext uri="{FF2B5EF4-FFF2-40B4-BE49-F238E27FC236}">
              <a16:creationId xmlns:a16="http://schemas.microsoft.com/office/drawing/2014/main" id="{7B7EC06C-6203-463C-AA56-3414B4A6BC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5" name="Picture 31">
          <a:extLst>
            <a:ext uri="{FF2B5EF4-FFF2-40B4-BE49-F238E27FC236}">
              <a16:creationId xmlns:a16="http://schemas.microsoft.com/office/drawing/2014/main" id="{ED849C90-D860-4B48-A26B-388B086235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6" name="Picture 31">
          <a:extLst>
            <a:ext uri="{FF2B5EF4-FFF2-40B4-BE49-F238E27FC236}">
              <a16:creationId xmlns:a16="http://schemas.microsoft.com/office/drawing/2014/main" id="{DBE3D549-D58B-4171-91E1-585E92ABF0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7" name="Picture 31">
          <a:extLst>
            <a:ext uri="{FF2B5EF4-FFF2-40B4-BE49-F238E27FC236}">
              <a16:creationId xmlns:a16="http://schemas.microsoft.com/office/drawing/2014/main" id="{4425010B-3FBA-4E77-8D39-1A531106E5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8" name="Picture 31">
          <a:extLst>
            <a:ext uri="{FF2B5EF4-FFF2-40B4-BE49-F238E27FC236}">
              <a16:creationId xmlns:a16="http://schemas.microsoft.com/office/drawing/2014/main" id="{AAD741E9-9CAC-4949-8301-7FCFE67896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89" name="Picture 31">
          <a:extLst>
            <a:ext uri="{FF2B5EF4-FFF2-40B4-BE49-F238E27FC236}">
              <a16:creationId xmlns:a16="http://schemas.microsoft.com/office/drawing/2014/main" id="{9F491F83-05F0-4371-AF74-95E95B66E1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0" name="Picture 31">
          <a:extLst>
            <a:ext uri="{FF2B5EF4-FFF2-40B4-BE49-F238E27FC236}">
              <a16:creationId xmlns:a16="http://schemas.microsoft.com/office/drawing/2014/main" id="{DCCAD8B3-0C85-4FB4-AABD-90630B5E34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1" name="Picture 31">
          <a:extLst>
            <a:ext uri="{FF2B5EF4-FFF2-40B4-BE49-F238E27FC236}">
              <a16:creationId xmlns:a16="http://schemas.microsoft.com/office/drawing/2014/main" id="{6C2B6BFD-884D-4718-A930-6A28BC45B9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2" name="Picture 31">
          <a:extLst>
            <a:ext uri="{FF2B5EF4-FFF2-40B4-BE49-F238E27FC236}">
              <a16:creationId xmlns:a16="http://schemas.microsoft.com/office/drawing/2014/main" id="{9A7C37C9-08D7-4C69-9326-937BD3B480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3" name="Picture 31">
          <a:extLst>
            <a:ext uri="{FF2B5EF4-FFF2-40B4-BE49-F238E27FC236}">
              <a16:creationId xmlns:a16="http://schemas.microsoft.com/office/drawing/2014/main" id="{6AA8296B-9A19-4F1A-9AA4-5EDC648E7B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4" name="Picture 31">
          <a:extLst>
            <a:ext uri="{FF2B5EF4-FFF2-40B4-BE49-F238E27FC236}">
              <a16:creationId xmlns:a16="http://schemas.microsoft.com/office/drawing/2014/main" id="{5806FC93-0D3E-4A0C-B5FB-C41FA0E96A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5" name="Picture 31">
          <a:extLst>
            <a:ext uri="{FF2B5EF4-FFF2-40B4-BE49-F238E27FC236}">
              <a16:creationId xmlns:a16="http://schemas.microsoft.com/office/drawing/2014/main" id="{E7FFE03B-A4D7-4615-ACDB-1B43E1DADA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6" name="Picture 31">
          <a:extLst>
            <a:ext uri="{FF2B5EF4-FFF2-40B4-BE49-F238E27FC236}">
              <a16:creationId xmlns:a16="http://schemas.microsoft.com/office/drawing/2014/main" id="{3DAE5BAD-986C-430E-93C9-89E150DE71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7" name="Picture 31">
          <a:extLst>
            <a:ext uri="{FF2B5EF4-FFF2-40B4-BE49-F238E27FC236}">
              <a16:creationId xmlns:a16="http://schemas.microsoft.com/office/drawing/2014/main" id="{861B7BC7-11D8-4876-9910-D8FAA405F7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8" name="Picture 31">
          <a:extLst>
            <a:ext uri="{FF2B5EF4-FFF2-40B4-BE49-F238E27FC236}">
              <a16:creationId xmlns:a16="http://schemas.microsoft.com/office/drawing/2014/main" id="{1B2F8D23-5FC8-4B75-83A7-C175920F84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399" name="Picture 31">
          <a:extLst>
            <a:ext uri="{FF2B5EF4-FFF2-40B4-BE49-F238E27FC236}">
              <a16:creationId xmlns:a16="http://schemas.microsoft.com/office/drawing/2014/main" id="{D095CF76-E833-4D08-B99C-B524CE0EBA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0" name="Picture 31">
          <a:extLst>
            <a:ext uri="{FF2B5EF4-FFF2-40B4-BE49-F238E27FC236}">
              <a16:creationId xmlns:a16="http://schemas.microsoft.com/office/drawing/2014/main" id="{32823232-815D-44D4-8E30-70A5D53E6C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1" name="Picture 31">
          <a:extLst>
            <a:ext uri="{FF2B5EF4-FFF2-40B4-BE49-F238E27FC236}">
              <a16:creationId xmlns:a16="http://schemas.microsoft.com/office/drawing/2014/main" id="{93A22CEE-35B7-4136-B455-70B8F09115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2" name="Picture 31">
          <a:extLst>
            <a:ext uri="{FF2B5EF4-FFF2-40B4-BE49-F238E27FC236}">
              <a16:creationId xmlns:a16="http://schemas.microsoft.com/office/drawing/2014/main" id="{B49CEB89-4413-4B2E-8BA5-72FB64881D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3" name="Picture 31">
          <a:extLst>
            <a:ext uri="{FF2B5EF4-FFF2-40B4-BE49-F238E27FC236}">
              <a16:creationId xmlns:a16="http://schemas.microsoft.com/office/drawing/2014/main" id="{0BBEB352-E79D-4FDC-A936-279853F6D5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4" name="Picture 31">
          <a:extLst>
            <a:ext uri="{FF2B5EF4-FFF2-40B4-BE49-F238E27FC236}">
              <a16:creationId xmlns:a16="http://schemas.microsoft.com/office/drawing/2014/main" id="{C6148B53-305B-45F1-8AE4-9BBE6C7F97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5" name="Picture 31">
          <a:extLst>
            <a:ext uri="{FF2B5EF4-FFF2-40B4-BE49-F238E27FC236}">
              <a16:creationId xmlns:a16="http://schemas.microsoft.com/office/drawing/2014/main" id="{D0B30DB6-7046-4FBE-9039-8FBB372966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6" name="Picture 31">
          <a:extLst>
            <a:ext uri="{FF2B5EF4-FFF2-40B4-BE49-F238E27FC236}">
              <a16:creationId xmlns:a16="http://schemas.microsoft.com/office/drawing/2014/main" id="{C92C87C6-1204-4907-ABDE-88F863AF685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7" name="Picture 31">
          <a:extLst>
            <a:ext uri="{FF2B5EF4-FFF2-40B4-BE49-F238E27FC236}">
              <a16:creationId xmlns:a16="http://schemas.microsoft.com/office/drawing/2014/main" id="{B6779B1C-6614-4EE1-BF87-C8DFA23363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8" name="Picture 31">
          <a:extLst>
            <a:ext uri="{FF2B5EF4-FFF2-40B4-BE49-F238E27FC236}">
              <a16:creationId xmlns:a16="http://schemas.microsoft.com/office/drawing/2014/main" id="{1676F622-8015-4669-9C15-7BDA1FB525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09" name="Picture 31">
          <a:extLst>
            <a:ext uri="{FF2B5EF4-FFF2-40B4-BE49-F238E27FC236}">
              <a16:creationId xmlns:a16="http://schemas.microsoft.com/office/drawing/2014/main" id="{C08EE5C2-46DD-4DFF-8654-AA44C214ED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0" name="Picture 31">
          <a:extLst>
            <a:ext uri="{FF2B5EF4-FFF2-40B4-BE49-F238E27FC236}">
              <a16:creationId xmlns:a16="http://schemas.microsoft.com/office/drawing/2014/main" id="{9EC8AAD6-A88C-4802-852B-C775C8CE31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1" name="Picture 31">
          <a:extLst>
            <a:ext uri="{FF2B5EF4-FFF2-40B4-BE49-F238E27FC236}">
              <a16:creationId xmlns:a16="http://schemas.microsoft.com/office/drawing/2014/main" id="{D3D72BB3-5E6D-4AC4-A50D-4E3ABEC081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2" name="Picture 31">
          <a:extLst>
            <a:ext uri="{FF2B5EF4-FFF2-40B4-BE49-F238E27FC236}">
              <a16:creationId xmlns:a16="http://schemas.microsoft.com/office/drawing/2014/main" id="{78C77D2A-82DD-406A-B584-3BA8AD89EF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3" name="Picture 31">
          <a:extLst>
            <a:ext uri="{FF2B5EF4-FFF2-40B4-BE49-F238E27FC236}">
              <a16:creationId xmlns:a16="http://schemas.microsoft.com/office/drawing/2014/main" id="{891FDC37-4307-4E05-B4B5-212BB65442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4" name="Picture 31">
          <a:extLst>
            <a:ext uri="{FF2B5EF4-FFF2-40B4-BE49-F238E27FC236}">
              <a16:creationId xmlns:a16="http://schemas.microsoft.com/office/drawing/2014/main" id="{CE5D3FF3-B687-4EDB-91B0-01A390F234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5" name="Picture 31">
          <a:extLst>
            <a:ext uri="{FF2B5EF4-FFF2-40B4-BE49-F238E27FC236}">
              <a16:creationId xmlns:a16="http://schemas.microsoft.com/office/drawing/2014/main" id="{414ECA1B-C05A-4A26-B4D0-1B301CE591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6" name="Picture 31">
          <a:extLst>
            <a:ext uri="{FF2B5EF4-FFF2-40B4-BE49-F238E27FC236}">
              <a16:creationId xmlns:a16="http://schemas.microsoft.com/office/drawing/2014/main" id="{7F7D96BF-8609-4765-830E-660A0FB178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7" name="Picture 31">
          <a:extLst>
            <a:ext uri="{FF2B5EF4-FFF2-40B4-BE49-F238E27FC236}">
              <a16:creationId xmlns:a16="http://schemas.microsoft.com/office/drawing/2014/main" id="{FEEDD28A-881C-4855-AC0D-A59D341997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8" name="Picture 31">
          <a:extLst>
            <a:ext uri="{FF2B5EF4-FFF2-40B4-BE49-F238E27FC236}">
              <a16:creationId xmlns:a16="http://schemas.microsoft.com/office/drawing/2014/main" id="{57745AE6-5FC1-4C23-BE46-DDC0A87278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19" name="Picture 31">
          <a:extLst>
            <a:ext uri="{FF2B5EF4-FFF2-40B4-BE49-F238E27FC236}">
              <a16:creationId xmlns:a16="http://schemas.microsoft.com/office/drawing/2014/main" id="{72F7FDF2-7C78-4E4F-AC45-984BFD3AB3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0" name="Picture 31">
          <a:extLst>
            <a:ext uri="{FF2B5EF4-FFF2-40B4-BE49-F238E27FC236}">
              <a16:creationId xmlns:a16="http://schemas.microsoft.com/office/drawing/2014/main" id="{7B701D45-3DB1-4C79-915F-F21DAA8161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1" name="Picture 31">
          <a:extLst>
            <a:ext uri="{FF2B5EF4-FFF2-40B4-BE49-F238E27FC236}">
              <a16:creationId xmlns:a16="http://schemas.microsoft.com/office/drawing/2014/main" id="{B93166DC-FE13-428A-A76D-2928A37308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2" name="Picture 31">
          <a:extLst>
            <a:ext uri="{FF2B5EF4-FFF2-40B4-BE49-F238E27FC236}">
              <a16:creationId xmlns:a16="http://schemas.microsoft.com/office/drawing/2014/main" id="{E0494F38-84BE-4DEF-B0A6-8FCB6A32B0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3" name="Picture 31">
          <a:extLst>
            <a:ext uri="{FF2B5EF4-FFF2-40B4-BE49-F238E27FC236}">
              <a16:creationId xmlns:a16="http://schemas.microsoft.com/office/drawing/2014/main" id="{9C6EAE6C-B2DC-47CA-94A5-99865D9E12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4" name="Picture 31">
          <a:extLst>
            <a:ext uri="{FF2B5EF4-FFF2-40B4-BE49-F238E27FC236}">
              <a16:creationId xmlns:a16="http://schemas.microsoft.com/office/drawing/2014/main" id="{A304E382-C797-4EBD-8ABD-10A8ADAEB1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5" name="Picture 31">
          <a:extLst>
            <a:ext uri="{FF2B5EF4-FFF2-40B4-BE49-F238E27FC236}">
              <a16:creationId xmlns:a16="http://schemas.microsoft.com/office/drawing/2014/main" id="{CCBE288C-4E9D-4D09-A23E-8FB188B208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6" name="Picture 31">
          <a:extLst>
            <a:ext uri="{FF2B5EF4-FFF2-40B4-BE49-F238E27FC236}">
              <a16:creationId xmlns:a16="http://schemas.microsoft.com/office/drawing/2014/main" id="{E73F25A8-F328-43FA-8BD0-6A52DDA5C9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7" name="Picture 31">
          <a:extLst>
            <a:ext uri="{FF2B5EF4-FFF2-40B4-BE49-F238E27FC236}">
              <a16:creationId xmlns:a16="http://schemas.microsoft.com/office/drawing/2014/main" id="{B83DF67B-26E1-47C8-8E6B-4B2B7917C4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8" name="Picture 31">
          <a:extLst>
            <a:ext uri="{FF2B5EF4-FFF2-40B4-BE49-F238E27FC236}">
              <a16:creationId xmlns:a16="http://schemas.microsoft.com/office/drawing/2014/main" id="{FCB0E571-54D6-4FD1-8BF6-A989D6F415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29" name="Picture 31">
          <a:extLst>
            <a:ext uri="{FF2B5EF4-FFF2-40B4-BE49-F238E27FC236}">
              <a16:creationId xmlns:a16="http://schemas.microsoft.com/office/drawing/2014/main" id="{B9D3D86A-9ABB-489E-965D-A94D4E19B4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0" name="Picture 31">
          <a:extLst>
            <a:ext uri="{FF2B5EF4-FFF2-40B4-BE49-F238E27FC236}">
              <a16:creationId xmlns:a16="http://schemas.microsoft.com/office/drawing/2014/main" id="{C2A7AFA7-3D11-4B3E-9574-33B61901B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1" name="Picture 31">
          <a:extLst>
            <a:ext uri="{FF2B5EF4-FFF2-40B4-BE49-F238E27FC236}">
              <a16:creationId xmlns:a16="http://schemas.microsoft.com/office/drawing/2014/main" id="{2D17F10C-E577-4225-AC57-BE5F000327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2" name="Picture 31">
          <a:extLst>
            <a:ext uri="{FF2B5EF4-FFF2-40B4-BE49-F238E27FC236}">
              <a16:creationId xmlns:a16="http://schemas.microsoft.com/office/drawing/2014/main" id="{BAA9314C-910F-45BB-B157-F7681E82CC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3" name="Picture 31">
          <a:extLst>
            <a:ext uri="{FF2B5EF4-FFF2-40B4-BE49-F238E27FC236}">
              <a16:creationId xmlns:a16="http://schemas.microsoft.com/office/drawing/2014/main" id="{40458E63-DE09-4408-B9E8-56A5F4DD34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4" name="Picture 31">
          <a:extLst>
            <a:ext uri="{FF2B5EF4-FFF2-40B4-BE49-F238E27FC236}">
              <a16:creationId xmlns:a16="http://schemas.microsoft.com/office/drawing/2014/main" id="{CDF2EC39-A64C-4B9B-81E5-F7B970F653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5" name="Picture 31">
          <a:extLst>
            <a:ext uri="{FF2B5EF4-FFF2-40B4-BE49-F238E27FC236}">
              <a16:creationId xmlns:a16="http://schemas.microsoft.com/office/drawing/2014/main" id="{108FDF0D-5C6E-4661-996B-382E19BDCF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6" name="Picture 31">
          <a:extLst>
            <a:ext uri="{FF2B5EF4-FFF2-40B4-BE49-F238E27FC236}">
              <a16:creationId xmlns:a16="http://schemas.microsoft.com/office/drawing/2014/main" id="{CEF48247-AC77-470D-948C-C9EBFC1742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7" name="Picture 31">
          <a:extLst>
            <a:ext uri="{FF2B5EF4-FFF2-40B4-BE49-F238E27FC236}">
              <a16:creationId xmlns:a16="http://schemas.microsoft.com/office/drawing/2014/main" id="{1B47CA91-5784-48F0-88F6-280441E7A2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8" name="Picture 31">
          <a:extLst>
            <a:ext uri="{FF2B5EF4-FFF2-40B4-BE49-F238E27FC236}">
              <a16:creationId xmlns:a16="http://schemas.microsoft.com/office/drawing/2014/main" id="{3DEA4FF0-9BF7-4AA8-9901-BBCB9CBAA3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39" name="Picture 31">
          <a:extLst>
            <a:ext uri="{FF2B5EF4-FFF2-40B4-BE49-F238E27FC236}">
              <a16:creationId xmlns:a16="http://schemas.microsoft.com/office/drawing/2014/main" id="{8BF87BBF-4A88-4DAC-AAAC-14ABA01427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0" name="Picture 31">
          <a:extLst>
            <a:ext uri="{FF2B5EF4-FFF2-40B4-BE49-F238E27FC236}">
              <a16:creationId xmlns:a16="http://schemas.microsoft.com/office/drawing/2014/main" id="{3A687C4C-76F2-4B36-977C-9EB5182DEE0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1" name="Picture 31">
          <a:extLst>
            <a:ext uri="{FF2B5EF4-FFF2-40B4-BE49-F238E27FC236}">
              <a16:creationId xmlns:a16="http://schemas.microsoft.com/office/drawing/2014/main" id="{097238EF-F8F2-436D-B459-BF056E632C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2" name="Picture 31">
          <a:extLst>
            <a:ext uri="{FF2B5EF4-FFF2-40B4-BE49-F238E27FC236}">
              <a16:creationId xmlns:a16="http://schemas.microsoft.com/office/drawing/2014/main" id="{60F87DAA-4961-431D-884C-E9D56A1E82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3" name="Picture 31">
          <a:extLst>
            <a:ext uri="{FF2B5EF4-FFF2-40B4-BE49-F238E27FC236}">
              <a16:creationId xmlns:a16="http://schemas.microsoft.com/office/drawing/2014/main" id="{DCD533C5-12F8-4E19-AB3E-A7C09DEE9F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4" name="Picture 31">
          <a:extLst>
            <a:ext uri="{FF2B5EF4-FFF2-40B4-BE49-F238E27FC236}">
              <a16:creationId xmlns:a16="http://schemas.microsoft.com/office/drawing/2014/main" id="{0EC7657D-16C2-4A6B-B23B-50DC0E1FB0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5" name="Picture 31">
          <a:extLst>
            <a:ext uri="{FF2B5EF4-FFF2-40B4-BE49-F238E27FC236}">
              <a16:creationId xmlns:a16="http://schemas.microsoft.com/office/drawing/2014/main" id="{857C8C02-E99B-44B4-B422-41F89B691C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6" name="Picture 31">
          <a:extLst>
            <a:ext uri="{FF2B5EF4-FFF2-40B4-BE49-F238E27FC236}">
              <a16:creationId xmlns:a16="http://schemas.microsoft.com/office/drawing/2014/main" id="{6201093B-7B80-40A9-86E5-A588A117C6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7" name="Picture 31">
          <a:extLst>
            <a:ext uri="{FF2B5EF4-FFF2-40B4-BE49-F238E27FC236}">
              <a16:creationId xmlns:a16="http://schemas.microsoft.com/office/drawing/2014/main" id="{3971E0D6-6332-40C1-873C-BB777A4A80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8" name="Picture 31">
          <a:extLst>
            <a:ext uri="{FF2B5EF4-FFF2-40B4-BE49-F238E27FC236}">
              <a16:creationId xmlns:a16="http://schemas.microsoft.com/office/drawing/2014/main" id="{50751B5C-868F-4151-9470-9E57EE8215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49" name="Picture 31">
          <a:extLst>
            <a:ext uri="{FF2B5EF4-FFF2-40B4-BE49-F238E27FC236}">
              <a16:creationId xmlns:a16="http://schemas.microsoft.com/office/drawing/2014/main" id="{78827449-94E7-43C5-A033-4B38E6F45D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0" name="Picture 31">
          <a:extLst>
            <a:ext uri="{FF2B5EF4-FFF2-40B4-BE49-F238E27FC236}">
              <a16:creationId xmlns:a16="http://schemas.microsoft.com/office/drawing/2014/main" id="{11B0D9F5-FC1C-42DD-A40F-999A53D2C6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1" name="Picture 31">
          <a:extLst>
            <a:ext uri="{FF2B5EF4-FFF2-40B4-BE49-F238E27FC236}">
              <a16:creationId xmlns:a16="http://schemas.microsoft.com/office/drawing/2014/main" id="{842CD9A5-0866-4835-B27A-38B9541092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2" name="Picture 31">
          <a:extLst>
            <a:ext uri="{FF2B5EF4-FFF2-40B4-BE49-F238E27FC236}">
              <a16:creationId xmlns:a16="http://schemas.microsoft.com/office/drawing/2014/main" id="{8BE67A9D-2596-4599-A709-756B571999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3" name="Picture 31">
          <a:extLst>
            <a:ext uri="{FF2B5EF4-FFF2-40B4-BE49-F238E27FC236}">
              <a16:creationId xmlns:a16="http://schemas.microsoft.com/office/drawing/2014/main" id="{44090CD6-C0C9-4534-B41F-16617B3461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4" name="Picture 31">
          <a:extLst>
            <a:ext uri="{FF2B5EF4-FFF2-40B4-BE49-F238E27FC236}">
              <a16:creationId xmlns:a16="http://schemas.microsoft.com/office/drawing/2014/main" id="{61F45F85-87CB-4896-8A23-7A14614333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5" name="Picture 31">
          <a:extLst>
            <a:ext uri="{FF2B5EF4-FFF2-40B4-BE49-F238E27FC236}">
              <a16:creationId xmlns:a16="http://schemas.microsoft.com/office/drawing/2014/main" id="{746BDE88-B653-4953-9BBD-C6F79FC10E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6" name="Picture 31">
          <a:extLst>
            <a:ext uri="{FF2B5EF4-FFF2-40B4-BE49-F238E27FC236}">
              <a16:creationId xmlns:a16="http://schemas.microsoft.com/office/drawing/2014/main" id="{9A6B4880-2558-4D3D-AD43-D9D34E5C20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7" name="Picture 31">
          <a:extLst>
            <a:ext uri="{FF2B5EF4-FFF2-40B4-BE49-F238E27FC236}">
              <a16:creationId xmlns:a16="http://schemas.microsoft.com/office/drawing/2014/main" id="{B6F16E51-0E2C-4083-B6B4-DCCD4940B3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8" name="Picture 31">
          <a:extLst>
            <a:ext uri="{FF2B5EF4-FFF2-40B4-BE49-F238E27FC236}">
              <a16:creationId xmlns:a16="http://schemas.microsoft.com/office/drawing/2014/main" id="{A6296E32-7344-4FB7-AC38-ABB3F960DE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59" name="Picture 31">
          <a:extLst>
            <a:ext uri="{FF2B5EF4-FFF2-40B4-BE49-F238E27FC236}">
              <a16:creationId xmlns:a16="http://schemas.microsoft.com/office/drawing/2014/main" id="{312CE2FB-459C-497E-9938-CA8350F2C1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0" name="Picture 31">
          <a:extLst>
            <a:ext uri="{FF2B5EF4-FFF2-40B4-BE49-F238E27FC236}">
              <a16:creationId xmlns:a16="http://schemas.microsoft.com/office/drawing/2014/main" id="{E56868F0-45F0-4C43-86A0-55D481E152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1" name="Picture 31">
          <a:extLst>
            <a:ext uri="{FF2B5EF4-FFF2-40B4-BE49-F238E27FC236}">
              <a16:creationId xmlns:a16="http://schemas.microsoft.com/office/drawing/2014/main" id="{3B650D48-8671-42CF-88F0-1A896C3FB1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2" name="Picture 31">
          <a:extLst>
            <a:ext uri="{FF2B5EF4-FFF2-40B4-BE49-F238E27FC236}">
              <a16:creationId xmlns:a16="http://schemas.microsoft.com/office/drawing/2014/main" id="{352CC34E-4F8D-4911-B2C3-535C052F1F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3" name="Picture 31">
          <a:extLst>
            <a:ext uri="{FF2B5EF4-FFF2-40B4-BE49-F238E27FC236}">
              <a16:creationId xmlns:a16="http://schemas.microsoft.com/office/drawing/2014/main" id="{FA9D2D2B-D51A-42D2-9F8D-140CD29B48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4" name="Picture 31">
          <a:extLst>
            <a:ext uri="{FF2B5EF4-FFF2-40B4-BE49-F238E27FC236}">
              <a16:creationId xmlns:a16="http://schemas.microsoft.com/office/drawing/2014/main" id="{148DB5AE-0A31-42A0-BF7C-E516CE8901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5" name="Picture 31">
          <a:extLst>
            <a:ext uri="{FF2B5EF4-FFF2-40B4-BE49-F238E27FC236}">
              <a16:creationId xmlns:a16="http://schemas.microsoft.com/office/drawing/2014/main" id="{E90D592A-8DE5-49BC-9E38-2543B43F6C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6" name="Picture 31">
          <a:extLst>
            <a:ext uri="{FF2B5EF4-FFF2-40B4-BE49-F238E27FC236}">
              <a16:creationId xmlns:a16="http://schemas.microsoft.com/office/drawing/2014/main" id="{94B2242E-4A69-4031-94EE-82E3B59DA5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7" name="Picture 31">
          <a:extLst>
            <a:ext uri="{FF2B5EF4-FFF2-40B4-BE49-F238E27FC236}">
              <a16:creationId xmlns:a16="http://schemas.microsoft.com/office/drawing/2014/main" id="{4697B094-4737-464F-8C25-E37F1518D5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8" name="Picture 31">
          <a:extLst>
            <a:ext uri="{FF2B5EF4-FFF2-40B4-BE49-F238E27FC236}">
              <a16:creationId xmlns:a16="http://schemas.microsoft.com/office/drawing/2014/main" id="{BBE480C5-7CA4-41DF-9F8A-E585D2478D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69" name="Picture 31">
          <a:extLst>
            <a:ext uri="{FF2B5EF4-FFF2-40B4-BE49-F238E27FC236}">
              <a16:creationId xmlns:a16="http://schemas.microsoft.com/office/drawing/2014/main" id="{F0D47C54-5B7E-4219-90BD-9AB21891E2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0" name="Picture 31">
          <a:extLst>
            <a:ext uri="{FF2B5EF4-FFF2-40B4-BE49-F238E27FC236}">
              <a16:creationId xmlns:a16="http://schemas.microsoft.com/office/drawing/2014/main" id="{4641CB0A-808A-4A66-BF02-6B7B8A78E9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1" name="Picture 31">
          <a:extLst>
            <a:ext uri="{FF2B5EF4-FFF2-40B4-BE49-F238E27FC236}">
              <a16:creationId xmlns:a16="http://schemas.microsoft.com/office/drawing/2014/main" id="{B9EBA1B1-6D4B-4A8E-B057-DE34BDEB32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2" name="Picture 31">
          <a:extLst>
            <a:ext uri="{FF2B5EF4-FFF2-40B4-BE49-F238E27FC236}">
              <a16:creationId xmlns:a16="http://schemas.microsoft.com/office/drawing/2014/main" id="{ABBBDFF1-0491-4CF4-8040-6AED527217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3" name="Picture 31">
          <a:extLst>
            <a:ext uri="{FF2B5EF4-FFF2-40B4-BE49-F238E27FC236}">
              <a16:creationId xmlns:a16="http://schemas.microsoft.com/office/drawing/2014/main" id="{7EE61831-61E0-4FCB-9809-054B58FB83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4" name="Picture 31">
          <a:extLst>
            <a:ext uri="{FF2B5EF4-FFF2-40B4-BE49-F238E27FC236}">
              <a16:creationId xmlns:a16="http://schemas.microsoft.com/office/drawing/2014/main" id="{DF7322A2-14B8-4C4E-BEDC-5CC13C988E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5" name="Picture 31">
          <a:extLst>
            <a:ext uri="{FF2B5EF4-FFF2-40B4-BE49-F238E27FC236}">
              <a16:creationId xmlns:a16="http://schemas.microsoft.com/office/drawing/2014/main" id="{23C60D55-227B-4C1C-9E40-7FCE5418D0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6" name="Picture 31">
          <a:extLst>
            <a:ext uri="{FF2B5EF4-FFF2-40B4-BE49-F238E27FC236}">
              <a16:creationId xmlns:a16="http://schemas.microsoft.com/office/drawing/2014/main" id="{2B6476AE-4C56-4588-AEAA-2A220CF9ED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7" name="Picture 31">
          <a:extLst>
            <a:ext uri="{FF2B5EF4-FFF2-40B4-BE49-F238E27FC236}">
              <a16:creationId xmlns:a16="http://schemas.microsoft.com/office/drawing/2014/main" id="{1F8552CC-40A7-474C-B2EA-87E001DB56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8" name="Picture 31">
          <a:extLst>
            <a:ext uri="{FF2B5EF4-FFF2-40B4-BE49-F238E27FC236}">
              <a16:creationId xmlns:a16="http://schemas.microsoft.com/office/drawing/2014/main" id="{29D033E1-F2FF-43A6-A5CB-174E98BF16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79" name="Picture 31">
          <a:extLst>
            <a:ext uri="{FF2B5EF4-FFF2-40B4-BE49-F238E27FC236}">
              <a16:creationId xmlns:a16="http://schemas.microsoft.com/office/drawing/2014/main" id="{14549321-3982-46DC-8FDE-C2CA3D2A0D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80" name="Picture 31">
          <a:extLst>
            <a:ext uri="{FF2B5EF4-FFF2-40B4-BE49-F238E27FC236}">
              <a16:creationId xmlns:a16="http://schemas.microsoft.com/office/drawing/2014/main" id="{C78A287A-D8E1-4E33-8143-96331EFA68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481" name="Picture 31">
          <a:extLst>
            <a:ext uri="{FF2B5EF4-FFF2-40B4-BE49-F238E27FC236}">
              <a16:creationId xmlns:a16="http://schemas.microsoft.com/office/drawing/2014/main" id="{FF0C49C3-6D15-47BF-B9B6-B4331EBE6F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612265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2" name="Picture 31">
          <a:extLst>
            <a:ext uri="{FF2B5EF4-FFF2-40B4-BE49-F238E27FC236}">
              <a16:creationId xmlns:a16="http://schemas.microsoft.com/office/drawing/2014/main" id="{FD47817A-0EFB-43B8-89F5-62B550C717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3" name="Picture 31">
          <a:extLst>
            <a:ext uri="{FF2B5EF4-FFF2-40B4-BE49-F238E27FC236}">
              <a16:creationId xmlns:a16="http://schemas.microsoft.com/office/drawing/2014/main" id="{C725BD4E-0138-4D74-8B99-6B4B954FF2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4" name="Picture 31">
          <a:extLst>
            <a:ext uri="{FF2B5EF4-FFF2-40B4-BE49-F238E27FC236}">
              <a16:creationId xmlns:a16="http://schemas.microsoft.com/office/drawing/2014/main" id="{DC1B672B-1B20-4D55-9A3A-A27C59EF81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5" name="Picture 31">
          <a:extLst>
            <a:ext uri="{FF2B5EF4-FFF2-40B4-BE49-F238E27FC236}">
              <a16:creationId xmlns:a16="http://schemas.microsoft.com/office/drawing/2014/main" id="{579C9F54-6C7D-4A58-BFC4-DF4487169D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6" name="Picture 31">
          <a:extLst>
            <a:ext uri="{FF2B5EF4-FFF2-40B4-BE49-F238E27FC236}">
              <a16:creationId xmlns:a16="http://schemas.microsoft.com/office/drawing/2014/main" id="{5A2C7A56-E099-4311-BA61-72299FDE0B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7" name="Picture 31">
          <a:extLst>
            <a:ext uri="{FF2B5EF4-FFF2-40B4-BE49-F238E27FC236}">
              <a16:creationId xmlns:a16="http://schemas.microsoft.com/office/drawing/2014/main" id="{1CD52690-75A6-4BBA-94D7-44ADD9CA8D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8" name="Picture 31">
          <a:extLst>
            <a:ext uri="{FF2B5EF4-FFF2-40B4-BE49-F238E27FC236}">
              <a16:creationId xmlns:a16="http://schemas.microsoft.com/office/drawing/2014/main" id="{8820CAF3-4C1D-4F03-8F90-75A0DA2888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89" name="Picture 31">
          <a:extLst>
            <a:ext uri="{FF2B5EF4-FFF2-40B4-BE49-F238E27FC236}">
              <a16:creationId xmlns:a16="http://schemas.microsoft.com/office/drawing/2014/main" id="{55F04F6D-7235-4DAF-8317-50A7F357F7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0" name="Picture 31">
          <a:extLst>
            <a:ext uri="{FF2B5EF4-FFF2-40B4-BE49-F238E27FC236}">
              <a16:creationId xmlns:a16="http://schemas.microsoft.com/office/drawing/2014/main" id="{3E632FD6-A097-4D23-ABF8-361AAB26B1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1" name="Picture 31">
          <a:extLst>
            <a:ext uri="{FF2B5EF4-FFF2-40B4-BE49-F238E27FC236}">
              <a16:creationId xmlns:a16="http://schemas.microsoft.com/office/drawing/2014/main" id="{195CEE60-200E-4B95-8409-20F639C70B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2" name="Picture 31">
          <a:extLst>
            <a:ext uri="{FF2B5EF4-FFF2-40B4-BE49-F238E27FC236}">
              <a16:creationId xmlns:a16="http://schemas.microsoft.com/office/drawing/2014/main" id="{B7EF229C-0E87-4EFA-A726-9A63A43775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3" name="Picture 31">
          <a:extLst>
            <a:ext uri="{FF2B5EF4-FFF2-40B4-BE49-F238E27FC236}">
              <a16:creationId xmlns:a16="http://schemas.microsoft.com/office/drawing/2014/main" id="{C8D969BE-833B-4C9A-949C-46C8B65AE0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4" name="Picture 31">
          <a:extLst>
            <a:ext uri="{FF2B5EF4-FFF2-40B4-BE49-F238E27FC236}">
              <a16:creationId xmlns:a16="http://schemas.microsoft.com/office/drawing/2014/main" id="{32DAB76B-B670-4CF5-9F37-472F4085DD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5" name="Picture 31">
          <a:extLst>
            <a:ext uri="{FF2B5EF4-FFF2-40B4-BE49-F238E27FC236}">
              <a16:creationId xmlns:a16="http://schemas.microsoft.com/office/drawing/2014/main" id="{6947F9DD-6939-401C-B5BC-5B1892A3C9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6" name="Picture 31">
          <a:extLst>
            <a:ext uri="{FF2B5EF4-FFF2-40B4-BE49-F238E27FC236}">
              <a16:creationId xmlns:a16="http://schemas.microsoft.com/office/drawing/2014/main" id="{92C1339D-7E4C-4B54-B2B8-FB3E225E38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7" name="Picture 31">
          <a:extLst>
            <a:ext uri="{FF2B5EF4-FFF2-40B4-BE49-F238E27FC236}">
              <a16:creationId xmlns:a16="http://schemas.microsoft.com/office/drawing/2014/main" id="{CD84E903-5C8B-4E4D-8995-4FF87F6EA6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8" name="Picture 31">
          <a:extLst>
            <a:ext uri="{FF2B5EF4-FFF2-40B4-BE49-F238E27FC236}">
              <a16:creationId xmlns:a16="http://schemas.microsoft.com/office/drawing/2014/main" id="{6024175D-F046-44A3-A9D7-BB93E898DF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499" name="Picture 31">
          <a:extLst>
            <a:ext uri="{FF2B5EF4-FFF2-40B4-BE49-F238E27FC236}">
              <a16:creationId xmlns:a16="http://schemas.microsoft.com/office/drawing/2014/main" id="{4ED935D1-51F4-4788-A7B1-B5E4137A7F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0" name="Picture 31">
          <a:extLst>
            <a:ext uri="{FF2B5EF4-FFF2-40B4-BE49-F238E27FC236}">
              <a16:creationId xmlns:a16="http://schemas.microsoft.com/office/drawing/2014/main" id="{EDB9DD16-FD7F-4688-A07D-C06F9103EA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1" name="Picture 31">
          <a:extLst>
            <a:ext uri="{FF2B5EF4-FFF2-40B4-BE49-F238E27FC236}">
              <a16:creationId xmlns:a16="http://schemas.microsoft.com/office/drawing/2014/main" id="{BAABB480-D389-40CA-AF2B-206487287F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2" name="Picture 31">
          <a:extLst>
            <a:ext uri="{FF2B5EF4-FFF2-40B4-BE49-F238E27FC236}">
              <a16:creationId xmlns:a16="http://schemas.microsoft.com/office/drawing/2014/main" id="{06A3C71C-28CF-4617-8AAB-E9D817765A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3" name="Picture 31">
          <a:extLst>
            <a:ext uri="{FF2B5EF4-FFF2-40B4-BE49-F238E27FC236}">
              <a16:creationId xmlns:a16="http://schemas.microsoft.com/office/drawing/2014/main" id="{DE570CED-C007-4BAE-B652-0569041BAC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4" name="Picture 31">
          <a:extLst>
            <a:ext uri="{FF2B5EF4-FFF2-40B4-BE49-F238E27FC236}">
              <a16:creationId xmlns:a16="http://schemas.microsoft.com/office/drawing/2014/main" id="{5744C170-4306-4624-8EBB-BBB467F997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5" name="Picture 31">
          <a:extLst>
            <a:ext uri="{FF2B5EF4-FFF2-40B4-BE49-F238E27FC236}">
              <a16:creationId xmlns:a16="http://schemas.microsoft.com/office/drawing/2014/main" id="{E0FE07BC-6517-48AA-9CCF-D1B3A5C122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6" name="Picture 31">
          <a:extLst>
            <a:ext uri="{FF2B5EF4-FFF2-40B4-BE49-F238E27FC236}">
              <a16:creationId xmlns:a16="http://schemas.microsoft.com/office/drawing/2014/main" id="{B5621EC6-8776-4226-BB8F-26570FDBE2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7" name="Picture 31">
          <a:extLst>
            <a:ext uri="{FF2B5EF4-FFF2-40B4-BE49-F238E27FC236}">
              <a16:creationId xmlns:a16="http://schemas.microsoft.com/office/drawing/2014/main" id="{759119A6-F899-4B53-BC45-7213D646CF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8" name="Picture 31">
          <a:extLst>
            <a:ext uri="{FF2B5EF4-FFF2-40B4-BE49-F238E27FC236}">
              <a16:creationId xmlns:a16="http://schemas.microsoft.com/office/drawing/2014/main" id="{99B19EA0-1AFC-4A49-9D14-F33E41FA4F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09" name="Picture 31">
          <a:extLst>
            <a:ext uri="{FF2B5EF4-FFF2-40B4-BE49-F238E27FC236}">
              <a16:creationId xmlns:a16="http://schemas.microsoft.com/office/drawing/2014/main" id="{2E2ECC84-2B8E-48F1-B815-F429275EFE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0" name="Picture 31">
          <a:extLst>
            <a:ext uri="{FF2B5EF4-FFF2-40B4-BE49-F238E27FC236}">
              <a16:creationId xmlns:a16="http://schemas.microsoft.com/office/drawing/2014/main" id="{1FC2045B-B223-4B01-9444-4AC599E823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1" name="Picture 31">
          <a:extLst>
            <a:ext uri="{FF2B5EF4-FFF2-40B4-BE49-F238E27FC236}">
              <a16:creationId xmlns:a16="http://schemas.microsoft.com/office/drawing/2014/main" id="{6C722C60-C924-4345-A693-10FB804A0F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2" name="Picture 31">
          <a:extLst>
            <a:ext uri="{FF2B5EF4-FFF2-40B4-BE49-F238E27FC236}">
              <a16:creationId xmlns:a16="http://schemas.microsoft.com/office/drawing/2014/main" id="{3ED64978-EA43-4E79-8F49-F131BC6E6B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3" name="Picture 31">
          <a:extLst>
            <a:ext uri="{FF2B5EF4-FFF2-40B4-BE49-F238E27FC236}">
              <a16:creationId xmlns:a16="http://schemas.microsoft.com/office/drawing/2014/main" id="{231D28A8-1DD7-4D1D-AF12-B11DB5C9FC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4" name="Picture 31">
          <a:extLst>
            <a:ext uri="{FF2B5EF4-FFF2-40B4-BE49-F238E27FC236}">
              <a16:creationId xmlns:a16="http://schemas.microsoft.com/office/drawing/2014/main" id="{268212FF-5865-4B51-AA91-ADBC5E62EF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5" name="Picture 31">
          <a:extLst>
            <a:ext uri="{FF2B5EF4-FFF2-40B4-BE49-F238E27FC236}">
              <a16:creationId xmlns:a16="http://schemas.microsoft.com/office/drawing/2014/main" id="{FDCC5566-0BA1-46B1-9675-388F3B8C87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6" name="Picture 31">
          <a:extLst>
            <a:ext uri="{FF2B5EF4-FFF2-40B4-BE49-F238E27FC236}">
              <a16:creationId xmlns:a16="http://schemas.microsoft.com/office/drawing/2014/main" id="{C0C067EE-ABC4-418B-927F-100A588802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7" name="Picture 31">
          <a:extLst>
            <a:ext uri="{FF2B5EF4-FFF2-40B4-BE49-F238E27FC236}">
              <a16:creationId xmlns:a16="http://schemas.microsoft.com/office/drawing/2014/main" id="{A6CEB144-E3CF-4D31-8798-E2253BA99E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8" name="Picture 31">
          <a:extLst>
            <a:ext uri="{FF2B5EF4-FFF2-40B4-BE49-F238E27FC236}">
              <a16:creationId xmlns:a16="http://schemas.microsoft.com/office/drawing/2014/main" id="{12128B85-DC2A-49CF-8FB2-B20A1B36AE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19" name="Picture 31">
          <a:extLst>
            <a:ext uri="{FF2B5EF4-FFF2-40B4-BE49-F238E27FC236}">
              <a16:creationId xmlns:a16="http://schemas.microsoft.com/office/drawing/2014/main" id="{746EF26E-9280-45E5-A2A1-77C0F363C3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0" name="Picture 31">
          <a:extLst>
            <a:ext uri="{FF2B5EF4-FFF2-40B4-BE49-F238E27FC236}">
              <a16:creationId xmlns:a16="http://schemas.microsoft.com/office/drawing/2014/main" id="{84A053DC-0090-49A3-A9B1-FDB2CE9124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1" name="Picture 31">
          <a:extLst>
            <a:ext uri="{FF2B5EF4-FFF2-40B4-BE49-F238E27FC236}">
              <a16:creationId xmlns:a16="http://schemas.microsoft.com/office/drawing/2014/main" id="{A05E2756-9EDD-4ACB-A50A-2EDEAB369F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2" name="Picture 31">
          <a:extLst>
            <a:ext uri="{FF2B5EF4-FFF2-40B4-BE49-F238E27FC236}">
              <a16:creationId xmlns:a16="http://schemas.microsoft.com/office/drawing/2014/main" id="{B1D1E73B-F784-4BAB-AE40-942CC23EC5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3" name="Picture 31">
          <a:extLst>
            <a:ext uri="{FF2B5EF4-FFF2-40B4-BE49-F238E27FC236}">
              <a16:creationId xmlns:a16="http://schemas.microsoft.com/office/drawing/2014/main" id="{FE12ED74-D4AC-465A-BF64-0A992B86BC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4" name="Picture 31">
          <a:extLst>
            <a:ext uri="{FF2B5EF4-FFF2-40B4-BE49-F238E27FC236}">
              <a16:creationId xmlns:a16="http://schemas.microsoft.com/office/drawing/2014/main" id="{49C065E5-D774-4573-B8CD-7F3EECC6F7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5" name="Picture 31">
          <a:extLst>
            <a:ext uri="{FF2B5EF4-FFF2-40B4-BE49-F238E27FC236}">
              <a16:creationId xmlns:a16="http://schemas.microsoft.com/office/drawing/2014/main" id="{578F5540-9280-4671-B049-8764F23F75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6" name="Picture 31">
          <a:extLst>
            <a:ext uri="{FF2B5EF4-FFF2-40B4-BE49-F238E27FC236}">
              <a16:creationId xmlns:a16="http://schemas.microsoft.com/office/drawing/2014/main" id="{BCEA4659-CC33-4FC9-86A1-A5C1657140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7" name="Picture 31">
          <a:extLst>
            <a:ext uri="{FF2B5EF4-FFF2-40B4-BE49-F238E27FC236}">
              <a16:creationId xmlns:a16="http://schemas.microsoft.com/office/drawing/2014/main" id="{5E091DEB-1EFE-4C6C-BB1B-11475B3ACF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8" name="Picture 31">
          <a:extLst>
            <a:ext uri="{FF2B5EF4-FFF2-40B4-BE49-F238E27FC236}">
              <a16:creationId xmlns:a16="http://schemas.microsoft.com/office/drawing/2014/main" id="{F397BD38-9BC6-48B0-8707-873525C1B5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29" name="Picture 31">
          <a:extLst>
            <a:ext uri="{FF2B5EF4-FFF2-40B4-BE49-F238E27FC236}">
              <a16:creationId xmlns:a16="http://schemas.microsoft.com/office/drawing/2014/main" id="{523003B0-90AC-4E09-9B3F-32715ADDE8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0" name="Picture 31">
          <a:extLst>
            <a:ext uri="{FF2B5EF4-FFF2-40B4-BE49-F238E27FC236}">
              <a16:creationId xmlns:a16="http://schemas.microsoft.com/office/drawing/2014/main" id="{C59217DB-6187-4BBC-A4AF-B52E132494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1" name="Picture 31">
          <a:extLst>
            <a:ext uri="{FF2B5EF4-FFF2-40B4-BE49-F238E27FC236}">
              <a16:creationId xmlns:a16="http://schemas.microsoft.com/office/drawing/2014/main" id="{D4D4EC1A-EAB4-47BC-A23D-5DA0F64C38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2" name="Picture 31">
          <a:extLst>
            <a:ext uri="{FF2B5EF4-FFF2-40B4-BE49-F238E27FC236}">
              <a16:creationId xmlns:a16="http://schemas.microsoft.com/office/drawing/2014/main" id="{50BC011C-20EA-4F46-B895-D57C2CC6F9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3" name="Picture 31">
          <a:extLst>
            <a:ext uri="{FF2B5EF4-FFF2-40B4-BE49-F238E27FC236}">
              <a16:creationId xmlns:a16="http://schemas.microsoft.com/office/drawing/2014/main" id="{CE246CDC-2C06-47EB-A95A-FF444F6DBB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4" name="Picture 31">
          <a:extLst>
            <a:ext uri="{FF2B5EF4-FFF2-40B4-BE49-F238E27FC236}">
              <a16:creationId xmlns:a16="http://schemas.microsoft.com/office/drawing/2014/main" id="{D17FBA3F-3EC9-4A76-8B84-446D255182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5" name="Picture 31">
          <a:extLst>
            <a:ext uri="{FF2B5EF4-FFF2-40B4-BE49-F238E27FC236}">
              <a16:creationId xmlns:a16="http://schemas.microsoft.com/office/drawing/2014/main" id="{BEA1711F-732A-45E4-ADB7-C9A46A7662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6" name="Picture 31">
          <a:extLst>
            <a:ext uri="{FF2B5EF4-FFF2-40B4-BE49-F238E27FC236}">
              <a16:creationId xmlns:a16="http://schemas.microsoft.com/office/drawing/2014/main" id="{A33FF0E0-1FD1-480E-991F-21FB0BF143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7" name="Picture 31">
          <a:extLst>
            <a:ext uri="{FF2B5EF4-FFF2-40B4-BE49-F238E27FC236}">
              <a16:creationId xmlns:a16="http://schemas.microsoft.com/office/drawing/2014/main" id="{B538F53B-F566-4487-9636-7352706959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8" name="Picture 31">
          <a:extLst>
            <a:ext uri="{FF2B5EF4-FFF2-40B4-BE49-F238E27FC236}">
              <a16:creationId xmlns:a16="http://schemas.microsoft.com/office/drawing/2014/main" id="{625174A5-FB15-4C6D-8D30-D261B74858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39" name="Picture 31">
          <a:extLst>
            <a:ext uri="{FF2B5EF4-FFF2-40B4-BE49-F238E27FC236}">
              <a16:creationId xmlns:a16="http://schemas.microsoft.com/office/drawing/2014/main" id="{4673B9F2-17FF-4336-9DA5-B511D09165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0" name="Picture 31">
          <a:extLst>
            <a:ext uri="{FF2B5EF4-FFF2-40B4-BE49-F238E27FC236}">
              <a16:creationId xmlns:a16="http://schemas.microsoft.com/office/drawing/2014/main" id="{DF3805CE-DA29-4795-96BD-1998CCC660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1" name="Picture 31">
          <a:extLst>
            <a:ext uri="{FF2B5EF4-FFF2-40B4-BE49-F238E27FC236}">
              <a16:creationId xmlns:a16="http://schemas.microsoft.com/office/drawing/2014/main" id="{C8FBF5F7-5EF9-4374-8D03-CF3D05F815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2" name="Picture 31">
          <a:extLst>
            <a:ext uri="{FF2B5EF4-FFF2-40B4-BE49-F238E27FC236}">
              <a16:creationId xmlns:a16="http://schemas.microsoft.com/office/drawing/2014/main" id="{75B414C7-CB83-4D65-B5A5-857B6F630A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3" name="Picture 31">
          <a:extLst>
            <a:ext uri="{FF2B5EF4-FFF2-40B4-BE49-F238E27FC236}">
              <a16:creationId xmlns:a16="http://schemas.microsoft.com/office/drawing/2014/main" id="{E98F3382-9AFA-4D77-A3BF-61F0806311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4" name="Picture 31">
          <a:extLst>
            <a:ext uri="{FF2B5EF4-FFF2-40B4-BE49-F238E27FC236}">
              <a16:creationId xmlns:a16="http://schemas.microsoft.com/office/drawing/2014/main" id="{2352E68F-A5C8-491C-ACD2-8DDA7BB00D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5" name="Picture 31">
          <a:extLst>
            <a:ext uri="{FF2B5EF4-FFF2-40B4-BE49-F238E27FC236}">
              <a16:creationId xmlns:a16="http://schemas.microsoft.com/office/drawing/2014/main" id="{B0741598-E35B-4254-B86B-9DA1E86D72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6" name="Picture 31">
          <a:extLst>
            <a:ext uri="{FF2B5EF4-FFF2-40B4-BE49-F238E27FC236}">
              <a16:creationId xmlns:a16="http://schemas.microsoft.com/office/drawing/2014/main" id="{667D5636-D9B4-4491-BC46-B3123FF884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7" name="Picture 31">
          <a:extLst>
            <a:ext uri="{FF2B5EF4-FFF2-40B4-BE49-F238E27FC236}">
              <a16:creationId xmlns:a16="http://schemas.microsoft.com/office/drawing/2014/main" id="{A57C7485-8CAF-420E-8E13-DDBFC8CDAF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8" name="Picture 31">
          <a:extLst>
            <a:ext uri="{FF2B5EF4-FFF2-40B4-BE49-F238E27FC236}">
              <a16:creationId xmlns:a16="http://schemas.microsoft.com/office/drawing/2014/main" id="{35EB1D8F-8784-44E4-B0DE-CC5064E049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49" name="Picture 31">
          <a:extLst>
            <a:ext uri="{FF2B5EF4-FFF2-40B4-BE49-F238E27FC236}">
              <a16:creationId xmlns:a16="http://schemas.microsoft.com/office/drawing/2014/main" id="{53F0FF3F-3A4D-4610-AE55-C718A880C2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0" name="Picture 31">
          <a:extLst>
            <a:ext uri="{FF2B5EF4-FFF2-40B4-BE49-F238E27FC236}">
              <a16:creationId xmlns:a16="http://schemas.microsoft.com/office/drawing/2014/main" id="{3F7D819A-3773-4CEA-8680-211DBF8800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1" name="Picture 31">
          <a:extLst>
            <a:ext uri="{FF2B5EF4-FFF2-40B4-BE49-F238E27FC236}">
              <a16:creationId xmlns:a16="http://schemas.microsoft.com/office/drawing/2014/main" id="{6294870C-54B9-4E80-B379-09517C6A98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2" name="Picture 31">
          <a:extLst>
            <a:ext uri="{FF2B5EF4-FFF2-40B4-BE49-F238E27FC236}">
              <a16:creationId xmlns:a16="http://schemas.microsoft.com/office/drawing/2014/main" id="{44F598F9-3DC6-4E4A-B1E8-DCA4CCF988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3" name="Picture 31">
          <a:extLst>
            <a:ext uri="{FF2B5EF4-FFF2-40B4-BE49-F238E27FC236}">
              <a16:creationId xmlns:a16="http://schemas.microsoft.com/office/drawing/2014/main" id="{9636F465-93D7-4320-8D58-41292FC492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4" name="Picture 31">
          <a:extLst>
            <a:ext uri="{FF2B5EF4-FFF2-40B4-BE49-F238E27FC236}">
              <a16:creationId xmlns:a16="http://schemas.microsoft.com/office/drawing/2014/main" id="{D040A691-2C32-4756-839D-BDE6D6C326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5" name="Picture 31">
          <a:extLst>
            <a:ext uri="{FF2B5EF4-FFF2-40B4-BE49-F238E27FC236}">
              <a16:creationId xmlns:a16="http://schemas.microsoft.com/office/drawing/2014/main" id="{0B84DD2A-32AB-4CCF-8648-A3F08EC6C5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6" name="Picture 31">
          <a:extLst>
            <a:ext uri="{FF2B5EF4-FFF2-40B4-BE49-F238E27FC236}">
              <a16:creationId xmlns:a16="http://schemas.microsoft.com/office/drawing/2014/main" id="{777F431A-F0B2-47F2-8767-3BDEF85EA9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7" name="Picture 31">
          <a:extLst>
            <a:ext uri="{FF2B5EF4-FFF2-40B4-BE49-F238E27FC236}">
              <a16:creationId xmlns:a16="http://schemas.microsoft.com/office/drawing/2014/main" id="{41F004C4-766E-48F9-B16B-62369E78D2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8" name="Picture 31">
          <a:extLst>
            <a:ext uri="{FF2B5EF4-FFF2-40B4-BE49-F238E27FC236}">
              <a16:creationId xmlns:a16="http://schemas.microsoft.com/office/drawing/2014/main" id="{14C379A4-EB90-4D71-B7C4-3F2D090548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59" name="Picture 31">
          <a:extLst>
            <a:ext uri="{FF2B5EF4-FFF2-40B4-BE49-F238E27FC236}">
              <a16:creationId xmlns:a16="http://schemas.microsoft.com/office/drawing/2014/main" id="{CAA3F588-6968-4D87-8648-4D830CA57F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0" name="Picture 31">
          <a:extLst>
            <a:ext uri="{FF2B5EF4-FFF2-40B4-BE49-F238E27FC236}">
              <a16:creationId xmlns:a16="http://schemas.microsoft.com/office/drawing/2014/main" id="{9B0B30AF-CC5C-45AE-B4F7-C4054537E8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1" name="Picture 31">
          <a:extLst>
            <a:ext uri="{FF2B5EF4-FFF2-40B4-BE49-F238E27FC236}">
              <a16:creationId xmlns:a16="http://schemas.microsoft.com/office/drawing/2014/main" id="{3C2B7763-D3AB-4F30-86C8-8EC543242E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2" name="Picture 31">
          <a:extLst>
            <a:ext uri="{FF2B5EF4-FFF2-40B4-BE49-F238E27FC236}">
              <a16:creationId xmlns:a16="http://schemas.microsoft.com/office/drawing/2014/main" id="{A496B1DD-F7E4-43A9-9E76-DCDDB698CD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3" name="Picture 31">
          <a:extLst>
            <a:ext uri="{FF2B5EF4-FFF2-40B4-BE49-F238E27FC236}">
              <a16:creationId xmlns:a16="http://schemas.microsoft.com/office/drawing/2014/main" id="{DF032068-A96E-4F88-A424-00C9A59F1A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4" name="Picture 31">
          <a:extLst>
            <a:ext uri="{FF2B5EF4-FFF2-40B4-BE49-F238E27FC236}">
              <a16:creationId xmlns:a16="http://schemas.microsoft.com/office/drawing/2014/main" id="{484FB269-1202-4CB2-9BDB-4EBD73D8D4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5" name="Picture 31">
          <a:extLst>
            <a:ext uri="{FF2B5EF4-FFF2-40B4-BE49-F238E27FC236}">
              <a16:creationId xmlns:a16="http://schemas.microsoft.com/office/drawing/2014/main" id="{D7C1359A-BD72-4E6D-BD18-A90D3D0D9D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6" name="Picture 31">
          <a:extLst>
            <a:ext uri="{FF2B5EF4-FFF2-40B4-BE49-F238E27FC236}">
              <a16:creationId xmlns:a16="http://schemas.microsoft.com/office/drawing/2014/main" id="{84F5443A-01DB-4CEE-8097-8304C78989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7" name="Picture 31">
          <a:extLst>
            <a:ext uri="{FF2B5EF4-FFF2-40B4-BE49-F238E27FC236}">
              <a16:creationId xmlns:a16="http://schemas.microsoft.com/office/drawing/2014/main" id="{45455A58-0EF0-48A8-B6BD-62B21EF09B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8" name="Picture 31">
          <a:extLst>
            <a:ext uri="{FF2B5EF4-FFF2-40B4-BE49-F238E27FC236}">
              <a16:creationId xmlns:a16="http://schemas.microsoft.com/office/drawing/2014/main" id="{B4F73538-9665-4592-A0D4-FE409B97AD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69" name="Picture 31">
          <a:extLst>
            <a:ext uri="{FF2B5EF4-FFF2-40B4-BE49-F238E27FC236}">
              <a16:creationId xmlns:a16="http://schemas.microsoft.com/office/drawing/2014/main" id="{F2B03451-2F55-49ED-8120-C193EDFA45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0" name="Picture 31">
          <a:extLst>
            <a:ext uri="{FF2B5EF4-FFF2-40B4-BE49-F238E27FC236}">
              <a16:creationId xmlns:a16="http://schemas.microsoft.com/office/drawing/2014/main" id="{E2F62D01-F66F-4F07-B750-1EFB412E48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1" name="Picture 31">
          <a:extLst>
            <a:ext uri="{FF2B5EF4-FFF2-40B4-BE49-F238E27FC236}">
              <a16:creationId xmlns:a16="http://schemas.microsoft.com/office/drawing/2014/main" id="{6A3C9515-750F-437D-9F3C-0846495128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2" name="Picture 31">
          <a:extLst>
            <a:ext uri="{FF2B5EF4-FFF2-40B4-BE49-F238E27FC236}">
              <a16:creationId xmlns:a16="http://schemas.microsoft.com/office/drawing/2014/main" id="{73A4A46A-FE72-4929-A8BB-F5265861A2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3" name="Picture 31">
          <a:extLst>
            <a:ext uri="{FF2B5EF4-FFF2-40B4-BE49-F238E27FC236}">
              <a16:creationId xmlns:a16="http://schemas.microsoft.com/office/drawing/2014/main" id="{6209AB06-E35A-4067-AE80-63767A1F23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4" name="Picture 31">
          <a:extLst>
            <a:ext uri="{FF2B5EF4-FFF2-40B4-BE49-F238E27FC236}">
              <a16:creationId xmlns:a16="http://schemas.microsoft.com/office/drawing/2014/main" id="{7DDA7120-6419-4B85-A20B-8EDAAD5610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5" name="Picture 31">
          <a:extLst>
            <a:ext uri="{FF2B5EF4-FFF2-40B4-BE49-F238E27FC236}">
              <a16:creationId xmlns:a16="http://schemas.microsoft.com/office/drawing/2014/main" id="{D0BE3F4F-BC1E-41DE-8B3D-3AFBEDCF58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6" name="Picture 31">
          <a:extLst>
            <a:ext uri="{FF2B5EF4-FFF2-40B4-BE49-F238E27FC236}">
              <a16:creationId xmlns:a16="http://schemas.microsoft.com/office/drawing/2014/main" id="{30D23B9B-3DD0-4FE4-8DDD-CCF0FB28C2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7" name="Picture 31">
          <a:extLst>
            <a:ext uri="{FF2B5EF4-FFF2-40B4-BE49-F238E27FC236}">
              <a16:creationId xmlns:a16="http://schemas.microsoft.com/office/drawing/2014/main" id="{AD057EB1-1AD0-4816-927D-1C2C874201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8" name="Picture 31">
          <a:extLst>
            <a:ext uri="{FF2B5EF4-FFF2-40B4-BE49-F238E27FC236}">
              <a16:creationId xmlns:a16="http://schemas.microsoft.com/office/drawing/2014/main" id="{FC8A2144-46A6-4AAB-AB76-2DD542D3B8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79" name="Picture 31">
          <a:extLst>
            <a:ext uri="{FF2B5EF4-FFF2-40B4-BE49-F238E27FC236}">
              <a16:creationId xmlns:a16="http://schemas.microsoft.com/office/drawing/2014/main" id="{EFDA4560-4B03-4B3E-8D28-C48D4E6932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0" name="Picture 31">
          <a:extLst>
            <a:ext uri="{FF2B5EF4-FFF2-40B4-BE49-F238E27FC236}">
              <a16:creationId xmlns:a16="http://schemas.microsoft.com/office/drawing/2014/main" id="{F0E4089A-FDC2-4FD7-99D3-20A67EDF5B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1" name="Picture 31">
          <a:extLst>
            <a:ext uri="{FF2B5EF4-FFF2-40B4-BE49-F238E27FC236}">
              <a16:creationId xmlns:a16="http://schemas.microsoft.com/office/drawing/2014/main" id="{AEF8B2BC-E495-4D9A-AE3C-69892CE1E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2" name="Picture 31">
          <a:extLst>
            <a:ext uri="{FF2B5EF4-FFF2-40B4-BE49-F238E27FC236}">
              <a16:creationId xmlns:a16="http://schemas.microsoft.com/office/drawing/2014/main" id="{70544112-42DD-4851-9A4B-C1172F2881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3" name="Picture 31">
          <a:extLst>
            <a:ext uri="{FF2B5EF4-FFF2-40B4-BE49-F238E27FC236}">
              <a16:creationId xmlns:a16="http://schemas.microsoft.com/office/drawing/2014/main" id="{48A30B4A-731E-48BE-8F0B-541DBF62B6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4" name="Picture 31">
          <a:extLst>
            <a:ext uri="{FF2B5EF4-FFF2-40B4-BE49-F238E27FC236}">
              <a16:creationId xmlns:a16="http://schemas.microsoft.com/office/drawing/2014/main" id="{10462385-B5A3-4B2B-8EEC-37A3383CBC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5" name="Picture 31">
          <a:extLst>
            <a:ext uri="{FF2B5EF4-FFF2-40B4-BE49-F238E27FC236}">
              <a16:creationId xmlns:a16="http://schemas.microsoft.com/office/drawing/2014/main" id="{9E2BDA14-F09C-454F-A078-2E0D615816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6" name="Picture 31">
          <a:extLst>
            <a:ext uri="{FF2B5EF4-FFF2-40B4-BE49-F238E27FC236}">
              <a16:creationId xmlns:a16="http://schemas.microsoft.com/office/drawing/2014/main" id="{55BC6CEA-9183-4248-B349-05C7074B89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7" name="Picture 31">
          <a:extLst>
            <a:ext uri="{FF2B5EF4-FFF2-40B4-BE49-F238E27FC236}">
              <a16:creationId xmlns:a16="http://schemas.microsoft.com/office/drawing/2014/main" id="{624C3B09-AFDF-4CD7-AF56-C073668D5E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8" name="Picture 31">
          <a:extLst>
            <a:ext uri="{FF2B5EF4-FFF2-40B4-BE49-F238E27FC236}">
              <a16:creationId xmlns:a16="http://schemas.microsoft.com/office/drawing/2014/main" id="{1C7FE5E1-F1EC-428F-B04A-3D76072C1A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89" name="Picture 31">
          <a:extLst>
            <a:ext uri="{FF2B5EF4-FFF2-40B4-BE49-F238E27FC236}">
              <a16:creationId xmlns:a16="http://schemas.microsoft.com/office/drawing/2014/main" id="{6EB1799C-3D26-43F4-A341-CAB26BA239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0" name="Picture 31">
          <a:extLst>
            <a:ext uri="{FF2B5EF4-FFF2-40B4-BE49-F238E27FC236}">
              <a16:creationId xmlns:a16="http://schemas.microsoft.com/office/drawing/2014/main" id="{74628447-46C8-440A-924B-0CD8BA1935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1" name="Picture 31">
          <a:extLst>
            <a:ext uri="{FF2B5EF4-FFF2-40B4-BE49-F238E27FC236}">
              <a16:creationId xmlns:a16="http://schemas.microsoft.com/office/drawing/2014/main" id="{DF23C979-7A17-46E4-9C8D-AAB5B8ED8E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2" name="Picture 31">
          <a:extLst>
            <a:ext uri="{FF2B5EF4-FFF2-40B4-BE49-F238E27FC236}">
              <a16:creationId xmlns:a16="http://schemas.microsoft.com/office/drawing/2014/main" id="{070BC33C-FA6A-4976-B5C9-18D54DE339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3" name="Picture 31">
          <a:extLst>
            <a:ext uri="{FF2B5EF4-FFF2-40B4-BE49-F238E27FC236}">
              <a16:creationId xmlns:a16="http://schemas.microsoft.com/office/drawing/2014/main" id="{83047548-7F6B-4FCC-820C-BEFDFB9708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4" name="Picture 31">
          <a:extLst>
            <a:ext uri="{FF2B5EF4-FFF2-40B4-BE49-F238E27FC236}">
              <a16:creationId xmlns:a16="http://schemas.microsoft.com/office/drawing/2014/main" id="{4C4570C5-AA04-490C-980C-5C9E6C4F85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5" name="Picture 31">
          <a:extLst>
            <a:ext uri="{FF2B5EF4-FFF2-40B4-BE49-F238E27FC236}">
              <a16:creationId xmlns:a16="http://schemas.microsoft.com/office/drawing/2014/main" id="{7D7D46D9-352C-4B3D-A7CC-F805CEE79D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6" name="Picture 31">
          <a:extLst>
            <a:ext uri="{FF2B5EF4-FFF2-40B4-BE49-F238E27FC236}">
              <a16:creationId xmlns:a16="http://schemas.microsoft.com/office/drawing/2014/main" id="{633BCDF4-46BD-4962-8AD4-312CBE49EB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7" name="Picture 31">
          <a:extLst>
            <a:ext uri="{FF2B5EF4-FFF2-40B4-BE49-F238E27FC236}">
              <a16:creationId xmlns:a16="http://schemas.microsoft.com/office/drawing/2014/main" id="{B1ACE002-0959-4EDF-A588-2C227E82AB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8" name="Picture 31">
          <a:extLst>
            <a:ext uri="{FF2B5EF4-FFF2-40B4-BE49-F238E27FC236}">
              <a16:creationId xmlns:a16="http://schemas.microsoft.com/office/drawing/2014/main" id="{0F9CA67D-F10C-47A2-B5AA-90E912A071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599" name="Picture 31">
          <a:extLst>
            <a:ext uri="{FF2B5EF4-FFF2-40B4-BE49-F238E27FC236}">
              <a16:creationId xmlns:a16="http://schemas.microsoft.com/office/drawing/2014/main" id="{5072B5BA-2ADD-4AF9-8AF5-4BFCB5A620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0" name="Picture 31">
          <a:extLst>
            <a:ext uri="{FF2B5EF4-FFF2-40B4-BE49-F238E27FC236}">
              <a16:creationId xmlns:a16="http://schemas.microsoft.com/office/drawing/2014/main" id="{AD7A1389-B51C-4FC0-9245-6D1388A97F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1" name="Picture 31">
          <a:extLst>
            <a:ext uri="{FF2B5EF4-FFF2-40B4-BE49-F238E27FC236}">
              <a16:creationId xmlns:a16="http://schemas.microsoft.com/office/drawing/2014/main" id="{FDFBAAFB-FF2D-488D-903F-B00C3B51F9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2" name="Picture 31">
          <a:extLst>
            <a:ext uri="{FF2B5EF4-FFF2-40B4-BE49-F238E27FC236}">
              <a16:creationId xmlns:a16="http://schemas.microsoft.com/office/drawing/2014/main" id="{BEF3C27E-87F4-4DD2-9C65-CD2AE8CE9E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3" name="Picture 31">
          <a:extLst>
            <a:ext uri="{FF2B5EF4-FFF2-40B4-BE49-F238E27FC236}">
              <a16:creationId xmlns:a16="http://schemas.microsoft.com/office/drawing/2014/main" id="{021C9525-149E-4518-8B71-E733F1217D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4" name="Picture 31">
          <a:extLst>
            <a:ext uri="{FF2B5EF4-FFF2-40B4-BE49-F238E27FC236}">
              <a16:creationId xmlns:a16="http://schemas.microsoft.com/office/drawing/2014/main" id="{1F2EA5A6-6681-48EA-82D4-1FCF9F68C6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5" name="Picture 31">
          <a:extLst>
            <a:ext uri="{FF2B5EF4-FFF2-40B4-BE49-F238E27FC236}">
              <a16:creationId xmlns:a16="http://schemas.microsoft.com/office/drawing/2014/main" id="{9068C6B6-D4FE-4746-ABD8-B79D69BC9B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6" name="Picture 31">
          <a:extLst>
            <a:ext uri="{FF2B5EF4-FFF2-40B4-BE49-F238E27FC236}">
              <a16:creationId xmlns:a16="http://schemas.microsoft.com/office/drawing/2014/main" id="{7425B3BC-435C-45CA-8545-0CC3DCD1AF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7" name="Picture 31">
          <a:extLst>
            <a:ext uri="{FF2B5EF4-FFF2-40B4-BE49-F238E27FC236}">
              <a16:creationId xmlns:a16="http://schemas.microsoft.com/office/drawing/2014/main" id="{08B6CCB1-4BC6-49BB-9294-3C9221692A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8" name="Picture 31">
          <a:extLst>
            <a:ext uri="{FF2B5EF4-FFF2-40B4-BE49-F238E27FC236}">
              <a16:creationId xmlns:a16="http://schemas.microsoft.com/office/drawing/2014/main" id="{93FA41AE-0A8C-4387-92F2-09A5B7FFC7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09" name="Picture 31">
          <a:extLst>
            <a:ext uri="{FF2B5EF4-FFF2-40B4-BE49-F238E27FC236}">
              <a16:creationId xmlns:a16="http://schemas.microsoft.com/office/drawing/2014/main" id="{CB17FEAB-96C0-4350-B69E-E78C32AA45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0" name="Picture 31">
          <a:extLst>
            <a:ext uri="{FF2B5EF4-FFF2-40B4-BE49-F238E27FC236}">
              <a16:creationId xmlns:a16="http://schemas.microsoft.com/office/drawing/2014/main" id="{C119ECD3-0FC7-4C1D-A4F7-FFBE3CF12C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1" name="Picture 31">
          <a:extLst>
            <a:ext uri="{FF2B5EF4-FFF2-40B4-BE49-F238E27FC236}">
              <a16:creationId xmlns:a16="http://schemas.microsoft.com/office/drawing/2014/main" id="{7479103A-D8F3-4869-8BCE-02049EDED3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2" name="Picture 31">
          <a:extLst>
            <a:ext uri="{FF2B5EF4-FFF2-40B4-BE49-F238E27FC236}">
              <a16:creationId xmlns:a16="http://schemas.microsoft.com/office/drawing/2014/main" id="{957393A1-1797-4CA4-A44B-C7571460CB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3" name="Picture 31">
          <a:extLst>
            <a:ext uri="{FF2B5EF4-FFF2-40B4-BE49-F238E27FC236}">
              <a16:creationId xmlns:a16="http://schemas.microsoft.com/office/drawing/2014/main" id="{B5E3B4A4-7A43-4B48-9E68-B2F9644D23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4" name="Picture 31">
          <a:extLst>
            <a:ext uri="{FF2B5EF4-FFF2-40B4-BE49-F238E27FC236}">
              <a16:creationId xmlns:a16="http://schemas.microsoft.com/office/drawing/2014/main" id="{F141106D-52DE-4085-A984-A3345C91C6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5" name="Picture 31">
          <a:extLst>
            <a:ext uri="{FF2B5EF4-FFF2-40B4-BE49-F238E27FC236}">
              <a16:creationId xmlns:a16="http://schemas.microsoft.com/office/drawing/2014/main" id="{4D7F9090-F37B-4D3E-BBE1-51F04E786A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6" name="Picture 31">
          <a:extLst>
            <a:ext uri="{FF2B5EF4-FFF2-40B4-BE49-F238E27FC236}">
              <a16:creationId xmlns:a16="http://schemas.microsoft.com/office/drawing/2014/main" id="{A34C63C8-2171-4DF2-968B-465AE46429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7" name="Picture 31">
          <a:extLst>
            <a:ext uri="{FF2B5EF4-FFF2-40B4-BE49-F238E27FC236}">
              <a16:creationId xmlns:a16="http://schemas.microsoft.com/office/drawing/2014/main" id="{74F6B437-EE6E-43FC-A497-A55BE04BFB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8" name="Picture 31">
          <a:extLst>
            <a:ext uri="{FF2B5EF4-FFF2-40B4-BE49-F238E27FC236}">
              <a16:creationId xmlns:a16="http://schemas.microsoft.com/office/drawing/2014/main" id="{D2A6E96F-B9E3-462E-BAED-1289345351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19" name="Picture 31">
          <a:extLst>
            <a:ext uri="{FF2B5EF4-FFF2-40B4-BE49-F238E27FC236}">
              <a16:creationId xmlns:a16="http://schemas.microsoft.com/office/drawing/2014/main" id="{0511401B-9C5F-40EE-BB7C-8215B8086A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0" name="Picture 31">
          <a:extLst>
            <a:ext uri="{FF2B5EF4-FFF2-40B4-BE49-F238E27FC236}">
              <a16:creationId xmlns:a16="http://schemas.microsoft.com/office/drawing/2014/main" id="{6B102628-369D-435E-946A-43C44A44DF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1" name="Picture 31">
          <a:extLst>
            <a:ext uri="{FF2B5EF4-FFF2-40B4-BE49-F238E27FC236}">
              <a16:creationId xmlns:a16="http://schemas.microsoft.com/office/drawing/2014/main" id="{84B38779-F888-427E-80BD-B78E7C1D45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2" name="Picture 31">
          <a:extLst>
            <a:ext uri="{FF2B5EF4-FFF2-40B4-BE49-F238E27FC236}">
              <a16:creationId xmlns:a16="http://schemas.microsoft.com/office/drawing/2014/main" id="{FAA17E09-8E3E-4805-A4CA-C02E27DB96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3" name="Picture 31">
          <a:extLst>
            <a:ext uri="{FF2B5EF4-FFF2-40B4-BE49-F238E27FC236}">
              <a16:creationId xmlns:a16="http://schemas.microsoft.com/office/drawing/2014/main" id="{061B8A99-CB8D-4926-9A85-9809DD78C6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4" name="Picture 31">
          <a:extLst>
            <a:ext uri="{FF2B5EF4-FFF2-40B4-BE49-F238E27FC236}">
              <a16:creationId xmlns:a16="http://schemas.microsoft.com/office/drawing/2014/main" id="{24995393-8EDD-4B0E-AB34-0C982123FB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5" name="Picture 31">
          <a:extLst>
            <a:ext uri="{FF2B5EF4-FFF2-40B4-BE49-F238E27FC236}">
              <a16:creationId xmlns:a16="http://schemas.microsoft.com/office/drawing/2014/main" id="{22A60EE0-3065-4459-A5FC-720E6F583B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6" name="Picture 31">
          <a:extLst>
            <a:ext uri="{FF2B5EF4-FFF2-40B4-BE49-F238E27FC236}">
              <a16:creationId xmlns:a16="http://schemas.microsoft.com/office/drawing/2014/main" id="{F991CA4E-9F68-4E37-B652-3157D97AA6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7" name="Picture 31">
          <a:extLst>
            <a:ext uri="{FF2B5EF4-FFF2-40B4-BE49-F238E27FC236}">
              <a16:creationId xmlns:a16="http://schemas.microsoft.com/office/drawing/2014/main" id="{1E036833-EAC0-4533-95F6-10B88EEFE7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8" name="Picture 31">
          <a:extLst>
            <a:ext uri="{FF2B5EF4-FFF2-40B4-BE49-F238E27FC236}">
              <a16:creationId xmlns:a16="http://schemas.microsoft.com/office/drawing/2014/main" id="{A7A9EDB2-8A63-479C-8D9A-9D35EB1FCA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29" name="Picture 31">
          <a:extLst>
            <a:ext uri="{FF2B5EF4-FFF2-40B4-BE49-F238E27FC236}">
              <a16:creationId xmlns:a16="http://schemas.microsoft.com/office/drawing/2014/main" id="{6C12BD46-6F25-4C3D-808B-395C685E67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0" name="Picture 31">
          <a:extLst>
            <a:ext uri="{FF2B5EF4-FFF2-40B4-BE49-F238E27FC236}">
              <a16:creationId xmlns:a16="http://schemas.microsoft.com/office/drawing/2014/main" id="{03FCEAA9-99A0-47B8-8DBA-3D1F1185BA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1" name="Picture 31">
          <a:extLst>
            <a:ext uri="{FF2B5EF4-FFF2-40B4-BE49-F238E27FC236}">
              <a16:creationId xmlns:a16="http://schemas.microsoft.com/office/drawing/2014/main" id="{920F028C-C9F0-489C-A5BC-5832E1305B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2" name="Picture 31">
          <a:extLst>
            <a:ext uri="{FF2B5EF4-FFF2-40B4-BE49-F238E27FC236}">
              <a16:creationId xmlns:a16="http://schemas.microsoft.com/office/drawing/2014/main" id="{E062BFA7-3B4D-4CF4-A941-F013802A85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3" name="Picture 31">
          <a:extLst>
            <a:ext uri="{FF2B5EF4-FFF2-40B4-BE49-F238E27FC236}">
              <a16:creationId xmlns:a16="http://schemas.microsoft.com/office/drawing/2014/main" id="{D9637265-4C9F-428A-B7B0-759A465DA0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4" name="Picture 31">
          <a:extLst>
            <a:ext uri="{FF2B5EF4-FFF2-40B4-BE49-F238E27FC236}">
              <a16:creationId xmlns:a16="http://schemas.microsoft.com/office/drawing/2014/main" id="{2119A8BC-DFE3-40C1-B702-10D82914BB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5" name="Picture 31">
          <a:extLst>
            <a:ext uri="{FF2B5EF4-FFF2-40B4-BE49-F238E27FC236}">
              <a16:creationId xmlns:a16="http://schemas.microsoft.com/office/drawing/2014/main" id="{EAF3BF2C-D7D7-4AE3-B3CE-421CFF1AF2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6" name="Picture 31">
          <a:extLst>
            <a:ext uri="{FF2B5EF4-FFF2-40B4-BE49-F238E27FC236}">
              <a16:creationId xmlns:a16="http://schemas.microsoft.com/office/drawing/2014/main" id="{FFB5CD01-DA8D-4AFA-ADA8-6A2959ED25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7" name="Picture 31">
          <a:extLst>
            <a:ext uri="{FF2B5EF4-FFF2-40B4-BE49-F238E27FC236}">
              <a16:creationId xmlns:a16="http://schemas.microsoft.com/office/drawing/2014/main" id="{C4DCAC8E-B94C-4CC1-8C93-1A3BBCA3EA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8" name="Picture 31">
          <a:extLst>
            <a:ext uri="{FF2B5EF4-FFF2-40B4-BE49-F238E27FC236}">
              <a16:creationId xmlns:a16="http://schemas.microsoft.com/office/drawing/2014/main" id="{B45ACFB9-C061-4A84-923E-69FCC4925C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39" name="Picture 31">
          <a:extLst>
            <a:ext uri="{FF2B5EF4-FFF2-40B4-BE49-F238E27FC236}">
              <a16:creationId xmlns:a16="http://schemas.microsoft.com/office/drawing/2014/main" id="{92297BD9-AEE5-4E70-BB1D-61DCEFB624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0" name="Picture 31">
          <a:extLst>
            <a:ext uri="{FF2B5EF4-FFF2-40B4-BE49-F238E27FC236}">
              <a16:creationId xmlns:a16="http://schemas.microsoft.com/office/drawing/2014/main" id="{DA2D8AA3-E0C0-409D-B783-7C37BC7988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1" name="Picture 31">
          <a:extLst>
            <a:ext uri="{FF2B5EF4-FFF2-40B4-BE49-F238E27FC236}">
              <a16:creationId xmlns:a16="http://schemas.microsoft.com/office/drawing/2014/main" id="{93C041AC-E615-497B-AF37-F98E9A9C76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2" name="Picture 31">
          <a:extLst>
            <a:ext uri="{FF2B5EF4-FFF2-40B4-BE49-F238E27FC236}">
              <a16:creationId xmlns:a16="http://schemas.microsoft.com/office/drawing/2014/main" id="{5722354D-BF3D-4ABA-8F98-E4F34F148E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3" name="Picture 31">
          <a:extLst>
            <a:ext uri="{FF2B5EF4-FFF2-40B4-BE49-F238E27FC236}">
              <a16:creationId xmlns:a16="http://schemas.microsoft.com/office/drawing/2014/main" id="{3148FD86-6D84-46DB-8F4E-A9416A0789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4" name="Picture 31">
          <a:extLst>
            <a:ext uri="{FF2B5EF4-FFF2-40B4-BE49-F238E27FC236}">
              <a16:creationId xmlns:a16="http://schemas.microsoft.com/office/drawing/2014/main" id="{6C956DBB-E8E4-4782-8D98-0854D5534B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5" name="Picture 31">
          <a:extLst>
            <a:ext uri="{FF2B5EF4-FFF2-40B4-BE49-F238E27FC236}">
              <a16:creationId xmlns:a16="http://schemas.microsoft.com/office/drawing/2014/main" id="{867966D0-2549-403D-AE1D-561D98DF98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6" name="Picture 31">
          <a:extLst>
            <a:ext uri="{FF2B5EF4-FFF2-40B4-BE49-F238E27FC236}">
              <a16:creationId xmlns:a16="http://schemas.microsoft.com/office/drawing/2014/main" id="{8E3B3AA1-62D8-4DD1-92A8-B1923E3AC6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7" name="Picture 31">
          <a:extLst>
            <a:ext uri="{FF2B5EF4-FFF2-40B4-BE49-F238E27FC236}">
              <a16:creationId xmlns:a16="http://schemas.microsoft.com/office/drawing/2014/main" id="{062DB335-4AE3-464F-971C-A7B358D1FC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8" name="Picture 31">
          <a:extLst>
            <a:ext uri="{FF2B5EF4-FFF2-40B4-BE49-F238E27FC236}">
              <a16:creationId xmlns:a16="http://schemas.microsoft.com/office/drawing/2014/main" id="{719154C7-5DCC-400A-B836-8C8CD409E4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49" name="Picture 31">
          <a:extLst>
            <a:ext uri="{FF2B5EF4-FFF2-40B4-BE49-F238E27FC236}">
              <a16:creationId xmlns:a16="http://schemas.microsoft.com/office/drawing/2014/main" id="{A5F37845-8152-43CE-A061-B1A4EA2C35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0" name="Picture 31">
          <a:extLst>
            <a:ext uri="{FF2B5EF4-FFF2-40B4-BE49-F238E27FC236}">
              <a16:creationId xmlns:a16="http://schemas.microsoft.com/office/drawing/2014/main" id="{9FE0FBB4-D47A-4239-97E9-65B9787414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1" name="Picture 31">
          <a:extLst>
            <a:ext uri="{FF2B5EF4-FFF2-40B4-BE49-F238E27FC236}">
              <a16:creationId xmlns:a16="http://schemas.microsoft.com/office/drawing/2014/main" id="{D36D4F1A-649D-48D5-BF8A-A25D3A1DDB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2" name="Picture 31">
          <a:extLst>
            <a:ext uri="{FF2B5EF4-FFF2-40B4-BE49-F238E27FC236}">
              <a16:creationId xmlns:a16="http://schemas.microsoft.com/office/drawing/2014/main" id="{1A477EE9-A267-4E71-988D-3003B33827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3" name="Picture 31">
          <a:extLst>
            <a:ext uri="{FF2B5EF4-FFF2-40B4-BE49-F238E27FC236}">
              <a16:creationId xmlns:a16="http://schemas.microsoft.com/office/drawing/2014/main" id="{D7E60ECC-3AF1-441C-9CFD-8684722195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4" name="Picture 31">
          <a:extLst>
            <a:ext uri="{FF2B5EF4-FFF2-40B4-BE49-F238E27FC236}">
              <a16:creationId xmlns:a16="http://schemas.microsoft.com/office/drawing/2014/main" id="{DF6DB080-2917-481E-9CC1-F22B0C245A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5" name="Picture 31">
          <a:extLst>
            <a:ext uri="{FF2B5EF4-FFF2-40B4-BE49-F238E27FC236}">
              <a16:creationId xmlns:a16="http://schemas.microsoft.com/office/drawing/2014/main" id="{C0282227-4AA4-4DF7-AFC5-60C1EF5A5B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6" name="Picture 31">
          <a:extLst>
            <a:ext uri="{FF2B5EF4-FFF2-40B4-BE49-F238E27FC236}">
              <a16:creationId xmlns:a16="http://schemas.microsoft.com/office/drawing/2014/main" id="{7D09986C-F019-4C1A-A32D-69508DC04A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7" name="Picture 31">
          <a:extLst>
            <a:ext uri="{FF2B5EF4-FFF2-40B4-BE49-F238E27FC236}">
              <a16:creationId xmlns:a16="http://schemas.microsoft.com/office/drawing/2014/main" id="{7974FE02-A600-428B-8FFA-8F8A4FE9E0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8" name="Picture 31">
          <a:extLst>
            <a:ext uri="{FF2B5EF4-FFF2-40B4-BE49-F238E27FC236}">
              <a16:creationId xmlns:a16="http://schemas.microsoft.com/office/drawing/2014/main" id="{AC024925-0C33-452C-BA04-B322EE0FD4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59" name="Picture 31">
          <a:extLst>
            <a:ext uri="{FF2B5EF4-FFF2-40B4-BE49-F238E27FC236}">
              <a16:creationId xmlns:a16="http://schemas.microsoft.com/office/drawing/2014/main" id="{7B0234E6-888C-4995-990A-2B981B3EC0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0" name="Picture 31">
          <a:extLst>
            <a:ext uri="{FF2B5EF4-FFF2-40B4-BE49-F238E27FC236}">
              <a16:creationId xmlns:a16="http://schemas.microsoft.com/office/drawing/2014/main" id="{09334FA5-B8D3-41E4-8F28-AC0E95C304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1" name="Picture 31">
          <a:extLst>
            <a:ext uri="{FF2B5EF4-FFF2-40B4-BE49-F238E27FC236}">
              <a16:creationId xmlns:a16="http://schemas.microsoft.com/office/drawing/2014/main" id="{AEE39FF3-2407-4030-9FD7-B0B7401537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2" name="Picture 31">
          <a:extLst>
            <a:ext uri="{FF2B5EF4-FFF2-40B4-BE49-F238E27FC236}">
              <a16:creationId xmlns:a16="http://schemas.microsoft.com/office/drawing/2014/main" id="{936DE871-6EE1-4348-957B-8A98DCF04F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3" name="Picture 31">
          <a:extLst>
            <a:ext uri="{FF2B5EF4-FFF2-40B4-BE49-F238E27FC236}">
              <a16:creationId xmlns:a16="http://schemas.microsoft.com/office/drawing/2014/main" id="{D1374F0F-2E2F-4982-B28F-7954A4ABED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4" name="Picture 31">
          <a:extLst>
            <a:ext uri="{FF2B5EF4-FFF2-40B4-BE49-F238E27FC236}">
              <a16:creationId xmlns:a16="http://schemas.microsoft.com/office/drawing/2014/main" id="{96510FA1-DB53-43F7-97F9-1B72D89A1B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5" name="Picture 31">
          <a:extLst>
            <a:ext uri="{FF2B5EF4-FFF2-40B4-BE49-F238E27FC236}">
              <a16:creationId xmlns:a16="http://schemas.microsoft.com/office/drawing/2014/main" id="{C09EA7C9-62EB-4144-8CC6-9374C875FE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6" name="Picture 31">
          <a:extLst>
            <a:ext uri="{FF2B5EF4-FFF2-40B4-BE49-F238E27FC236}">
              <a16:creationId xmlns:a16="http://schemas.microsoft.com/office/drawing/2014/main" id="{E480AF71-00E2-4AD0-9A98-6211E9255A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7" name="Picture 31">
          <a:extLst>
            <a:ext uri="{FF2B5EF4-FFF2-40B4-BE49-F238E27FC236}">
              <a16:creationId xmlns:a16="http://schemas.microsoft.com/office/drawing/2014/main" id="{7F6D6390-9F7A-4068-A927-6432EBEDF8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8" name="Picture 31">
          <a:extLst>
            <a:ext uri="{FF2B5EF4-FFF2-40B4-BE49-F238E27FC236}">
              <a16:creationId xmlns:a16="http://schemas.microsoft.com/office/drawing/2014/main" id="{22730710-B077-4040-8F1D-8520833398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69" name="Picture 31">
          <a:extLst>
            <a:ext uri="{FF2B5EF4-FFF2-40B4-BE49-F238E27FC236}">
              <a16:creationId xmlns:a16="http://schemas.microsoft.com/office/drawing/2014/main" id="{907CC706-E225-43DA-9803-65953FE17A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0" name="Picture 31">
          <a:extLst>
            <a:ext uri="{FF2B5EF4-FFF2-40B4-BE49-F238E27FC236}">
              <a16:creationId xmlns:a16="http://schemas.microsoft.com/office/drawing/2014/main" id="{3834D543-0655-49A4-B3FC-4D0EAFDF48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1" name="Picture 31">
          <a:extLst>
            <a:ext uri="{FF2B5EF4-FFF2-40B4-BE49-F238E27FC236}">
              <a16:creationId xmlns:a16="http://schemas.microsoft.com/office/drawing/2014/main" id="{D4BB6825-B57F-4111-82E4-E981DF726D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2" name="Picture 31">
          <a:extLst>
            <a:ext uri="{FF2B5EF4-FFF2-40B4-BE49-F238E27FC236}">
              <a16:creationId xmlns:a16="http://schemas.microsoft.com/office/drawing/2014/main" id="{1B8AD45F-586D-479E-A4AB-5A59E539F0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3" name="Picture 31">
          <a:extLst>
            <a:ext uri="{FF2B5EF4-FFF2-40B4-BE49-F238E27FC236}">
              <a16:creationId xmlns:a16="http://schemas.microsoft.com/office/drawing/2014/main" id="{0FE38657-68A1-42A6-BE47-33560DBD3C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4" name="Picture 31">
          <a:extLst>
            <a:ext uri="{FF2B5EF4-FFF2-40B4-BE49-F238E27FC236}">
              <a16:creationId xmlns:a16="http://schemas.microsoft.com/office/drawing/2014/main" id="{464119C5-C37C-4C97-AEAF-BA8A32F751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5" name="Picture 31">
          <a:extLst>
            <a:ext uri="{FF2B5EF4-FFF2-40B4-BE49-F238E27FC236}">
              <a16:creationId xmlns:a16="http://schemas.microsoft.com/office/drawing/2014/main" id="{3D612A4E-F262-481F-9D60-157254E37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6" name="Picture 31">
          <a:extLst>
            <a:ext uri="{FF2B5EF4-FFF2-40B4-BE49-F238E27FC236}">
              <a16:creationId xmlns:a16="http://schemas.microsoft.com/office/drawing/2014/main" id="{21DF7B4D-C670-4008-977F-ADF1CC5865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7" name="Picture 31">
          <a:extLst>
            <a:ext uri="{FF2B5EF4-FFF2-40B4-BE49-F238E27FC236}">
              <a16:creationId xmlns:a16="http://schemas.microsoft.com/office/drawing/2014/main" id="{2944715A-BA1F-4D0A-88A7-1D83668260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8" name="Picture 31">
          <a:extLst>
            <a:ext uri="{FF2B5EF4-FFF2-40B4-BE49-F238E27FC236}">
              <a16:creationId xmlns:a16="http://schemas.microsoft.com/office/drawing/2014/main" id="{5B7A170D-8391-4385-A76D-FA206CF4C8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79" name="Picture 31">
          <a:extLst>
            <a:ext uri="{FF2B5EF4-FFF2-40B4-BE49-F238E27FC236}">
              <a16:creationId xmlns:a16="http://schemas.microsoft.com/office/drawing/2014/main" id="{ACE14CF0-E03F-464C-9CF3-96AD4081EA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0" name="Picture 31">
          <a:extLst>
            <a:ext uri="{FF2B5EF4-FFF2-40B4-BE49-F238E27FC236}">
              <a16:creationId xmlns:a16="http://schemas.microsoft.com/office/drawing/2014/main" id="{F66FDAF2-8B6A-43A8-9BC7-B90D119F66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1" name="Picture 31">
          <a:extLst>
            <a:ext uri="{FF2B5EF4-FFF2-40B4-BE49-F238E27FC236}">
              <a16:creationId xmlns:a16="http://schemas.microsoft.com/office/drawing/2014/main" id="{A4A8586A-2EE7-4E14-8337-C08902F053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2" name="Picture 31">
          <a:extLst>
            <a:ext uri="{FF2B5EF4-FFF2-40B4-BE49-F238E27FC236}">
              <a16:creationId xmlns:a16="http://schemas.microsoft.com/office/drawing/2014/main" id="{7205E240-36A1-4153-9F60-FA64B9EA9B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3" name="Picture 31">
          <a:extLst>
            <a:ext uri="{FF2B5EF4-FFF2-40B4-BE49-F238E27FC236}">
              <a16:creationId xmlns:a16="http://schemas.microsoft.com/office/drawing/2014/main" id="{B5A5A2E3-9206-4BEE-9525-B29E421FF4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4" name="Picture 31">
          <a:extLst>
            <a:ext uri="{FF2B5EF4-FFF2-40B4-BE49-F238E27FC236}">
              <a16:creationId xmlns:a16="http://schemas.microsoft.com/office/drawing/2014/main" id="{94E41D1C-8B91-498A-8A54-4ACB84E9FF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5" name="Picture 31">
          <a:extLst>
            <a:ext uri="{FF2B5EF4-FFF2-40B4-BE49-F238E27FC236}">
              <a16:creationId xmlns:a16="http://schemas.microsoft.com/office/drawing/2014/main" id="{E980662B-9940-441B-9950-7717CBEFA3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6" name="Picture 31">
          <a:extLst>
            <a:ext uri="{FF2B5EF4-FFF2-40B4-BE49-F238E27FC236}">
              <a16:creationId xmlns:a16="http://schemas.microsoft.com/office/drawing/2014/main" id="{F9408AD0-D882-4328-8B6F-D3EDF3438F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7" name="Picture 31">
          <a:extLst>
            <a:ext uri="{FF2B5EF4-FFF2-40B4-BE49-F238E27FC236}">
              <a16:creationId xmlns:a16="http://schemas.microsoft.com/office/drawing/2014/main" id="{55AB7FCF-4550-4B49-8C4F-DFA5A45D76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8" name="Picture 31">
          <a:extLst>
            <a:ext uri="{FF2B5EF4-FFF2-40B4-BE49-F238E27FC236}">
              <a16:creationId xmlns:a16="http://schemas.microsoft.com/office/drawing/2014/main" id="{D404B1B0-AA67-432C-80F0-8139FD7106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89" name="Picture 31">
          <a:extLst>
            <a:ext uri="{FF2B5EF4-FFF2-40B4-BE49-F238E27FC236}">
              <a16:creationId xmlns:a16="http://schemas.microsoft.com/office/drawing/2014/main" id="{4EDEE198-1F61-4344-B9AB-ACE45FEB12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0" name="Picture 31">
          <a:extLst>
            <a:ext uri="{FF2B5EF4-FFF2-40B4-BE49-F238E27FC236}">
              <a16:creationId xmlns:a16="http://schemas.microsoft.com/office/drawing/2014/main" id="{362C86DC-CA54-4BFB-B189-F6F03F00D9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1" name="Picture 31">
          <a:extLst>
            <a:ext uri="{FF2B5EF4-FFF2-40B4-BE49-F238E27FC236}">
              <a16:creationId xmlns:a16="http://schemas.microsoft.com/office/drawing/2014/main" id="{0A4E114E-F5F7-4F65-8DEA-8D48EEDEB6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2" name="Picture 31">
          <a:extLst>
            <a:ext uri="{FF2B5EF4-FFF2-40B4-BE49-F238E27FC236}">
              <a16:creationId xmlns:a16="http://schemas.microsoft.com/office/drawing/2014/main" id="{ECCCAEF1-495D-47E4-BDDA-B8F64C495E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3" name="Picture 31">
          <a:extLst>
            <a:ext uri="{FF2B5EF4-FFF2-40B4-BE49-F238E27FC236}">
              <a16:creationId xmlns:a16="http://schemas.microsoft.com/office/drawing/2014/main" id="{3989A235-621A-4694-8BB3-EA03D0E9A4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4" name="Picture 31">
          <a:extLst>
            <a:ext uri="{FF2B5EF4-FFF2-40B4-BE49-F238E27FC236}">
              <a16:creationId xmlns:a16="http://schemas.microsoft.com/office/drawing/2014/main" id="{624AA01F-F335-469C-B83E-04E8A0FF48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5" name="Picture 31">
          <a:extLst>
            <a:ext uri="{FF2B5EF4-FFF2-40B4-BE49-F238E27FC236}">
              <a16:creationId xmlns:a16="http://schemas.microsoft.com/office/drawing/2014/main" id="{C4A6E0A0-39EA-4DB3-9403-59695C7653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6" name="Picture 31">
          <a:extLst>
            <a:ext uri="{FF2B5EF4-FFF2-40B4-BE49-F238E27FC236}">
              <a16:creationId xmlns:a16="http://schemas.microsoft.com/office/drawing/2014/main" id="{EF549B63-EBB9-47DE-B82D-98688DCA8A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7" name="Picture 31">
          <a:extLst>
            <a:ext uri="{FF2B5EF4-FFF2-40B4-BE49-F238E27FC236}">
              <a16:creationId xmlns:a16="http://schemas.microsoft.com/office/drawing/2014/main" id="{32FE638D-C720-46C8-96BE-A82F6FF91E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8" name="Picture 31">
          <a:extLst>
            <a:ext uri="{FF2B5EF4-FFF2-40B4-BE49-F238E27FC236}">
              <a16:creationId xmlns:a16="http://schemas.microsoft.com/office/drawing/2014/main" id="{AB9D6925-7030-4FB9-9C3B-FD35A8058B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699" name="Picture 31">
          <a:extLst>
            <a:ext uri="{FF2B5EF4-FFF2-40B4-BE49-F238E27FC236}">
              <a16:creationId xmlns:a16="http://schemas.microsoft.com/office/drawing/2014/main" id="{1A7C8894-7F12-410D-A7EE-987B6F5D82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0" name="Picture 31">
          <a:extLst>
            <a:ext uri="{FF2B5EF4-FFF2-40B4-BE49-F238E27FC236}">
              <a16:creationId xmlns:a16="http://schemas.microsoft.com/office/drawing/2014/main" id="{8EBA6C85-C35B-4B92-BFC0-F49BC37EE3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1" name="Picture 31">
          <a:extLst>
            <a:ext uri="{FF2B5EF4-FFF2-40B4-BE49-F238E27FC236}">
              <a16:creationId xmlns:a16="http://schemas.microsoft.com/office/drawing/2014/main" id="{0F3EEBF3-30B1-44C5-B1B7-95CDFFD9DD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2" name="Picture 31">
          <a:extLst>
            <a:ext uri="{FF2B5EF4-FFF2-40B4-BE49-F238E27FC236}">
              <a16:creationId xmlns:a16="http://schemas.microsoft.com/office/drawing/2014/main" id="{4FE78C1B-A0B4-495F-B61C-DC1AD5ECE5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3" name="Picture 31">
          <a:extLst>
            <a:ext uri="{FF2B5EF4-FFF2-40B4-BE49-F238E27FC236}">
              <a16:creationId xmlns:a16="http://schemas.microsoft.com/office/drawing/2014/main" id="{9FCAE400-3577-4707-AD11-11278891BB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4" name="Picture 31">
          <a:extLst>
            <a:ext uri="{FF2B5EF4-FFF2-40B4-BE49-F238E27FC236}">
              <a16:creationId xmlns:a16="http://schemas.microsoft.com/office/drawing/2014/main" id="{0166C22D-4F9E-41D0-89B7-6DC01196DF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5" name="Picture 31">
          <a:extLst>
            <a:ext uri="{FF2B5EF4-FFF2-40B4-BE49-F238E27FC236}">
              <a16:creationId xmlns:a16="http://schemas.microsoft.com/office/drawing/2014/main" id="{81CCF0DD-C4E6-4A1D-ADC5-A7C145D641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6" name="Picture 31">
          <a:extLst>
            <a:ext uri="{FF2B5EF4-FFF2-40B4-BE49-F238E27FC236}">
              <a16:creationId xmlns:a16="http://schemas.microsoft.com/office/drawing/2014/main" id="{2EC2D22B-DFD3-41E8-8B4B-7BDA86FCF4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7" name="Picture 31">
          <a:extLst>
            <a:ext uri="{FF2B5EF4-FFF2-40B4-BE49-F238E27FC236}">
              <a16:creationId xmlns:a16="http://schemas.microsoft.com/office/drawing/2014/main" id="{229063F8-B0E5-476D-9F1D-E738B70988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8" name="Picture 31">
          <a:extLst>
            <a:ext uri="{FF2B5EF4-FFF2-40B4-BE49-F238E27FC236}">
              <a16:creationId xmlns:a16="http://schemas.microsoft.com/office/drawing/2014/main" id="{8367CA7D-AB6F-420A-B1D7-6AF4B3BA3E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09" name="Picture 31">
          <a:extLst>
            <a:ext uri="{FF2B5EF4-FFF2-40B4-BE49-F238E27FC236}">
              <a16:creationId xmlns:a16="http://schemas.microsoft.com/office/drawing/2014/main" id="{2904F365-F6E9-45EF-9DFA-B4ED7118DB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0" name="Picture 31">
          <a:extLst>
            <a:ext uri="{FF2B5EF4-FFF2-40B4-BE49-F238E27FC236}">
              <a16:creationId xmlns:a16="http://schemas.microsoft.com/office/drawing/2014/main" id="{FBA60AD2-1F1C-4D76-AAE0-43E17C1E33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1" name="Picture 31">
          <a:extLst>
            <a:ext uri="{FF2B5EF4-FFF2-40B4-BE49-F238E27FC236}">
              <a16:creationId xmlns:a16="http://schemas.microsoft.com/office/drawing/2014/main" id="{18C7A8D7-6557-46F1-8D99-000EE8D297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2" name="Picture 31">
          <a:extLst>
            <a:ext uri="{FF2B5EF4-FFF2-40B4-BE49-F238E27FC236}">
              <a16:creationId xmlns:a16="http://schemas.microsoft.com/office/drawing/2014/main" id="{32717741-02C1-46B3-9F53-69FAAD0AF6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3" name="Picture 31">
          <a:extLst>
            <a:ext uri="{FF2B5EF4-FFF2-40B4-BE49-F238E27FC236}">
              <a16:creationId xmlns:a16="http://schemas.microsoft.com/office/drawing/2014/main" id="{B2D106F1-1BF9-4496-B42D-B5B0A5652C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4" name="Picture 31">
          <a:extLst>
            <a:ext uri="{FF2B5EF4-FFF2-40B4-BE49-F238E27FC236}">
              <a16:creationId xmlns:a16="http://schemas.microsoft.com/office/drawing/2014/main" id="{C12E1F97-D32A-4CFC-B11A-88C994CC27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5" name="Picture 31">
          <a:extLst>
            <a:ext uri="{FF2B5EF4-FFF2-40B4-BE49-F238E27FC236}">
              <a16:creationId xmlns:a16="http://schemas.microsoft.com/office/drawing/2014/main" id="{4786FB91-7288-4D6F-8A5D-5505EDA3E4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6" name="Picture 31">
          <a:extLst>
            <a:ext uri="{FF2B5EF4-FFF2-40B4-BE49-F238E27FC236}">
              <a16:creationId xmlns:a16="http://schemas.microsoft.com/office/drawing/2014/main" id="{95C55389-E1E5-4517-B7E6-D6D008B012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7" name="Picture 31">
          <a:extLst>
            <a:ext uri="{FF2B5EF4-FFF2-40B4-BE49-F238E27FC236}">
              <a16:creationId xmlns:a16="http://schemas.microsoft.com/office/drawing/2014/main" id="{D194AA44-5421-4A46-A02A-8D50753EA5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8" name="Picture 31">
          <a:extLst>
            <a:ext uri="{FF2B5EF4-FFF2-40B4-BE49-F238E27FC236}">
              <a16:creationId xmlns:a16="http://schemas.microsoft.com/office/drawing/2014/main" id="{13DD1CB2-9C33-436C-8978-DF12708ED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19" name="Picture 31">
          <a:extLst>
            <a:ext uri="{FF2B5EF4-FFF2-40B4-BE49-F238E27FC236}">
              <a16:creationId xmlns:a16="http://schemas.microsoft.com/office/drawing/2014/main" id="{0F65F47D-160E-45B5-AEF5-D2908BF9F3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0" name="Picture 31">
          <a:extLst>
            <a:ext uri="{FF2B5EF4-FFF2-40B4-BE49-F238E27FC236}">
              <a16:creationId xmlns:a16="http://schemas.microsoft.com/office/drawing/2014/main" id="{16CA1998-E9F2-49CF-BB4F-1D7503C99C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1" name="Picture 31">
          <a:extLst>
            <a:ext uri="{FF2B5EF4-FFF2-40B4-BE49-F238E27FC236}">
              <a16:creationId xmlns:a16="http://schemas.microsoft.com/office/drawing/2014/main" id="{AFFDFC52-9098-4E5D-89CC-6427C0979C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2" name="Picture 31">
          <a:extLst>
            <a:ext uri="{FF2B5EF4-FFF2-40B4-BE49-F238E27FC236}">
              <a16:creationId xmlns:a16="http://schemas.microsoft.com/office/drawing/2014/main" id="{E7C07A72-FDB2-4904-8C27-7EC110C115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3" name="Picture 31">
          <a:extLst>
            <a:ext uri="{FF2B5EF4-FFF2-40B4-BE49-F238E27FC236}">
              <a16:creationId xmlns:a16="http://schemas.microsoft.com/office/drawing/2014/main" id="{222BB073-1608-4C38-9701-DCFA496D10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4" name="Picture 31">
          <a:extLst>
            <a:ext uri="{FF2B5EF4-FFF2-40B4-BE49-F238E27FC236}">
              <a16:creationId xmlns:a16="http://schemas.microsoft.com/office/drawing/2014/main" id="{EC6E1095-3C54-4677-9178-A993E009C3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5" name="Picture 31">
          <a:extLst>
            <a:ext uri="{FF2B5EF4-FFF2-40B4-BE49-F238E27FC236}">
              <a16:creationId xmlns:a16="http://schemas.microsoft.com/office/drawing/2014/main" id="{BCFD147A-12C3-4D1B-A825-1FB83CA471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6" name="Picture 31">
          <a:extLst>
            <a:ext uri="{FF2B5EF4-FFF2-40B4-BE49-F238E27FC236}">
              <a16:creationId xmlns:a16="http://schemas.microsoft.com/office/drawing/2014/main" id="{9AB097BB-E1DD-45F2-B949-4BD616030D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7" name="Picture 31">
          <a:extLst>
            <a:ext uri="{FF2B5EF4-FFF2-40B4-BE49-F238E27FC236}">
              <a16:creationId xmlns:a16="http://schemas.microsoft.com/office/drawing/2014/main" id="{8B5C6856-A264-4E52-BF18-7088432E14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8" name="Picture 31">
          <a:extLst>
            <a:ext uri="{FF2B5EF4-FFF2-40B4-BE49-F238E27FC236}">
              <a16:creationId xmlns:a16="http://schemas.microsoft.com/office/drawing/2014/main" id="{B03F79EE-FF3C-4188-B243-7DC9404952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29" name="Picture 31">
          <a:extLst>
            <a:ext uri="{FF2B5EF4-FFF2-40B4-BE49-F238E27FC236}">
              <a16:creationId xmlns:a16="http://schemas.microsoft.com/office/drawing/2014/main" id="{77B79D50-B70B-4B7A-9FE9-1534601B42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0" name="Picture 31">
          <a:extLst>
            <a:ext uri="{FF2B5EF4-FFF2-40B4-BE49-F238E27FC236}">
              <a16:creationId xmlns:a16="http://schemas.microsoft.com/office/drawing/2014/main" id="{624683A8-942E-42A4-AAE6-0F4DB62288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1" name="Picture 31">
          <a:extLst>
            <a:ext uri="{FF2B5EF4-FFF2-40B4-BE49-F238E27FC236}">
              <a16:creationId xmlns:a16="http://schemas.microsoft.com/office/drawing/2014/main" id="{8C7904D3-D079-47E3-9995-C376DB0DA2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2" name="Picture 31">
          <a:extLst>
            <a:ext uri="{FF2B5EF4-FFF2-40B4-BE49-F238E27FC236}">
              <a16:creationId xmlns:a16="http://schemas.microsoft.com/office/drawing/2014/main" id="{A7F9F971-15EE-410B-B1D8-9D41FF0808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3" name="Picture 31">
          <a:extLst>
            <a:ext uri="{FF2B5EF4-FFF2-40B4-BE49-F238E27FC236}">
              <a16:creationId xmlns:a16="http://schemas.microsoft.com/office/drawing/2014/main" id="{991F06E9-3873-457E-9550-EB543278D2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4" name="Picture 31">
          <a:extLst>
            <a:ext uri="{FF2B5EF4-FFF2-40B4-BE49-F238E27FC236}">
              <a16:creationId xmlns:a16="http://schemas.microsoft.com/office/drawing/2014/main" id="{F6F9FB99-3E5C-4777-BBBE-B9E42C056A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5" name="Picture 31">
          <a:extLst>
            <a:ext uri="{FF2B5EF4-FFF2-40B4-BE49-F238E27FC236}">
              <a16:creationId xmlns:a16="http://schemas.microsoft.com/office/drawing/2014/main" id="{D8FF54A2-16FE-4202-B8DB-FB9A3E9AF3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6" name="Picture 31">
          <a:extLst>
            <a:ext uri="{FF2B5EF4-FFF2-40B4-BE49-F238E27FC236}">
              <a16:creationId xmlns:a16="http://schemas.microsoft.com/office/drawing/2014/main" id="{D49A590F-49E1-436A-9BA2-8C606A0425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7" name="Picture 31">
          <a:extLst>
            <a:ext uri="{FF2B5EF4-FFF2-40B4-BE49-F238E27FC236}">
              <a16:creationId xmlns:a16="http://schemas.microsoft.com/office/drawing/2014/main" id="{41E5DC80-0516-459E-96E5-393CFF8915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8" name="Picture 31">
          <a:extLst>
            <a:ext uri="{FF2B5EF4-FFF2-40B4-BE49-F238E27FC236}">
              <a16:creationId xmlns:a16="http://schemas.microsoft.com/office/drawing/2014/main" id="{0744335D-01BF-45C1-B648-2A37BDDE1A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39" name="Picture 31">
          <a:extLst>
            <a:ext uri="{FF2B5EF4-FFF2-40B4-BE49-F238E27FC236}">
              <a16:creationId xmlns:a16="http://schemas.microsoft.com/office/drawing/2014/main" id="{09E932AC-2246-4A42-AE02-6B90F78753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0" name="Picture 31">
          <a:extLst>
            <a:ext uri="{FF2B5EF4-FFF2-40B4-BE49-F238E27FC236}">
              <a16:creationId xmlns:a16="http://schemas.microsoft.com/office/drawing/2014/main" id="{7D2D9C7B-F77F-45C1-A933-9393C8BF8B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1" name="Picture 31">
          <a:extLst>
            <a:ext uri="{FF2B5EF4-FFF2-40B4-BE49-F238E27FC236}">
              <a16:creationId xmlns:a16="http://schemas.microsoft.com/office/drawing/2014/main" id="{93825619-8E40-4B21-B7C2-BD192EF0A5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2" name="Picture 31">
          <a:extLst>
            <a:ext uri="{FF2B5EF4-FFF2-40B4-BE49-F238E27FC236}">
              <a16:creationId xmlns:a16="http://schemas.microsoft.com/office/drawing/2014/main" id="{A8D7A32B-AB38-4A24-8290-B6D49398B8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3" name="Picture 31">
          <a:extLst>
            <a:ext uri="{FF2B5EF4-FFF2-40B4-BE49-F238E27FC236}">
              <a16:creationId xmlns:a16="http://schemas.microsoft.com/office/drawing/2014/main" id="{FE1EC15F-DA8F-44C0-B95E-C23811E5D3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4" name="Picture 31">
          <a:extLst>
            <a:ext uri="{FF2B5EF4-FFF2-40B4-BE49-F238E27FC236}">
              <a16:creationId xmlns:a16="http://schemas.microsoft.com/office/drawing/2014/main" id="{817E507D-5500-4C01-954F-F825B93B7E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5" name="Picture 31">
          <a:extLst>
            <a:ext uri="{FF2B5EF4-FFF2-40B4-BE49-F238E27FC236}">
              <a16:creationId xmlns:a16="http://schemas.microsoft.com/office/drawing/2014/main" id="{867CF39C-5D91-4F8D-8C8C-30382136F8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6" name="Picture 31">
          <a:extLst>
            <a:ext uri="{FF2B5EF4-FFF2-40B4-BE49-F238E27FC236}">
              <a16:creationId xmlns:a16="http://schemas.microsoft.com/office/drawing/2014/main" id="{5C339EAD-BF04-4465-ADF1-0A580FA9A2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7" name="Picture 31">
          <a:extLst>
            <a:ext uri="{FF2B5EF4-FFF2-40B4-BE49-F238E27FC236}">
              <a16:creationId xmlns:a16="http://schemas.microsoft.com/office/drawing/2014/main" id="{AAC4FBFE-AC13-471D-ACB6-7D2C5328DF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8" name="Picture 31">
          <a:extLst>
            <a:ext uri="{FF2B5EF4-FFF2-40B4-BE49-F238E27FC236}">
              <a16:creationId xmlns:a16="http://schemas.microsoft.com/office/drawing/2014/main" id="{174AD3B8-508C-4F6A-9F70-8974B7CC69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49" name="Picture 31">
          <a:extLst>
            <a:ext uri="{FF2B5EF4-FFF2-40B4-BE49-F238E27FC236}">
              <a16:creationId xmlns:a16="http://schemas.microsoft.com/office/drawing/2014/main" id="{5477058C-C8BB-4D36-98DF-26F0CD9DE2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0" name="Picture 31">
          <a:extLst>
            <a:ext uri="{FF2B5EF4-FFF2-40B4-BE49-F238E27FC236}">
              <a16:creationId xmlns:a16="http://schemas.microsoft.com/office/drawing/2014/main" id="{8DF17A8A-4B21-4F16-9A3F-B9FFCA5D31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1" name="Picture 31">
          <a:extLst>
            <a:ext uri="{FF2B5EF4-FFF2-40B4-BE49-F238E27FC236}">
              <a16:creationId xmlns:a16="http://schemas.microsoft.com/office/drawing/2014/main" id="{3621AB4B-7828-4D7A-B223-BDFC41D42C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2" name="Picture 31">
          <a:extLst>
            <a:ext uri="{FF2B5EF4-FFF2-40B4-BE49-F238E27FC236}">
              <a16:creationId xmlns:a16="http://schemas.microsoft.com/office/drawing/2014/main" id="{4BC43E56-AF1B-45BF-962D-13449D8C97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3" name="Picture 31">
          <a:extLst>
            <a:ext uri="{FF2B5EF4-FFF2-40B4-BE49-F238E27FC236}">
              <a16:creationId xmlns:a16="http://schemas.microsoft.com/office/drawing/2014/main" id="{F985FFD3-0927-4871-8667-D8072CCBB8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4" name="Picture 31">
          <a:extLst>
            <a:ext uri="{FF2B5EF4-FFF2-40B4-BE49-F238E27FC236}">
              <a16:creationId xmlns:a16="http://schemas.microsoft.com/office/drawing/2014/main" id="{DD269142-D08A-4690-8CF2-92939EFFB1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5" name="Picture 31">
          <a:extLst>
            <a:ext uri="{FF2B5EF4-FFF2-40B4-BE49-F238E27FC236}">
              <a16:creationId xmlns:a16="http://schemas.microsoft.com/office/drawing/2014/main" id="{9E7A4DF8-D6BE-460B-A6F5-4A28874920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6" name="Picture 31">
          <a:extLst>
            <a:ext uri="{FF2B5EF4-FFF2-40B4-BE49-F238E27FC236}">
              <a16:creationId xmlns:a16="http://schemas.microsoft.com/office/drawing/2014/main" id="{17E547E3-20D5-47B0-BD73-423AE5E9C4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7" name="Picture 31">
          <a:extLst>
            <a:ext uri="{FF2B5EF4-FFF2-40B4-BE49-F238E27FC236}">
              <a16:creationId xmlns:a16="http://schemas.microsoft.com/office/drawing/2014/main" id="{A9789F6B-7620-47DC-A96F-6AD9FB16E2C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8" name="Picture 31">
          <a:extLst>
            <a:ext uri="{FF2B5EF4-FFF2-40B4-BE49-F238E27FC236}">
              <a16:creationId xmlns:a16="http://schemas.microsoft.com/office/drawing/2014/main" id="{DCF482A5-86D6-4727-9AC6-982F28F648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59" name="Picture 31">
          <a:extLst>
            <a:ext uri="{FF2B5EF4-FFF2-40B4-BE49-F238E27FC236}">
              <a16:creationId xmlns:a16="http://schemas.microsoft.com/office/drawing/2014/main" id="{D0023B05-1CC1-444E-B109-6223F2E9E0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0" name="Picture 31">
          <a:extLst>
            <a:ext uri="{FF2B5EF4-FFF2-40B4-BE49-F238E27FC236}">
              <a16:creationId xmlns:a16="http://schemas.microsoft.com/office/drawing/2014/main" id="{1BDB292F-1038-44F1-992F-9E8B011D3B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1" name="Picture 31">
          <a:extLst>
            <a:ext uri="{FF2B5EF4-FFF2-40B4-BE49-F238E27FC236}">
              <a16:creationId xmlns:a16="http://schemas.microsoft.com/office/drawing/2014/main" id="{FD76E3D8-26A3-4745-840A-77F103CE7B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2" name="Picture 31">
          <a:extLst>
            <a:ext uri="{FF2B5EF4-FFF2-40B4-BE49-F238E27FC236}">
              <a16:creationId xmlns:a16="http://schemas.microsoft.com/office/drawing/2014/main" id="{4A866C8A-BED0-4291-A2FF-64ABC8D5B3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3" name="Picture 31">
          <a:extLst>
            <a:ext uri="{FF2B5EF4-FFF2-40B4-BE49-F238E27FC236}">
              <a16:creationId xmlns:a16="http://schemas.microsoft.com/office/drawing/2014/main" id="{749A278B-13A1-42FF-B18E-6976EFE4C8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4" name="Picture 31">
          <a:extLst>
            <a:ext uri="{FF2B5EF4-FFF2-40B4-BE49-F238E27FC236}">
              <a16:creationId xmlns:a16="http://schemas.microsoft.com/office/drawing/2014/main" id="{B1CFC850-F909-4AE8-B470-8F07113B30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5" name="Picture 31">
          <a:extLst>
            <a:ext uri="{FF2B5EF4-FFF2-40B4-BE49-F238E27FC236}">
              <a16:creationId xmlns:a16="http://schemas.microsoft.com/office/drawing/2014/main" id="{B2054922-E47E-4592-8910-019F03298F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6" name="Picture 31">
          <a:extLst>
            <a:ext uri="{FF2B5EF4-FFF2-40B4-BE49-F238E27FC236}">
              <a16:creationId xmlns:a16="http://schemas.microsoft.com/office/drawing/2014/main" id="{234A4797-CE0E-4D78-8F6D-0FC9AA8FF6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7" name="Picture 31">
          <a:extLst>
            <a:ext uri="{FF2B5EF4-FFF2-40B4-BE49-F238E27FC236}">
              <a16:creationId xmlns:a16="http://schemas.microsoft.com/office/drawing/2014/main" id="{BD622248-2295-4D17-ABE5-47F8FB8B00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8" name="Picture 31">
          <a:extLst>
            <a:ext uri="{FF2B5EF4-FFF2-40B4-BE49-F238E27FC236}">
              <a16:creationId xmlns:a16="http://schemas.microsoft.com/office/drawing/2014/main" id="{6104B2D0-002B-49AB-9D5E-265327F40E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69" name="Picture 31">
          <a:extLst>
            <a:ext uri="{FF2B5EF4-FFF2-40B4-BE49-F238E27FC236}">
              <a16:creationId xmlns:a16="http://schemas.microsoft.com/office/drawing/2014/main" id="{0780B61D-C54F-46A3-8076-10C0B6491F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0" name="Picture 31">
          <a:extLst>
            <a:ext uri="{FF2B5EF4-FFF2-40B4-BE49-F238E27FC236}">
              <a16:creationId xmlns:a16="http://schemas.microsoft.com/office/drawing/2014/main" id="{F19AF709-4C7C-4FD3-82C0-F4CA42BF05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1" name="Picture 31">
          <a:extLst>
            <a:ext uri="{FF2B5EF4-FFF2-40B4-BE49-F238E27FC236}">
              <a16:creationId xmlns:a16="http://schemas.microsoft.com/office/drawing/2014/main" id="{5B1A9728-9577-4EC0-89A8-C3E58E4E82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2" name="Picture 31">
          <a:extLst>
            <a:ext uri="{FF2B5EF4-FFF2-40B4-BE49-F238E27FC236}">
              <a16:creationId xmlns:a16="http://schemas.microsoft.com/office/drawing/2014/main" id="{9948C9EA-D2A4-47A7-8E40-FB3F2F35E8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3" name="Picture 31">
          <a:extLst>
            <a:ext uri="{FF2B5EF4-FFF2-40B4-BE49-F238E27FC236}">
              <a16:creationId xmlns:a16="http://schemas.microsoft.com/office/drawing/2014/main" id="{E507B8D6-CA81-4D17-A3C5-0A5B1618F9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4" name="Picture 31">
          <a:extLst>
            <a:ext uri="{FF2B5EF4-FFF2-40B4-BE49-F238E27FC236}">
              <a16:creationId xmlns:a16="http://schemas.microsoft.com/office/drawing/2014/main" id="{A301DE6D-5D84-455B-9A92-7E72F7BE74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5" name="Picture 31">
          <a:extLst>
            <a:ext uri="{FF2B5EF4-FFF2-40B4-BE49-F238E27FC236}">
              <a16:creationId xmlns:a16="http://schemas.microsoft.com/office/drawing/2014/main" id="{3E3E9B88-8C3E-4D13-9D8C-787FC5BC78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6" name="Picture 31">
          <a:extLst>
            <a:ext uri="{FF2B5EF4-FFF2-40B4-BE49-F238E27FC236}">
              <a16:creationId xmlns:a16="http://schemas.microsoft.com/office/drawing/2014/main" id="{7CB33516-BF9B-40BD-A5B3-17E6EE6F0E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7" name="Picture 31">
          <a:extLst>
            <a:ext uri="{FF2B5EF4-FFF2-40B4-BE49-F238E27FC236}">
              <a16:creationId xmlns:a16="http://schemas.microsoft.com/office/drawing/2014/main" id="{13ECE60F-B69E-4D98-B088-B4E559A8F3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8" name="Picture 31">
          <a:extLst>
            <a:ext uri="{FF2B5EF4-FFF2-40B4-BE49-F238E27FC236}">
              <a16:creationId xmlns:a16="http://schemas.microsoft.com/office/drawing/2014/main" id="{1BF6E98F-D0F8-44D5-B99C-C1999FF74A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79" name="Picture 31">
          <a:extLst>
            <a:ext uri="{FF2B5EF4-FFF2-40B4-BE49-F238E27FC236}">
              <a16:creationId xmlns:a16="http://schemas.microsoft.com/office/drawing/2014/main" id="{809625C7-5D35-40FC-BB42-B0B7AEC568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0" name="Picture 31">
          <a:extLst>
            <a:ext uri="{FF2B5EF4-FFF2-40B4-BE49-F238E27FC236}">
              <a16:creationId xmlns:a16="http://schemas.microsoft.com/office/drawing/2014/main" id="{C00DF9DA-5153-4A54-A579-23F1750126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1" name="Picture 31">
          <a:extLst>
            <a:ext uri="{FF2B5EF4-FFF2-40B4-BE49-F238E27FC236}">
              <a16:creationId xmlns:a16="http://schemas.microsoft.com/office/drawing/2014/main" id="{3650F282-77D8-4BFB-B34A-0EE7469F1D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2" name="Picture 31">
          <a:extLst>
            <a:ext uri="{FF2B5EF4-FFF2-40B4-BE49-F238E27FC236}">
              <a16:creationId xmlns:a16="http://schemas.microsoft.com/office/drawing/2014/main" id="{34CAD3DC-87F8-4F33-9FC9-384E5CB004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3" name="Picture 31">
          <a:extLst>
            <a:ext uri="{FF2B5EF4-FFF2-40B4-BE49-F238E27FC236}">
              <a16:creationId xmlns:a16="http://schemas.microsoft.com/office/drawing/2014/main" id="{ED2BC24A-4E96-4EC2-99FE-87B456029A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4" name="Picture 31">
          <a:extLst>
            <a:ext uri="{FF2B5EF4-FFF2-40B4-BE49-F238E27FC236}">
              <a16:creationId xmlns:a16="http://schemas.microsoft.com/office/drawing/2014/main" id="{61C5580E-E150-4AD9-AD24-10050EB4FF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5" name="Picture 31">
          <a:extLst>
            <a:ext uri="{FF2B5EF4-FFF2-40B4-BE49-F238E27FC236}">
              <a16:creationId xmlns:a16="http://schemas.microsoft.com/office/drawing/2014/main" id="{3CC12418-5387-4A8C-B719-EBC5877DD7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6" name="Picture 31">
          <a:extLst>
            <a:ext uri="{FF2B5EF4-FFF2-40B4-BE49-F238E27FC236}">
              <a16:creationId xmlns:a16="http://schemas.microsoft.com/office/drawing/2014/main" id="{2004D13F-5FC7-406D-AAD9-C1DE0EF474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7" name="Picture 31">
          <a:extLst>
            <a:ext uri="{FF2B5EF4-FFF2-40B4-BE49-F238E27FC236}">
              <a16:creationId xmlns:a16="http://schemas.microsoft.com/office/drawing/2014/main" id="{6F7BCEA2-A325-4137-9604-484D11E967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8" name="Picture 31">
          <a:extLst>
            <a:ext uri="{FF2B5EF4-FFF2-40B4-BE49-F238E27FC236}">
              <a16:creationId xmlns:a16="http://schemas.microsoft.com/office/drawing/2014/main" id="{E9ED7E91-F567-4D84-9934-3FDFD8D7B2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89" name="Picture 31">
          <a:extLst>
            <a:ext uri="{FF2B5EF4-FFF2-40B4-BE49-F238E27FC236}">
              <a16:creationId xmlns:a16="http://schemas.microsoft.com/office/drawing/2014/main" id="{BEEC9628-ADF6-4610-BF8E-BBD923C633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0" name="Picture 31">
          <a:extLst>
            <a:ext uri="{FF2B5EF4-FFF2-40B4-BE49-F238E27FC236}">
              <a16:creationId xmlns:a16="http://schemas.microsoft.com/office/drawing/2014/main" id="{AC346D8B-27B4-4A1F-A1E3-55BACF50D7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1" name="Picture 31">
          <a:extLst>
            <a:ext uri="{FF2B5EF4-FFF2-40B4-BE49-F238E27FC236}">
              <a16:creationId xmlns:a16="http://schemas.microsoft.com/office/drawing/2014/main" id="{F28BCEC1-3597-49E4-904A-3B3D688E94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2" name="Picture 31">
          <a:extLst>
            <a:ext uri="{FF2B5EF4-FFF2-40B4-BE49-F238E27FC236}">
              <a16:creationId xmlns:a16="http://schemas.microsoft.com/office/drawing/2014/main" id="{4BE78AC1-9EF2-4D62-A1D0-D19C22BE07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3" name="Picture 31">
          <a:extLst>
            <a:ext uri="{FF2B5EF4-FFF2-40B4-BE49-F238E27FC236}">
              <a16:creationId xmlns:a16="http://schemas.microsoft.com/office/drawing/2014/main" id="{69295F36-F334-40B7-9BAD-EA30A073ED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4" name="Picture 31">
          <a:extLst>
            <a:ext uri="{FF2B5EF4-FFF2-40B4-BE49-F238E27FC236}">
              <a16:creationId xmlns:a16="http://schemas.microsoft.com/office/drawing/2014/main" id="{BECD9CBC-3C2F-41DC-B648-8EAB203B8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5" name="Picture 31">
          <a:extLst>
            <a:ext uri="{FF2B5EF4-FFF2-40B4-BE49-F238E27FC236}">
              <a16:creationId xmlns:a16="http://schemas.microsoft.com/office/drawing/2014/main" id="{EA440263-8D55-4DF2-B366-814A49C737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6" name="Picture 31">
          <a:extLst>
            <a:ext uri="{FF2B5EF4-FFF2-40B4-BE49-F238E27FC236}">
              <a16:creationId xmlns:a16="http://schemas.microsoft.com/office/drawing/2014/main" id="{AF1ABD15-4862-422B-A7BD-1465F089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7" name="Picture 31">
          <a:extLst>
            <a:ext uri="{FF2B5EF4-FFF2-40B4-BE49-F238E27FC236}">
              <a16:creationId xmlns:a16="http://schemas.microsoft.com/office/drawing/2014/main" id="{12E52DAB-59F8-47E2-B3A5-C18DCCE557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8" name="Picture 31">
          <a:extLst>
            <a:ext uri="{FF2B5EF4-FFF2-40B4-BE49-F238E27FC236}">
              <a16:creationId xmlns:a16="http://schemas.microsoft.com/office/drawing/2014/main" id="{4A56F81C-56CE-4208-953D-A750AC4021E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799" name="Picture 31">
          <a:extLst>
            <a:ext uri="{FF2B5EF4-FFF2-40B4-BE49-F238E27FC236}">
              <a16:creationId xmlns:a16="http://schemas.microsoft.com/office/drawing/2014/main" id="{D13B62D2-E96C-4099-82C2-38598995DE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0" name="Picture 31">
          <a:extLst>
            <a:ext uri="{FF2B5EF4-FFF2-40B4-BE49-F238E27FC236}">
              <a16:creationId xmlns:a16="http://schemas.microsoft.com/office/drawing/2014/main" id="{BF34CED3-A0CF-4594-BC06-7AE8FF8928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1" name="Picture 31">
          <a:extLst>
            <a:ext uri="{FF2B5EF4-FFF2-40B4-BE49-F238E27FC236}">
              <a16:creationId xmlns:a16="http://schemas.microsoft.com/office/drawing/2014/main" id="{1C8FD2FA-BF3B-46E9-9855-75AFF94F30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2" name="Picture 31">
          <a:extLst>
            <a:ext uri="{FF2B5EF4-FFF2-40B4-BE49-F238E27FC236}">
              <a16:creationId xmlns:a16="http://schemas.microsoft.com/office/drawing/2014/main" id="{09A7D4B8-1FE3-4051-85BE-65E79DEDB0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3" name="Picture 31">
          <a:extLst>
            <a:ext uri="{FF2B5EF4-FFF2-40B4-BE49-F238E27FC236}">
              <a16:creationId xmlns:a16="http://schemas.microsoft.com/office/drawing/2014/main" id="{348ABDC1-71A2-49FC-A782-B8633AD755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4" name="Picture 31">
          <a:extLst>
            <a:ext uri="{FF2B5EF4-FFF2-40B4-BE49-F238E27FC236}">
              <a16:creationId xmlns:a16="http://schemas.microsoft.com/office/drawing/2014/main" id="{702052AE-5124-4952-B2AE-EA3CDF8DB4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5" name="Picture 31">
          <a:extLst>
            <a:ext uri="{FF2B5EF4-FFF2-40B4-BE49-F238E27FC236}">
              <a16:creationId xmlns:a16="http://schemas.microsoft.com/office/drawing/2014/main" id="{ABA65553-4F0E-4BDA-B790-F0C1AA803C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6" name="Picture 31">
          <a:extLst>
            <a:ext uri="{FF2B5EF4-FFF2-40B4-BE49-F238E27FC236}">
              <a16:creationId xmlns:a16="http://schemas.microsoft.com/office/drawing/2014/main" id="{57B96624-4A7B-453C-B8D4-B1728E89F5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7" name="Picture 31">
          <a:extLst>
            <a:ext uri="{FF2B5EF4-FFF2-40B4-BE49-F238E27FC236}">
              <a16:creationId xmlns:a16="http://schemas.microsoft.com/office/drawing/2014/main" id="{0205097B-8634-47B8-B196-BF9DBC20B9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8" name="Picture 31">
          <a:extLst>
            <a:ext uri="{FF2B5EF4-FFF2-40B4-BE49-F238E27FC236}">
              <a16:creationId xmlns:a16="http://schemas.microsoft.com/office/drawing/2014/main" id="{5B4BA1FC-81C6-4E72-879E-5B370B725D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09" name="Picture 31">
          <a:extLst>
            <a:ext uri="{FF2B5EF4-FFF2-40B4-BE49-F238E27FC236}">
              <a16:creationId xmlns:a16="http://schemas.microsoft.com/office/drawing/2014/main" id="{ADBDCDDE-DE3B-4FDF-8B4A-CDBCF74E8E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0" name="Picture 31">
          <a:extLst>
            <a:ext uri="{FF2B5EF4-FFF2-40B4-BE49-F238E27FC236}">
              <a16:creationId xmlns:a16="http://schemas.microsoft.com/office/drawing/2014/main" id="{B732AF8F-BA43-4FBE-B2EF-3CB58E9C6F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1" name="Picture 31">
          <a:extLst>
            <a:ext uri="{FF2B5EF4-FFF2-40B4-BE49-F238E27FC236}">
              <a16:creationId xmlns:a16="http://schemas.microsoft.com/office/drawing/2014/main" id="{EBB71CD9-AADB-4123-854C-4115CAD1CF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2" name="Picture 31">
          <a:extLst>
            <a:ext uri="{FF2B5EF4-FFF2-40B4-BE49-F238E27FC236}">
              <a16:creationId xmlns:a16="http://schemas.microsoft.com/office/drawing/2014/main" id="{589FC82B-F1D8-484D-AA50-232777E032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3" name="Picture 31">
          <a:extLst>
            <a:ext uri="{FF2B5EF4-FFF2-40B4-BE49-F238E27FC236}">
              <a16:creationId xmlns:a16="http://schemas.microsoft.com/office/drawing/2014/main" id="{5701B6C6-79B0-42DB-8026-811419C37D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4" name="Picture 31">
          <a:extLst>
            <a:ext uri="{FF2B5EF4-FFF2-40B4-BE49-F238E27FC236}">
              <a16:creationId xmlns:a16="http://schemas.microsoft.com/office/drawing/2014/main" id="{4E4B57DA-0B7D-4A54-84AB-FD4DAB2368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5" name="Picture 31">
          <a:extLst>
            <a:ext uri="{FF2B5EF4-FFF2-40B4-BE49-F238E27FC236}">
              <a16:creationId xmlns:a16="http://schemas.microsoft.com/office/drawing/2014/main" id="{74F716C5-83F9-4FF3-91FF-ADFD1B6B32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6" name="Picture 31">
          <a:extLst>
            <a:ext uri="{FF2B5EF4-FFF2-40B4-BE49-F238E27FC236}">
              <a16:creationId xmlns:a16="http://schemas.microsoft.com/office/drawing/2014/main" id="{B0608534-E720-4080-9122-A338475398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7" name="Picture 31">
          <a:extLst>
            <a:ext uri="{FF2B5EF4-FFF2-40B4-BE49-F238E27FC236}">
              <a16:creationId xmlns:a16="http://schemas.microsoft.com/office/drawing/2014/main" id="{E8C2F23D-B08C-49AB-9180-358DEA5E1A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8" name="Picture 31">
          <a:extLst>
            <a:ext uri="{FF2B5EF4-FFF2-40B4-BE49-F238E27FC236}">
              <a16:creationId xmlns:a16="http://schemas.microsoft.com/office/drawing/2014/main" id="{65C1D8D1-341C-4AE5-9E1D-AC96134855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19" name="Picture 31">
          <a:extLst>
            <a:ext uri="{FF2B5EF4-FFF2-40B4-BE49-F238E27FC236}">
              <a16:creationId xmlns:a16="http://schemas.microsoft.com/office/drawing/2014/main" id="{77778B08-227C-42B6-9DA3-14BEE9E769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0" name="Picture 31">
          <a:extLst>
            <a:ext uri="{FF2B5EF4-FFF2-40B4-BE49-F238E27FC236}">
              <a16:creationId xmlns:a16="http://schemas.microsoft.com/office/drawing/2014/main" id="{6EC04C89-1CC0-4F73-92C5-AFE433FFA8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1" name="Picture 31">
          <a:extLst>
            <a:ext uri="{FF2B5EF4-FFF2-40B4-BE49-F238E27FC236}">
              <a16:creationId xmlns:a16="http://schemas.microsoft.com/office/drawing/2014/main" id="{C77B28FA-7BCB-440A-829A-1A0A8CCD21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2" name="Picture 31">
          <a:extLst>
            <a:ext uri="{FF2B5EF4-FFF2-40B4-BE49-F238E27FC236}">
              <a16:creationId xmlns:a16="http://schemas.microsoft.com/office/drawing/2014/main" id="{E232F575-0BC6-4B7B-BA2B-784EA2D310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3" name="Picture 31">
          <a:extLst>
            <a:ext uri="{FF2B5EF4-FFF2-40B4-BE49-F238E27FC236}">
              <a16:creationId xmlns:a16="http://schemas.microsoft.com/office/drawing/2014/main" id="{0D6F52BC-BA9B-4243-BEF7-D09003DAB4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4" name="Picture 31">
          <a:extLst>
            <a:ext uri="{FF2B5EF4-FFF2-40B4-BE49-F238E27FC236}">
              <a16:creationId xmlns:a16="http://schemas.microsoft.com/office/drawing/2014/main" id="{88B84F52-25A2-45A3-9885-099A0C4347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5" name="Picture 31">
          <a:extLst>
            <a:ext uri="{FF2B5EF4-FFF2-40B4-BE49-F238E27FC236}">
              <a16:creationId xmlns:a16="http://schemas.microsoft.com/office/drawing/2014/main" id="{DCF4DC03-8909-4299-92C9-37908C1D6D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6" name="Picture 31">
          <a:extLst>
            <a:ext uri="{FF2B5EF4-FFF2-40B4-BE49-F238E27FC236}">
              <a16:creationId xmlns:a16="http://schemas.microsoft.com/office/drawing/2014/main" id="{DDA49596-5FF6-45C8-A390-A99E36FEF4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7" name="Picture 31">
          <a:extLst>
            <a:ext uri="{FF2B5EF4-FFF2-40B4-BE49-F238E27FC236}">
              <a16:creationId xmlns:a16="http://schemas.microsoft.com/office/drawing/2014/main" id="{621FBC33-559A-40F0-9D3E-074E902E6E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8" name="Picture 31">
          <a:extLst>
            <a:ext uri="{FF2B5EF4-FFF2-40B4-BE49-F238E27FC236}">
              <a16:creationId xmlns:a16="http://schemas.microsoft.com/office/drawing/2014/main" id="{AFF1CF0F-D485-4286-8ABF-3CB5B2FA6A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29" name="Picture 31">
          <a:extLst>
            <a:ext uri="{FF2B5EF4-FFF2-40B4-BE49-F238E27FC236}">
              <a16:creationId xmlns:a16="http://schemas.microsoft.com/office/drawing/2014/main" id="{DE41B719-91A4-4277-AFC8-B707BB8F01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0" name="Picture 31">
          <a:extLst>
            <a:ext uri="{FF2B5EF4-FFF2-40B4-BE49-F238E27FC236}">
              <a16:creationId xmlns:a16="http://schemas.microsoft.com/office/drawing/2014/main" id="{CCF21C19-C0A3-432D-8B3C-B69172DDDF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1" name="Picture 31">
          <a:extLst>
            <a:ext uri="{FF2B5EF4-FFF2-40B4-BE49-F238E27FC236}">
              <a16:creationId xmlns:a16="http://schemas.microsoft.com/office/drawing/2014/main" id="{8164879B-6628-42DD-B159-980272A079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2" name="Picture 31">
          <a:extLst>
            <a:ext uri="{FF2B5EF4-FFF2-40B4-BE49-F238E27FC236}">
              <a16:creationId xmlns:a16="http://schemas.microsoft.com/office/drawing/2014/main" id="{23E13CA4-2BCE-4D03-854E-F0DBB5B5CE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3" name="Picture 31">
          <a:extLst>
            <a:ext uri="{FF2B5EF4-FFF2-40B4-BE49-F238E27FC236}">
              <a16:creationId xmlns:a16="http://schemas.microsoft.com/office/drawing/2014/main" id="{C5697619-A9E9-4D51-96B1-AA6A984577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4" name="Picture 31">
          <a:extLst>
            <a:ext uri="{FF2B5EF4-FFF2-40B4-BE49-F238E27FC236}">
              <a16:creationId xmlns:a16="http://schemas.microsoft.com/office/drawing/2014/main" id="{071115A6-9BF5-41BB-AB18-C2E25F319C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5" name="Picture 31">
          <a:extLst>
            <a:ext uri="{FF2B5EF4-FFF2-40B4-BE49-F238E27FC236}">
              <a16:creationId xmlns:a16="http://schemas.microsoft.com/office/drawing/2014/main" id="{618F39FA-6F5F-4CC8-8FEE-F8EEA52E71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6" name="Picture 31">
          <a:extLst>
            <a:ext uri="{FF2B5EF4-FFF2-40B4-BE49-F238E27FC236}">
              <a16:creationId xmlns:a16="http://schemas.microsoft.com/office/drawing/2014/main" id="{23C94658-BB8E-48E5-9C35-B1A5F8D358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7" name="Picture 31">
          <a:extLst>
            <a:ext uri="{FF2B5EF4-FFF2-40B4-BE49-F238E27FC236}">
              <a16:creationId xmlns:a16="http://schemas.microsoft.com/office/drawing/2014/main" id="{545D829F-E5E1-4244-B69B-D84B619549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8" name="Picture 31">
          <a:extLst>
            <a:ext uri="{FF2B5EF4-FFF2-40B4-BE49-F238E27FC236}">
              <a16:creationId xmlns:a16="http://schemas.microsoft.com/office/drawing/2014/main" id="{18649F3E-3371-447C-BCB8-C73F514339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39" name="Picture 31">
          <a:extLst>
            <a:ext uri="{FF2B5EF4-FFF2-40B4-BE49-F238E27FC236}">
              <a16:creationId xmlns:a16="http://schemas.microsoft.com/office/drawing/2014/main" id="{301ED4E3-7084-4FC7-8F62-1C052B3296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0" name="Picture 31">
          <a:extLst>
            <a:ext uri="{FF2B5EF4-FFF2-40B4-BE49-F238E27FC236}">
              <a16:creationId xmlns:a16="http://schemas.microsoft.com/office/drawing/2014/main" id="{231388F4-8F1F-4818-BB8B-1DCE67C3ED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1" name="Picture 31">
          <a:extLst>
            <a:ext uri="{FF2B5EF4-FFF2-40B4-BE49-F238E27FC236}">
              <a16:creationId xmlns:a16="http://schemas.microsoft.com/office/drawing/2014/main" id="{34BD94FF-D484-4DAB-B09D-F96FACA4E5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2" name="Picture 31">
          <a:extLst>
            <a:ext uri="{FF2B5EF4-FFF2-40B4-BE49-F238E27FC236}">
              <a16:creationId xmlns:a16="http://schemas.microsoft.com/office/drawing/2014/main" id="{696926EF-353C-4E60-BD98-6E484352B0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3" name="Picture 31">
          <a:extLst>
            <a:ext uri="{FF2B5EF4-FFF2-40B4-BE49-F238E27FC236}">
              <a16:creationId xmlns:a16="http://schemas.microsoft.com/office/drawing/2014/main" id="{E5CFCFEB-0E78-4325-BF22-4F152A5C75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4" name="Picture 31">
          <a:extLst>
            <a:ext uri="{FF2B5EF4-FFF2-40B4-BE49-F238E27FC236}">
              <a16:creationId xmlns:a16="http://schemas.microsoft.com/office/drawing/2014/main" id="{BBB8E4C5-DDE8-4152-B8D9-586BF09740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5" name="Picture 31">
          <a:extLst>
            <a:ext uri="{FF2B5EF4-FFF2-40B4-BE49-F238E27FC236}">
              <a16:creationId xmlns:a16="http://schemas.microsoft.com/office/drawing/2014/main" id="{A2C021D3-82DF-43C9-9740-A697C0F195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6" name="Picture 31">
          <a:extLst>
            <a:ext uri="{FF2B5EF4-FFF2-40B4-BE49-F238E27FC236}">
              <a16:creationId xmlns:a16="http://schemas.microsoft.com/office/drawing/2014/main" id="{D4C4AE7E-E11E-4ADA-BCA3-B89123B1EE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7" name="Picture 31">
          <a:extLst>
            <a:ext uri="{FF2B5EF4-FFF2-40B4-BE49-F238E27FC236}">
              <a16:creationId xmlns:a16="http://schemas.microsoft.com/office/drawing/2014/main" id="{D9FDEFBD-409B-47FB-B3F7-41CC9D4452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8" name="Picture 31">
          <a:extLst>
            <a:ext uri="{FF2B5EF4-FFF2-40B4-BE49-F238E27FC236}">
              <a16:creationId xmlns:a16="http://schemas.microsoft.com/office/drawing/2014/main" id="{BA3225E4-EA01-4B9B-ACB7-CAC5A809F9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49" name="Picture 31">
          <a:extLst>
            <a:ext uri="{FF2B5EF4-FFF2-40B4-BE49-F238E27FC236}">
              <a16:creationId xmlns:a16="http://schemas.microsoft.com/office/drawing/2014/main" id="{DC698C84-435F-49EC-A142-74E206EF98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0" name="Picture 31">
          <a:extLst>
            <a:ext uri="{FF2B5EF4-FFF2-40B4-BE49-F238E27FC236}">
              <a16:creationId xmlns:a16="http://schemas.microsoft.com/office/drawing/2014/main" id="{4F8E09C3-0AF6-43E0-B9E6-78DB827762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1" name="Picture 31">
          <a:extLst>
            <a:ext uri="{FF2B5EF4-FFF2-40B4-BE49-F238E27FC236}">
              <a16:creationId xmlns:a16="http://schemas.microsoft.com/office/drawing/2014/main" id="{BFBE7E12-A72C-4BCE-95F4-D580323F6C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2" name="Picture 31">
          <a:extLst>
            <a:ext uri="{FF2B5EF4-FFF2-40B4-BE49-F238E27FC236}">
              <a16:creationId xmlns:a16="http://schemas.microsoft.com/office/drawing/2014/main" id="{6B08F3EF-89BA-4B40-963D-5B824A6A3E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3" name="Picture 31">
          <a:extLst>
            <a:ext uri="{FF2B5EF4-FFF2-40B4-BE49-F238E27FC236}">
              <a16:creationId xmlns:a16="http://schemas.microsoft.com/office/drawing/2014/main" id="{B77ED9D5-A25A-4594-8A26-3A924D9615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4" name="Picture 31">
          <a:extLst>
            <a:ext uri="{FF2B5EF4-FFF2-40B4-BE49-F238E27FC236}">
              <a16:creationId xmlns:a16="http://schemas.microsoft.com/office/drawing/2014/main" id="{281BB9BB-AE1E-4892-87CA-22C3A34300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5" name="Picture 31">
          <a:extLst>
            <a:ext uri="{FF2B5EF4-FFF2-40B4-BE49-F238E27FC236}">
              <a16:creationId xmlns:a16="http://schemas.microsoft.com/office/drawing/2014/main" id="{D0256B72-C410-48C4-9F83-35A97D0761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6" name="Picture 31">
          <a:extLst>
            <a:ext uri="{FF2B5EF4-FFF2-40B4-BE49-F238E27FC236}">
              <a16:creationId xmlns:a16="http://schemas.microsoft.com/office/drawing/2014/main" id="{B5E6C0AA-9154-4FAA-915C-C916808B50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7" name="Picture 31">
          <a:extLst>
            <a:ext uri="{FF2B5EF4-FFF2-40B4-BE49-F238E27FC236}">
              <a16:creationId xmlns:a16="http://schemas.microsoft.com/office/drawing/2014/main" id="{42E27913-E2EA-40E0-B2B8-C3DA4B9D37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8" name="Picture 31">
          <a:extLst>
            <a:ext uri="{FF2B5EF4-FFF2-40B4-BE49-F238E27FC236}">
              <a16:creationId xmlns:a16="http://schemas.microsoft.com/office/drawing/2014/main" id="{915102F6-8842-4FB0-BF56-B46DE43D03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59" name="Picture 31">
          <a:extLst>
            <a:ext uri="{FF2B5EF4-FFF2-40B4-BE49-F238E27FC236}">
              <a16:creationId xmlns:a16="http://schemas.microsoft.com/office/drawing/2014/main" id="{94794F42-156D-4D6D-89C7-FD1B54188E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0" name="Picture 31">
          <a:extLst>
            <a:ext uri="{FF2B5EF4-FFF2-40B4-BE49-F238E27FC236}">
              <a16:creationId xmlns:a16="http://schemas.microsoft.com/office/drawing/2014/main" id="{67F406BE-F2E4-431F-BF96-44EBCF0DD9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1" name="Picture 31">
          <a:extLst>
            <a:ext uri="{FF2B5EF4-FFF2-40B4-BE49-F238E27FC236}">
              <a16:creationId xmlns:a16="http://schemas.microsoft.com/office/drawing/2014/main" id="{C8F299B9-2F3E-47D2-A8A3-AE36137CB8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2" name="Picture 31">
          <a:extLst>
            <a:ext uri="{FF2B5EF4-FFF2-40B4-BE49-F238E27FC236}">
              <a16:creationId xmlns:a16="http://schemas.microsoft.com/office/drawing/2014/main" id="{902ACB7E-F7E6-4B56-84EC-AD6E8C062F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3" name="Picture 31">
          <a:extLst>
            <a:ext uri="{FF2B5EF4-FFF2-40B4-BE49-F238E27FC236}">
              <a16:creationId xmlns:a16="http://schemas.microsoft.com/office/drawing/2014/main" id="{EECBE079-0CC6-403D-9EF0-98BB014A9E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4" name="Picture 31">
          <a:extLst>
            <a:ext uri="{FF2B5EF4-FFF2-40B4-BE49-F238E27FC236}">
              <a16:creationId xmlns:a16="http://schemas.microsoft.com/office/drawing/2014/main" id="{8F6184E7-AD6F-4298-A125-E4D3147B02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5" name="Picture 31">
          <a:extLst>
            <a:ext uri="{FF2B5EF4-FFF2-40B4-BE49-F238E27FC236}">
              <a16:creationId xmlns:a16="http://schemas.microsoft.com/office/drawing/2014/main" id="{3044E00F-65F2-4ECB-BDC5-F43C843DAA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6" name="Picture 31">
          <a:extLst>
            <a:ext uri="{FF2B5EF4-FFF2-40B4-BE49-F238E27FC236}">
              <a16:creationId xmlns:a16="http://schemas.microsoft.com/office/drawing/2014/main" id="{AB98EBE2-D8E4-4055-ADA0-4AD6F4BE5F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7" name="Picture 31">
          <a:extLst>
            <a:ext uri="{FF2B5EF4-FFF2-40B4-BE49-F238E27FC236}">
              <a16:creationId xmlns:a16="http://schemas.microsoft.com/office/drawing/2014/main" id="{DF23F5F9-2FC3-44F2-9CF0-76275B2C64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8" name="Picture 31">
          <a:extLst>
            <a:ext uri="{FF2B5EF4-FFF2-40B4-BE49-F238E27FC236}">
              <a16:creationId xmlns:a16="http://schemas.microsoft.com/office/drawing/2014/main" id="{791C4770-6B71-4775-83EE-4981B0D53A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69" name="Picture 31">
          <a:extLst>
            <a:ext uri="{FF2B5EF4-FFF2-40B4-BE49-F238E27FC236}">
              <a16:creationId xmlns:a16="http://schemas.microsoft.com/office/drawing/2014/main" id="{F1D6FFE5-7E2C-41A6-B2D9-B55C1A1C30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0" name="Picture 31">
          <a:extLst>
            <a:ext uri="{FF2B5EF4-FFF2-40B4-BE49-F238E27FC236}">
              <a16:creationId xmlns:a16="http://schemas.microsoft.com/office/drawing/2014/main" id="{EB9F9782-455F-4F4B-9532-6B512345CB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1" name="Picture 31">
          <a:extLst>
            <a:ext uri="{FF2B5EF4-FFF2-40B4-BE49-F238E27FC236}">
              <a16:creationId xmlns:a16="http://schemas.microsoft.com/office/drawing/2014/main" id="{66A691A6-B96F-4B12-B42B-7B122BE55B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2" name="Picture 31">
          <a:extLst>
            <a:ext uri="{FF2B5EF4-FFF2-40B4-BE49-F238E27FC236}">
              <a16:creationId xmlns:a16="http://schemas.microsoft.com/office/drawing/2014/main" id="{81EB8C9B-0D45-4533-8194-A89CA36BE4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3" name="Picture 31">
          <a:extLst>
            <a:ext uri="{FF2B5EF4-FFF2-40B4-BE49-F238E27FC236}">
              <a16:creationId xmlns:a16="http://schemas.microsoft.com/office/drawing/2014/main" id="{6BA7B186-FAD9-4166-94F4-679BB71C04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4" name="Picture 31">
          <a:extLst>
            <a:ext uri="{FF2B5EF4-FFF2-40B4-BE49-F238E27FC236}">
              <a16:creationId xmlns:a16="http://schemas.microsoft.com/office/drawing/2014/main" id="{97C07605-8A8F-45B8-B0D2-7843A71CE8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5" name="Picture 31">
          <a:extLst>
            <a:ext uri="{FF2B5EF4-FFF2-40B4-BE49-F238E27FC236}">
              <a16:creationId xmlns:a16="http://schemas.microsoft.com/office/drawing/2014/main" id="{BCCB4CFA-36E4-4682-B7D9-B84CE22138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6" name="Picture 31">
          <a:extLst>
            <a:ext uri="{FF2B5EF4-FFF2-40B4-BE49-F238E27FC236}">
              <a16:creationId xmlns:a16="http://schemas.microsoft.com/office/drawing/2014/main" id="{E4244229-CF9A-4A34-AB54-1244DA663E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7" name="Picture 31">
          <a:extLst>
            <a:ext uri="{FF2B5EF4-FFF2-40B4-BE49-F238E27FC236}">
              <a16:creationId xmlns:a16="http://schemas.microsoft.com/office/drawing/2014/main" id="{22879599-39A2-420B-ACB4-1BE3765B69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8" name="Picture 31">
          <a:extLst>
            <a:ext uri="{FF2B5EF4-FFF2-40B4-BE49-F238E27FC236}">
              <a16:creationId xmlns:a16="http://schemas.microsoft.com/office/drawing/2014/main" id="{18F5A783-D5F8-4B74-BDBF-CE7347D2A0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79" name="Picture 31">
          <a:extLst>
            <a:ext uri="{FF2B5EF4-FFF2-40B4-BE49-F238E27FC236}">
              <a16:creationId xmlns:a16="http://schemas.microsoft.com/office/drawing/2014/main" id="{05B074A5-1B64-45EF-8350-366813B1D4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0" name="Picture 31">
          <a:extLst>
            <a:ext uri="{FF2B5EF4-FFF2-40B4-BE49-F238E27FC236}">
              <a16:creationId xmlns:a16="http://schemas.microsoft.com/office/drawing/2014/main" id="{BFD99BAE-225D-4B0F-A0CD-5DA2562E80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1" name="Picture 31">
          <a:extLst>
            <a:ext uri="{FF2B5EF4-FFF2-40B4-BE49-F238E27FC236}">
              <a16:creationId xmlns:a16="http://schemas.microsoft.com/office/drawing/2014/main" id="{355311F7-A4FD-44AF-BE7C-3C2596D9D7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2" name="Picture 31">
          <a:extLst>
            <a:ext uri="{FF2B5EF4-FFF2-40B4-BE49-F238E27FC236}">
              <a16:creationId xmlns:a16="http://schemas.microsoft.com/office/drawing/2014/main" id="{E2B8B8F8-F4BD-425B-ACD9-7C21727766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3" name="Picture 31">
          <a:extLst>
            <a:ext uri="{FF2B5EF4-FFF2-40B4-BE49-F238E27FC236}">
              <a16:creationId xmlns:a16="http://schemas.microsoft.com/office/drawing/2014/main" id="{5256E53A-D391-4990-AB99-E614D8FC22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4" name="Picture 31">
          <a:extLst>
            <a:ext uri="{FF2B5EF4-FFF2-40B4-BE49-F238E27FC236}">
              <a16:creationId xmlns:a16="http://schemas.microsoft.com/office/drawing/2014/main" id="{F53068DA-2D8D-48FC-AED0-E1349DBD28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5" name="Picture 31">
          <a:extLst>
            <a:ext uri="{FF2B5EF4-FFF2-40B4-BE49-F238E27FC236}">
              <a16:creationId xmlns:a16="http://schemas.microsoft.com/office/drawing/2014/main" id="{E00A08F3-AB48-4118-815D-CD586389C5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6" name="Picture 31">
          <a:extLst>
            <a:ext uri="{FF2B5EF4-FFF2-40B4-BE49-F238E27FC236}">
              <a16:creationId xmlns:a16="http://schemas.microsoft.com/office/drawing/2014/main" id="{C9F9F5BD-E595-42C4-BCDA-BBB16E88E7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7" name="Picture 31">
          <a:extLst>
            <a:ext uri="{FF2B5EF4-FFF2-40B4-BE49-F238E27FC236}">
              <a16:creationId xmlns:a16="http://schemas.microsoft.com/office/drawing/2014/main" id="{B72A828B-7337-46A2-90DC-4066AAF62C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8" name="Picture 31">
          <a:extLst>
            <a:ext uri="{FF2B5EF4-FFF2-40B4-BE49-F238E27FC236}">
              <a16:creationId xmlns:a16="http://schemas.microsoft.com/office/drawing/2014/main" id="{1C88BA2E-670C-44EA-8824-040F776C190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89" name="Picture 31">
          <a:extLst>
            <a:ext uri="{FF2B5EF4-FFF2-40B4-BE49-F238E27FC236}">
              <a16:creationId xmlns:a16="http://schemas.microsoft.com/office/drawing/2014/main" id="{638CF433-89F2-4422-B92D-E3DBC5904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0" name="Picture 31">
          <a:extLst>
            <a:ext uri="{FF2B5EF4-FFF2-40B4-BE49-F238E27FC236}">
              <a16:creationId xmlns:a16="http://schemas.microsoft.com/office/drawing/2014/main" id="{A94FA56D-879D-4A22-8D00-514D2829FF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1" name="Picture 31">
          <a:extLst>
            <a:ext uri="{FF2B5EF4-FFF2-40B4-BE49-F238E27FC236}">
              <a16:creationId xmlns:a16="http://schemas.microsoft.com/office/drawing/2014/main" id="{6710C1A0-172C-42BC-A3C9-80215DCFB0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2" name="Picture 31">
          <a:extLst>
            <a:ext uri="{FF2B5EF4-FFF2-40B4-BE49-F238E27FC236}">
              <a16:creationId xmlns:a16="http://schemas.microsoft.com/office/drawing/2014/main" id="{079AD119-A060-43F7-A5A2-E5D99EEB0A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3" name="Picture 31">
          <a:extLst>
            <a:ext uri="{FF2B5EF4-FFF2-40B4-BE49-F238E27FC236}">
              <a16:creationId xmlns:a16="http://schemas.microsoft.com/office/drawing/2014/main" id="{3E5C1DCD-1D9D-4E3F-B32C-AAC28C38B8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4" name="Picture 31">
          <a:extLst>
            <a:ext uri="{FF2B5EF4-FFF2-40B4-BE49-F238E27FC236}">
              <a16:creationId xmlns:a16="http://schemas.microsoft.com/office/drawing/2014/main" id="{7F8291D1-DF8D-48B5-92BF-E68C3026B1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5" name="Picture 31">
          <a:extLst>
            <a:ext uri="{FF2B5EF4-FFF2-40B4-BE49-F238E27FC236}">
              <a16:creationId xmlns:a16="http://schemas.microsoft.com/office/drawing/2014/main" id="{D177BAC2-8B18-43B5-BEB2-DD502395CD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6" name="Picture 31">
          <a:extLst>
            <a:ext uri="{FF2B5EF4-FFF2-40B4-BE49-F238E27FC236}">
              <a16:creationId xmlns:a16="http://schemas.microsoft.com/office/drawing/2014/main" id="{39DB3E7C-0486-45BE-B064-BB1E93168B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7" name="Picture 31">
          <a:extLst>
            <a:ext uri="{FF2B5EF4-FFF2-40B4-BE49-F238E27FC236}">
              <a16:creationId xmlns:a16="http://schemas.microsoft.com/office/drawing/2014/main" id="{864E9E22-8168-4360-9BC3-4ADDF7ADFD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8" name="Picture 31">
          <a:extLst>
            <a:ext uri="{FF2B5EF4-FFF2-40B4-BE49-F238E27FC236}">
              <a16:creationId xmlns:a16="http://schemas.microsoft.com/office/drawing/2014/main" id="{6E8AF13E-4F8E-4041-AB06-B563E5DDBA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899" name="Picture 31">
          <a:extLst>
            <a:ext uri="{FF2B5EF4-FFF2-40B4-BE49-F238E27FC236}">
              <a16:creationId xmlns:a16="http://schemas.microsoft.com/office/drawing/2014/main" id="{2F2B22FB-F3D9-4B99-86CF-8E19DEC4E3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0" name="Picture 31">
          <a:extLst>
            <a:ext uri="{FF2B5EF4-FFF2-40B4-BE49-F238E27FC236}">
              <a16:creationId xmlns:a16="http://schemas.microsoft.com/office/drawing/2014/main" id="{541948F8-92A4-45A5-8046-251DE63C75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1" name="Picture 31">
          <a:extLst>
            <a:ext uri="{FF2B5EF4-FFF2-40B4-BE49-F238E27FC236}">
              <a16:creationId xmlns:a16="http://schemas.microsoft.com/office/drawing/2014/main" id="{7A978E99-B656-47DF-B263-6D8531398E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2" name="Picture 31">
          <a:extLst>
            <a:ext uri="{FF2B5EF4-FFF2-40B4-BE49-F238E27FC236}">
              <a16:creationId xmlns:a16="http://schemas.microsoft.com/office/drawing/2014/main" id="{C7238A49-2FBE-4842-8F14-52DCDB6506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3" name="Picture 31">
          <a:extLst>
            <a:ext uri="{FF2B5EF4-FFF2-40B4-BE49-F238E27FC236}">
              <a16:creationId xmlns:a16="http://schemas.microsoft.com/office/drawing/2014/main" id="{6009C09F-68DE-4CEF-91EA-E9C1DA3059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4" name="Picture 31">
          <a:extLst>
            <a:ext uri="{FF2B5EF4-FFF2-40B4-BE49-F238E27FC236}">
              <a16:creationId xmlns:a16="http://schemas.microsoft.com/office/drawing/2014/main" id="{F6C545A8-82F6-4291-A1D0-F193DF5614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5" name="Picture 31">
          <a:extLst>
            <a:ext uri="{FF2B5EF4-FFF2-40B4-BE49-F238E27FC236}">
              <a16:creationId xmlns:a16="http://schemas.microsoft.com/office/drawing/2014/main" id="{894F456F-24A3-4575-8CA2-F130A4CDC1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6" name="Picture 31">
          <a:extLst>
            <a:ext uri="{FF2B5EF4-FFF2-40B4-BE49-F238E27FC236}">
              <a16:creationId xmlns:a16="http://schemas.microsoft.com/office/drawing/2014/main" id="{41DDC5BC-084A-4D91-9022-133D2A2BF4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7" name="Picture 31">
          <a:extLst>
            <a:ext uri="{FF2B5EF4-FFF2-40B4-BE49-F238E27FC236}">
              <a16:creationId xmlns:a16="http://schemas.microsoft.com/office/drawing/2014/main" id="{75E24A90-10AE-4E27-B425-668AF39145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8" name="Picture 31">
          <a:extLst>
            <a:ext uri="{FF2B5EF4-FFF2-40B4-BE49-F238E27FC236}">
              <a16:creationId xmlns:a16="http://schemas.microsoft.com/office/drawing/2014/main" id="{6C67F262-A277-45A3-BD57-E21BCA43DC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09" name="Picture 31">
          <a:extLst>
            <a:ext uri="{FF2B5EF4-FFF2-40B4-BE49-F238E27FC236}">
              <a16:creationId xmlns:a16="http://schemas.microsoft.com/office/drawing/2014/main" id="{A0A65D1D-2936-4ABC-B91C-1C01C97371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0" name="Picture 31">
          <a:extLst>
            <a:ext uri="{FF2B5EF4-FFF2-40B4-BE49-F238E27FC236}">
              <a16:creationId xmlns:a16="http://schemas.microsoft.com/office/drawing/2014/main" id="{429C4C4B-F215-4B5A-BFC3-5423AE3C79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1" name="Picture 31">
          <a:extLst>
            <a:ext uri="{FF2B5EF4-FFF2-40B4-BE49-F238E27FC236}">
              <a16:creationId xmlns:a16="http://schemas.microsoft.com/office/drawing/2014/main" id="{7EA751B2-845D-4503-9308-24A02ECC2B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2" name="Picture 31">
          <a:extLst>
            <a:ext uri="{FF2B5EF4-FFF2-40B4-BE49-F238E27FC236}">
              <a16:creationId xmlns:a16="http://schemas.microsoft.com/office/drawing/2014/main" id="{6D381202-D5FA-40B8-B105-1CC64E8C18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3" name="Picture 31">
          <a:extLst>
            <a:ext uri="{FF2B5EF4-FFF2-40B4-BE49-F238E27FC236}">
              <a16:creationId xmlns:a16="http://schemas.microsoft.com/office/drawing/2014/main" id="{CAE54784-DB69-4E1C-879D-55AA9B6F57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4" name="Picture 31">
          <a:extLst>
            <a:ext uri="{FF2B5EF4-FFF2-40B4-BE49-F238E27FC236}">
              <a16:creationId xmlns:a16="http://schemas.microsoft.com/office/drawing/2014/main" id="{38803F03-9D19-4ED7-86D5-8BF2D40B2A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5" name="Picture 31">
          <a:extLst>
            <a:ext uri="{FF2B5EF4-FFF2-40B4-BE49-F238E27FC236}">
              <a16:creationId xmlns:a16="http://schemas.microsoft.com/office/drawing/2014/main" id="{86D9697F-5A0C-4295-954B-7C3DF2D403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6" name="Picture 31">
          <a:extLst>
            <a:ext uri="{FF2B5EF4-FFF2-40B4-BE49-F238E27FC236}">
              <a16:creationId xmlns:a16="http://schemas.microsoft.com/office/drawing/2014/main" id="{7A490A2D-7B45-40C7-BD1D-DB5309CAA6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7" name="Picture 31">
          <a:extLst>
            <a:ext uri="{FF2B5EF4-FFF2-40B4-BE49-F238E27FC236}">
              <a16:creationId xmlns:a16="http://schemas.microsoft.com/office/drawing/2014/main" id="{32F6689D-0803-4711-8D4E-81AB1F1ABB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8" name="Picture 31">
          <a:extLst>
            <a:ext uri="{FF2B5EF4-FFF2-40B4-BE49-F238E27FC236}">
              <a16:creationId xmlns:a16="http://schemas.microsoft.com/office/drawing/2014/main" id="{0ABCB49E-BC12-4CC2-9DF2-9024207A79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19" name="Picture 31">
          <a:extLst>
            <a:ext uri="{FF2B5EF4-FFF2-40B4-BE49-F238E27FC236}">
              <a16:creationId xmlns:a16="http://schemas.microsoft.com/office/drawing/2014/main" id="{CB706FFB-B1B5-43C9-9DC6-63327CB07A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0" name="Picture 31">
          <a:extLst>
            <a:ext uri="{FF2B5EF4-FFF2-40B4-BE49-F238E27FC236}">
              <a16:creationId xmlns:a16="http://schemas.microsoft.com/office/drawing/2014/main" id="{219EB79F-DA7D-42FA-B6EC-85EEAC56DD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1" name="Picture 31">
          <a:extLst>
            <a:ext uri="{FF2B5EF4-FFF2-40B4-BE49-F238E27FC236}">
              <a16:creationId xmlns:a16="http://schemas.microsoft.com/office/drawing/2014/main" id="{70D79AB9-2963-49CC-B3A1-C46C67EFC7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2" name="Picture 31">
          <a:extLst>
            <a:ext uri="{FF2B5EF4-FFF2-40B4-BE49-F238E27FC236}">
              <a16:creationId xmlns:a16="http://schemas.microsoft.com/office/drawing/2014/main" id="{4A4FB973-FBCC-46CD-A8AE-AF2BE91783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3" name="Picture 31">
          <a:extLst>
            <a:ext uri="{FF2B5EF4-FFF2-40B4-BE49-F238E27FC236}">
              <a16:creationId xmlns:a16="http://schemas.microsoft.com/office/drawing/2014/main" id="{9D881B31-DCB0-45FC-86A7-AD10BFD2F4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4" name="Picture 31">
          <a:extLst>
            <a:ext uri="{FF2B5EF4-FFF2-40B4-BE49-F238E27FC236}">
              <a16:creationId xmlns:a16="http://schemas.microsoft.com/office/drawing/2014/main" id="{24B8727A-757A-4657-B7F3-0E6C720020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5" name="Picture 31">
          <a:extLst>
            <a:ext uri="{FF2B5EF4-FFF2-40B4-BE49-F238E27FC236}">
              <a16:creationId xmlns:a16="http://schemas.microsoft.com/office/drawing/2014/main" id="{661E78C6-28C3-4C83-A50D-7A5745E03E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6" name="Picture 31">
          <a:extLst>
            <a:ext uri="{FF2B5EF4-FFF2-40B4-BE49-F238E27FC236}">
              <a16:creationId xmlns:a16="http://schemas.microsoft.com/office/drawing/2014/main" id="{DEBDF6A8-FFA4-470A-95C9-FA1EFE5F20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7" name="Picture 31">
          <a:extLst>
            <a:ext uri="{FF2B5EF4-FFF2-40B4-BE49-F238E27FC236}">
              <a16:creationId xmlns:a16="http://schemas.microsoft.com/office/drawing/2014/main" id="{43C84454-74A2-4069-A217-E2218D895E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8" name="Picture 31">
          <a:extLst>
            <a:ext uri="{FF2B5EF4-FFF2-40B4-BE49-F238E27FC236}">
              <a16:creationId xmlns:a16="http://schemas.microsoft.com/office/drawing/2014/main" id="{640D5245-E173-47A0-9FA0-E5FE5303B3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29" name="Picture 31">
          <a:extLst>
            <a:ext uri="{FF2B5EF4-FFF2-40B4-BE49-F238E27FC236}">
              <a16:creationId xmlns:a16="http://schemas.microsoft.com/office/drawing/2014/main" id="{335C05C5-BEA7-40E2-AB2D-37C3F00407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0" name="Picture 31">
          <a:extLst>
            <a:ext uri="{FF2B5EF4-FFF2-40B4-BE49-F238E27FC236}">
              <a16:creationId xmlns:a16="http://schemas.microsoft.com/office/drawing/2014/main" id="{D8690021-713D-4D39-B3EF-186CF12F69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1" name="Picture 31">
          <a:extLst>
            <a:ext uri="{FF2B5EF4-FFF2-40B4-BE49-F238E27FC236}">
              <a16:creationId xmlns:a16="http://schemas.microsoft.com/office/drawing/2014/main" id="{A44B5663-DABE-4921-8033-6DAAFF2DBB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2" name="Picture 31">
          <a:extLst>
            <a:ext uri="{FF2B5EF4-FFF2-40B4-BE49-F238E27FC236}">
              <a16:creationId xmlns:a16="http://schemas.microsoft.com/office/drawing/2014/main" id="{FFC74DAB-FF1E-426B-864D-568C684388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3" name="Picture 31">
          <a:extLst>
            <a:ext uri="{FF2B5EF4-FFF2-40B4-BE49-F238E27FC236}">
              <a16:creationId xmlns:a16="http://schemas.microsoft.com/office/drawing/2014/main" id="{08E1632C-42D8-481F-AF2C-FE6503F0A1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4" name="Picture 31">
          <a:extLst>
            <a:ext uri="{FF2B5EF4-FFF2-40B4-BE49-F238E27FC236}">
              <a16:creationId xmlns:a16="http://schemas.microsoft.com/office/drawing/2014/main" id="{2FA0CDE7-B0D5-4F01-A6BB-A898B7296B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5" name="Picture 31">
          <a:extLst>
            <a:ext uri="{FF2B5EF4-FFF2-40B4-BE49-F238E27FC236}">
              <a16:creationId xmlns:a16="http://schemas.microsoft.com/office/drawing/2014/main" id="{0529FBF3-024F-4708-9F29-34E48E8563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6" name="Picture 31">
          <a:extLst>
            <a:ext uri="{FF2B5EF4-FFF2-40B4-BE49-F238E27FC236}">
              <a16:creationId xmlns:a16="http://schemas.microsoft.com/office/drawing/2014/main" id="{C6DA7FC7-CD09-4777-9800-FD4E10FBAA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7" name="Picture 31">
          <a:extLst>
            <a:ext uri="{FF2B5EF4-FFF2-40B4-BE49-F238E27FC236}">
              <a16:creationId xmlns:a16="http://schemas.microsoft.com/office/drawing/2014/main" id="{6C462540-6C49-4C36-BE6A-AFBC14838E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8" name="Picture 31">
          <a:extLst>
            <a:ext uri="{FF2B5EF4-FFF2-40B4-BE49-F238E27FC236}">
              <a16:creationId xmlns:a16="http://schemas.microsoft.com/office/drawing/2014/main" id="{BC629C13-E28D-4AEB-B841-788D3D094C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39" name="Picture 31">
          <a:extLst>
            <a:ext uri="{FF2B5EF4-FFF2-40B4-BE49-F238E27FC236}">
              <a16:creationId xmlns:a16="http://schemas.microsoft.com/office/drawing/2014/main" id="{C8350E9D-BD07-43E9-8198-3F45B1C6BA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0" name="Picture 31">
          <a:extLst>
            <a:ext uri="{FF2B5EF4-FFF2-40B4-BE49-F238E27FC236}">
              <a16:creationId xmlns:a16="http://schemas.microsoft.com/office/drawing/2014/main" id="{10913FC6-5096-4CBE-97E1-9CDDE63FB2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1" name="Picture 31">
          <a:extLst>
            <a:ext uri="{FF2B5EF4-FFF2-40B4-BE49-F238E27FC236}">
              <a16:creationId xmlns:a16="http://schemas.microsoft.com/office/drawing/2014/main" id="{29D809E7-F48C-49F7-AA61-C30158C6E6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2" name="Picture 31">
          <a:extLst>
            <a:ext uri="{FF2B5EF4-FFF2-40B4-BE49-F238E27FC236}">
              <a16:creationId xmlns:a16="http://schemas.microsoft.com/office/drawing/2014/main" id="{32E250C8-36B1-4B79-9EA0-3C8253CD44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3" name="Picture 31">
          <a:extLst>
            <a:ext uri="{FF2B5EF4-FFF2-40B4-BE49-F238E27FC236}">
              <a16:creationId xmlns:a16="http://schemas.microsoft.com/office/drawing/2014/main" id="{08A45644-9D98-4A3B-BC4E-1B55E7BB6A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4" name="Picture 31">
          <a:extLst>
            <a:ext uri="{FF2B5EF4-FFF2-40B4-BE49-F238E27FC236}">
              <a16:creationId xmlns:a16="http://schemas.microsoft.com/office/drawing/2014/main" id="{08086913-C03F-4B32-87A1-326BC9F887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5" name="Picture 31">
          <a:extLst>
            <a:ext uri="{FF2B5EF4-FFF2-40B4-BE49-F238E27FC236}">
              <a16:creationId xmlns:a16="http://schemas.microsoft.com/office/drawing/2014/main" id="{71BB4FB6-B205-41EE-A0F8-4B05CB1EC7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6" name="Picture 31">
          <a:extLst>
            <a:ext uri="{FF2B5EF4-FFF2-40B4-BE49-F238E27FC236}">
              <a16:creationId xmlns:a16="http://schemas.microsoft.com/office/drawing/2014/main" id="{B15E06BB-296C-42DE-B097-3368A72A8E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7" name="Picture 31">
          <a:extLst>
            <a:ext uri="{FF2B5EF4-FFF2-40B4-BE49-F238E27FC236}">
              <a16:creationId xmlns:a16="http://schemas.microsoft.com/office/drawing/2014/main" id="{177107F3-4CD5-40A7-8CF3-143B8CD1EE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8" name="Picture 31">
          <a:extLst>
            <a:ext uri="{FF2B5EF4-FFF2-40B4-BE49-F238E27FC236}">
              <a16:creationId xmlns:a16="http://schemas.microsoft.com/office/drawing/2014/main" id="{A1E60AE2-63DD-429D-AA32-D030D973FF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49" name="Picture 31">
          <a:extLst>
            <a:ext uri="{FF2B5EF4-FFF2-40B4-BE49-F238E27FC236}">
              <a16:creationId xmlns:a16="http://schemas.microsoft.com/office/drawing/2014/main" id="{69E05748-F2BD-490D-B1FC-575F7B055F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0" name="Picture 31">
          <a:extLst>
            <a:ext uri="{FF2B5EF4-FFF2-40B4-BE49-F238E27FC236}">
              <a16:creationId xmlns:a16="http://schemas.microsoft.com/office/drawing/2014/main" id="{3BA6404E-93C6-48D9-9C8B-5B40A8D525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1" name="Picture 31">
          <a:extLst>
            <a:ext uri="{FF2B5EF4-FFF2-40B4-BE49-F238E27FC236}">
              <a16:creationId xmlns:a16="http://schemas.microsoft.com/office/drawing/2014/main" id="{C3DD4B57-6594-4865-A82D-3369AC8A3D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2" name="Picture 31">
          <a:extLst>
            <a:ext uri="{FF2B5EF4-FFF2-40B4-BE49-F238E27FC236}">
              <a16:creationId xmlns:a16="http://schemas.microsoft.com/office/drawing/2014/main" id="{5A91D435-D5F6-43C7-BE82-774CF389E9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3" name="Picture 31">
          <a:extLst>
            <a:ext uri="{FF2B5EF4-FFF2-40B4-BE49-F238E27FC236}">
              <a16:creationId xmlns:a16="http://schemas.microsoft.com/office/drawing/2014/main" id="{03468C00-212F-4630-95BC-7C7B4A894A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4" name="Picture 31">
          <a:extLst>
            <a:ext uri="{FF2B5EF4-FFF2-40B4-BE49-F238E27FC236}">
              <a16:creationId xmlns:a16="http://schemas.microsoft.com/office/drawing/2014/main" id="{2A411089-BEA3-40FB-AF9D-F2768BE2C3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5" name="Picture 31">
          <a:extLst>
            <a:ext uri="{FF2B5EF4-FFF2-40B4-BE49-F238E27FC236}">
              <a16:creationId xmlns:a16="http://schemas.microsoft.com/office/drawing/2014/main" id="{5AD32B44-04B8-4F97-9415-95D5A0543B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6" name="Picture 31">
          <a:extLst>
            <a:ext uri="{FF2B5EF4-FFF2-40B4-BE49-F238E27FC236}">
              <a16:creationId xmlns:a16="http://schemas.microsoft.com/office/drawing/2014/main" id="{39256C8F-C8E8-46C1-BBF7-6E5720FBF7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7" name="Picture 31">
          <a:extLst>
            <a:ext uri="{FF2B5EF4-FFF2-40B4-BE49-F238E27FC236}">
              <a16:creationId xmlns:a16="http://schemas.microsoft.com/office/drawing/2014/main" id="{C74F55B9-E831-46FE-B209-9CBD783931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8" name="Picture 31">
          <a:extLst>
            <a:ext uri="{FF2B5EF4-FFF2-40B4-BE49-F238E27FC236}">
              <a16:creationId xmlns:a16="http://schemas.microsoft.com/office/drawing/2014/main" id="{4AE24948-CD08-4B74-8F70-DFC1CFFE72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59" name="Picture 31">
          <a:extLst>
            <a:ext uri="{FF2B5EF4-FFF2-40B4-BE49-F238E27FC236}">
              <a16:creationId xmlns:a16="http://schemas.microsoft.com/office/drawing/2014/main" id="{255BBEC3-31ED-4E37-BD57-75BD89EE2B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60" name="Picture 31">
          <a:extLst>
            <a:ext uri="{FF2B5EF4-FFF2-40B4-BE49-F238E27FC236}">
              <a16:creationId xmlns:a16="http://schemas.microsoft.com/office/drawing/2014/main" id="{33BCFEF3-7D4F-4F6B-8F4D-267CBCAF91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73</xdr:row>
      <xdr:rowOff>0</xdr:rowOff>
    </xdr:from>
    <xdr:to>
      <xdr:col>2</xdr:col>
      <xdr:colOff>1221</xdr:colOff>
      <xdr:row>73</xdr:row>
      <xdr:rowOff>2994</xdr:rowOff>
    </xdr:to>
    <xdr:pic>
      <xdr:nvPicPr>
        <xdr:cNvPr id="961" name="Picture 31">
          <a:extLst>
            <a:ext uri="{FF2B5EF4-FFF2-40B4-BE49-F238E27FC236}">
              <a16:creationId xmlns:a16="http://schemas.microsoft.com/office/drawing/2014/main" id="{D8B48F55-9291-4354-B1D3-9E7C19BBD4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459990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2" name="Picture 31">
          <a:extLst>
            <a:ext uri="{FF2B5EF4-FFF2-40B4-BE49-F238E27FC236}">
              <a16:creationId xmlns:a16="http://schemas.microsoft.com/office/drawing/2014/main" id="{8E6B6B0C-F028-40D1-B5D3-14E54EA119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3" name="Picture 31">
          <a:extLst>
            <a:ext uri="{FF2B5EF4-FFF2-40B4-BE49-F238E27FC236}">
              <a16:creationId xmlns:a16="http://schemas.microsoft.com/office/drawing/2014/main" id="{F925893F-8129-43B7-B6B5-0A8A9F8A96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4" name="Picture 31">
          <a:extLst>
            <a:ext uri="{FF2B5EF4-FFF2-40B4-BE49-F238E27FC236}">
              <a16:creationId xmlns:a16="http://schemas.microsoft.com/office/drawing/2014/main" id="{A0A902C8-462E-451A-8BF9-A6D5C9DEDF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5" name="Picture 31">
          <a:extLst>
            <a:ext uri="{FF2B5EF4-FFF2-40B4-BE49-F238E27FC236}">
              <a16:creationId xmlns:a16="http://schemas.microsoft.com/office/drawing/2014/main" id="{1EBCDA4D-8CCF-42E9-B026-7960A793E4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6" name="Picture 31">
          <a:extLst>
            <a:ext uri="{FF2B5EF4-FFF2-40B4-BE49-F238E27FC236}">
              <a16:creationId xmlns:a16="http://schemas.microsoft.com/office/drawing/2014/main" id="{4B58438F-1E57-4378-9998-C4F5FEE8AB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7" name="Picture 31">
          <a:extLst>
            <a:ext uri="{FF2B5EF4-FFF2-40B4-BE49-F238E27FC236}">
              <a16:creationId xmlns:a16="http://schemas.microsoft.com/office/drawing/2014/main" id="{87CD3A59-8085-4AD3-A0BA-FCD93F4130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8" name="Picture 31">
          <a:extLst>
            <a:ext uri="{FF2B5EF4-FFF2-40B4-BE49-F238E27FC236}">
              <a16:creationId xmlns:a16="http://schemas.microsoft.com/office/drawing/2014/main" id="{B9EE9D0E-1E36-4572-9FB2-16492BA6B4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69" name="Picture 31">
          <a:extLst>
            <a:ext uri="{FF2B5EF4-FFF2-40B4-BE49-F238E27FC236}">
              <a16:creationId xmlns:a16="http://schemas.microsoft.com/office/drawing/2014/main" id="{BDF8017D-B718-4793-A97C-F6F3468868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0" name="Picture 31">
          <a:extLst>
            <a:ext uri="{FF2B5EF4-FFF2-40B4-BE49-F238E27FC236}">
              <a16:creationId xmlns:a16="http://schemas.microsoft.com/office/drawing/2014/main" id="{BCB50CF6-3DFC-4A35-BCA7-FBFE68A03C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1" name="Picture 31">
          <a:extLst>
            <a:ext uri="{FF2B5EF4-FFF2-40B4-BE49-F238E27FC236}">
              <a16:creationId xmlns:a16="http://schemas.microsoft.com/office/drawing/2014/main" id="{08DCE1AF-B800-4ADB-A5D0-B7C14BDCCE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2" name="Picture 31">
          <a:extLst>
            <a:ext uri="{FF2B5EF4-FFF2-40B4-BE49-F238E27FC236}">
              <a16:creationId xmlns:a16="http://schemas.microsoft.com/office/drawing/2014/main" id="{FD687366-D1A0-4BB2-9A3F-8F592465A9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3" name="Picture 31">
          <a:extLst>
            <a:ext uri="{FF2B5EF4-FFF2-40B4-BE49-F238E27FC236}">
              <a16:creationId xmlns:a16="http://schemas.microsoft.com/office/drawing/2014/main" id="{854CE37C-2A85-407D-B9AF-B52166766B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4" name="Picture 31">
          <a:extLst>
            <a:ext uri="{FF2B5EF4-FFF2-40B4-BE49-F238E27FC236}">
              <a16:creationId xmlns:a16="http://schemas.microsoft.com/office/drawing/2014/main" id="{D1996914-0C4D-49F9-8D8C-AFE031F521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5" name="Picture 31">
          <a:extLst>
            <a:ext uri="{FF2B5EF4-FFF2-40B4-BE49-F238E27FC236}">
              <a16:creationId xmlns:a16="http://schemas.microsoft.com/office/drawing/2014/main" id="{6B6982C0-583B-416A-97B9-52E49D8950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6" name="Picture 31">
          <a:extLst>
            <a:ext uri="{FF2B5EF4-FFF2-40B4-BE49-F238E27FC236}">
              <a16:creationId xmlns:a16="http://schemas.microsoft.com/office/drawing/2014/main" id="{0A55356C-E20B-4069-9859-3C4CC84421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7" name="Picture 31">
          <a:extLst>
            <a:ext uri="{FF2B5EF4-FFF2-40B4-BE49-F238E27FC236}">
              <a16:creationId xmlns:a16="http://schemas.microsoft.com/office/drawing/2014/main" id="{F6390D46-E5E3-4AF1-AC40-9247E96E76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8" name="Picture 31">
          <a:extLst>
            <a:ext uri="{FF2B5EF4-FFF2-40B4-BE49-F238E27FC236}">
              <a16:creationId xmlns:a16="http://schemas.microsoft.com/office/drawing/2014/main" id="{C45D84E2-DC27-40DC-AC9E-C915C915CE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79" name="Picture 31">
          <a:extLst>
            <a:ext uri="{FF2B5EF4-FFF2-40B4-BE49-F238E27FC236}">
              <a16:creationId xmlns:a16="http://schemas.microsoft.com/office/drawing/2014/main" id="{4EB736DB-5CF4-4B1C-ADF7-1BCA79065E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0" name="Picture 31">
          <a:extLst>
            <a:ext uri="{FF2B5EF4-FFF2-40B4-BE49-F238E27FC236}">
              <a16:creationId xmlns:a16="http://schemas.microsoft.com/office/drawing/2014/main" id="{A8666A5B-0F44-421D-8FD3-2C62B0CFB1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1" name="Picture 31">
          <a:extLst>
            <a:ext uri="{FF2B5EF4-FFF2-40B4-BE49-F238E27FC236}">
              <a16:creationId xmlns:a16="http://schemas.microsoft.com/office/drawing/2014/main" id="{1C27EFBE-433B-49BC-8FC7-D2DFECE2CC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2" name="Picture 31">
          <a:extLst>
            <a:ext uri="{FF2B5EF4-FFF2-40B4-BE49-F238E27FC236}">
              <a16:creationId xmlns:a16="http://schemas.microsoft.com/office/drawing/2014/main" id="{D6DD0420-421C-4AC3-A2BA-34F9F223EC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3" name="Picture 31">
          <a:extLst>
            <a:ext uri="{FF2B5EF4-FFF2-40B4-BE49-F238E27FC236}">
              <a16:creationId xmlns:a16="http://schemas.microsoft.com/office/drawing/2014/main" id="{C7FE6DE5-0E8A-4D8F-BDB2-B39C05C0AA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4" name="Picture 31">
          <a:extLst>
            <a:ext uri="{FF2B5EF4-FFF2-40B4-BE49-F238E27FC236}">
              <a16:creationId xmlns:a16="http://schemas.microsoft.com/office/drawing/2014/main" id="{FF853129-9C27-4376-BA55-AB2353934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5" name="Picture 31">
          <a:extLst>
            <a:ext uri="{FF2B5EF4-FFF2-40B4-BE49-F238E27FC236}">
              <a16:creationId xmlns:a16="http://schemas.microsoft.com/office/drawing/2014/main" id="{75E4FD46-ED37-48D3-96DD-7E7D85B651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6" name="Picture 31">
          <a:extLst>
            <a:ext uri="{FF2B5EF4-FFF2-40B4-BE49-F238E27FC236}">
              <a16:creationId xmlns:a16="http://schemas.microsoft.com/office/drawing/2014/main" id="{A8F9582A-BAB6-4F71-9132-47701B72EC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7" name="Picture 31">
          <a:extLst>
            <a:ext uri="{FF2B5EF4-FFF2-40B4-BE49-F238E27FC236}">
              <a16:creationId xmlns:a16="http://schemas.microsoft.com/office/drawing/2014/main" id="{864F1228-65D0-4E93-96B8-EDC4C40F23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8" name="Picture 31">
          <a:extLst>
            <a:ext uri="{FF2B5EF4-FFF2-40B4-BE49-F238E27FC236}">
              <a16:creationId xmlns:a16="http://schemas.microsoft.com/office/drawing/2014/main" id="{3FBB0E20-DD5C-4134-9BEA-342E6C0030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89" name="Picture 31">
          <a:extLst>
            <a:ext uri="{FF2B5EF4-FFF2-40B4-BE49-F238E27FC236}">
              <a16:creationId xmlns:a16="http://schemas.microsoft.com/office/drawing/2014/main" id="{C5DE7948-1913-4550-8343-7C85E60B31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0" name="Picture 31">
          <a:extLst>
            <a:ext uri="{FF2B5EF4-FFF2-40B4-BE49-F238E27FC236}">
              <a16:creationId xmlns:a16="http://schemas.microsoft.com/office/drawing/2014/main" id="{D6BA9316-D736-41ED-8CD6-77D6903637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1" name="Picture 31">
          <a:extLst>
            <a:ext uri="{FF2B5EF4-FFF2-40B4-BE49-F238E27FC236}">
              <a16:creationId xmlns:a16="http://schemas.microsoft.com/office/drawing/2014/main" id="{61941A3D-2AA0-4544-9B6C-91877B0F7A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2" name="Picture 31">
          <a:extLst>
            <a:ext uri="{FF2B5EF4-FFF2-40B4-BE49-F238E27FC236}">
              <a16:creationId xmlns:a16="http://schemas.microsoft.com/office/drawing/2014/main" id="{54AB581E-9C3F-46E7-83D9-EB1BACA819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3" name="Picture 31">
          <a:extLst>
            <a:ext uri="{FF2B5EF4-FFF2-40B4-BE49-F238E27FC236}">
              <a16:creationId xmlns:a16="http://schemas.microsoft.com/office/drawing/2014/main" id="{0DB13584-58A4-4E11-A2F5-06F7A2C59C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4" name="Picture 31">
          <a:extLst>
            <a:ext uri="{FF2B5EF4-FFF2-40B4-BE49-F238E27FC236}">
              <a16:creationId xmlns:a16="http://schemas.microsoft.com/office/drawing/2014/main" id="{2A8AB1F7-87D1-4A75-BEDC-A9BB71F5F1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5" name="Picture 31">
          <a:extLst>
            <a:ext uri="{FF2B5EF4-FFF2-40B4-BE49-F238E27FC236}">
              <a16:creationId xmlns:a16="http://schemas.microsoft.com/office/drawing/2014/main" id="{2ECB7F67-8115-47EE-A3FD-F656E1E8B2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6" name="Picture 31">
          <a:extLst>
            <a:ext uri="{FF2B5EF4-FFF2-40B4-BE49-F238E27FC236}">
              <a16:creationId xmlns:a16="http://schemas.microsoft.com/office/drawing/2014/main" id="{C206D60A-A65B-4D46-970C-A0C8AD9C03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7" name="Picture 31">
          <a:extLst>
            <a:ext uri="{FF2B5EF4-FFF2-40B4-BE49-F238E27FC236}">
              <a16:creationId xmlns:a16="http://schemas.microsoft.com/office/drawing/2014/main" id="{D2E1F9F6-0975-4989-A98C-5A61C713B7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8" name="Picture 31">
          <a:extLst>
            <a:ext uri="{FF2B5EF4-FFF2-40B4-BE49-F238E27FC236}">
              <a16:creationId xmlns:a16="http://schemas.microsoft.com/office/drawing/2014/main" id="{B09AF99B-5896-411D-B5B2-9D915C5A2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999" name="Picture 31">
          <a:extLst>
            <a:ext uri="{FF2B5EF4-FFF2-40B4-BE49-F238E27FC236}">
              <a16:creationId xmlns:a16="http://schemas.microsoft.com/office/drawing/2014/main" id="{6E1711DF-80CF-478E-97D9-1703D1B602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0" name="Picture 31">
          <a:extLst>
            <a:ext uri="{FF2B5EF4-FFF2-40B4-BE49-F238E27FC236}">
              <a16:creationId xmlns:a16="http://schemas.microsoft.com/office/drawing/2014/main" id="{EEE20588-D562-454D-94CC-1240AE81D3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1" name="Picture 31">
          <a:extLst>
            <a:ext uri="{FF2B5EF4-FFF2-40B4-BE49-F238E27FC236}">
              <a16:creationId xmlns:a16="http://schemas.microsoft.com/office/drawing/2014/main" id="{A0A36633-0D93-4371-B548-53F9038D86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2" name="Picture 31">
          <a:extLst>
            <a:ext uri="{FF2B5EF4-FFF2-40B4-BE49-F238E27FC236}">
              <a16:creationId xmlns:a16="http://schemas.microsoft.com/office/drawing/2014/main" id="{F0587485-491A-434F-BC37-69417F8FE1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3" name="Picture 31">
          <a:extLst>
            <a:ext uri="{FF2B5EF4-FFF2-40B4-BE49-F238E27FC236}">
              <a16:creationId xmlns:a16="http://schemas.microsoft.com/office/drawing/2014/main" id="{0F3C9131-D563-460A-9CD6-052FB5B070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4" name="Picture 31">
          <a:extLst>
            <a:ext uri="{FF2B5EF4-FFF2-40B4-BE49-F238E27FC236}">
              <a16:creationId xmlns:a16="http://schemas.microsoft.com/office/drawing/2014/main" id="{FB9EEF40-5E8F-47D1-B8B7-928B55AA69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5" name="Picture 31">
          <a:extLst>
            <a:ext uri="{FF2B5EF4-FFF2-40B4-BE49-F238E27FC236}">
              <a16:creationId xmlns:a16="http://schemas.microsoft.com/office/drawing/2014/main" id="{9F5F572C-F276-4EBD-87D0-ED5E150C02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6" name="Picture 31">
          <a:extLst>
            <a:ext uri="{FF2B5EF4-FFF2-40B4-BE49-F238E27FC236}">
              <a16:creationId xmlns:a16="http://schemas.microsoft.com/office/drawing/2014/main" id="{27CDD87F-47F4-4F68-8667-24545C74C8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7" name="Picture 31">
          <a:extLst>
            <a:ext uri="{FF2B5EF4-FFF2-40B4-BE49-F238E27FC236}">
              <a16:creationId xmlns:a16="http://schemas.microsoft.com/office/drawing/2014/main" id="{9E810C29-6DCB-400F-9E2C-B214E91BF9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8" name="Picture 31">
          <a:extLst>
            <a:ext uri="{FF2B5EF4-FFF2-40B4-BE49-F238E27FC236}">
              <a16:creationId xmlns:a16="http://schemas.microsoft.com/office/drawing/2014/main" id="{DBDCE929-AEFD-4359-AA84-FEED21EF79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09" name="Picture 31">
          <a:extLst>
            <a:ext uri="{FF2B5EF4-FFF2-40B4-BE49-F238E27FC236}">
              <a16:creationId xmlns:a16="http://schemas.microsoft.com/office/drawing/2014/main" id="{E6901D57-17E1-43E9-AD36-F492F149BF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0" name="Picture 31">
          <a:extLst>
            <a:ext uri="{FF2B5EF4-FFF2-40B4-BE49-F238E27FC236}">
              <a16:creationId xmlns:a16="http://schemas.microsoft.com/office/drawing/2014/main" id="{148709C5-8C01-4905-8A11-12EB237AF2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1" name="Picture 31">
          <a:extLst>
            <a:ext uri="{FF2B5EF4-FFF2-40B4-BE49-F238E27FC236}">
              <a16:creationId xmlns:a16="http://schemas.microsoft.com/office/drawing/2014/main" id="{49CBF422-82D6-4284-9F4C-E990F3EC58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2" name="Picture 31">
          <a:extLst>
            <a:ext uri="{FF2B5EF4-FFF2-40B4-BE49-F238E27FC236}">
              <a16:creationId xmlns:a16="http://schemas.microsoft.com/office/drawing/2014/main" id="{30AD74A2-DCC1-46AD-87E6-3CFCFF9FD0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3" name="Picture 31">
          <a:extLst>
            <a:ext uri="{FF2B5EF4-FFF2-40B4-BE49-F238E27FC236}">
              <a16:creationId xmlns:a16="http://schemas.microsoft.com/office/drawing/2014/main" id="{6DC847B0-06A4-4BFE-9E00-FE139DD157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4" name="Picture 31">
          <a:extLst>
            <a:ext uri="{FF2B5EF4-FFF2-40B4-BE49-F238E27FC236}">
              <a16:creationId xmlns:a16="http://schemas.microsoft.com/office/drawing/2014/main" id="{D4BC2271-7EEA-4396-B8A9-900194FA3B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5" name="Picture 31">
          <a:extLst>
            <a:ext uri="{FF2B5EF4-FFF2-40B4-BE49-F238E27FC236}">
              <a16:creationId xmlns:a16="http://schemas.microsoft.com/office/drawing/2014/main" id="{1AC3766E-5910-4C6D-8641-3F82E5A1CA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6" name="Picture 31">
          <a:extLst>
            <a:ext uri="{FF2B5EF4-FFF2-40B4-BE49-F238E27FC236}">
              <a16:creationId xmlns:a16="http://schemas.microsoft.com/office/drawing/2014/main" id="{B8C18C6E-676F-417E-B339-C4CFA208CF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7" name="Picture 31">
          <a:extLst>
            <a:ext uri="{FF2B5EF4-FFF2-40B4-BE49-F238E27FC236}">
              <a16:creationId xmlns:a16="http://schemas.microsoft.com/office/drawing/2014/main" id="{7A2F88FF-6BBD-48BC-A43E-25CB9CC505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8" name="Picture 31">
          <a:extLst>
            <a:ext uri="{FF2B5EF4-FFF2-40B4-BE49-F238E27FC236}">
              <a16:creationId xmlns:a16="http://schemas.microsoft.com/office/drawing/2014/main" id="{ED7B3077-1566-4EC5-BBB0-5F033681E7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19" name="Picture 31">
          <a:extLst>
            <a:ext uri="{FF2B5EF4-FFF2-40B4-BE49-F238E27FC236}">
              <a16:creationId xmlns:a16="http://schemas.microsoft.com/office/drawing/2014/main" id="{2171CB97-05F6-4942-8C27-ACDD90E7BE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0" name="Picture 31">
          <a:extLst>
            <a:ext uri="{FF2B5EF4-FFF2-40B4-BE49-F238E27FC236}">
              <a16:creationId xmlns:a16="http://schemas.microsoft.com/office/drawing/2014/main" id="{694C661E-2657-41F3-B217-B0030D5DC1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1" name="Picture 31">
          <a:extLst>
            <a:ext uri="{FF2B5EF4-FFF2-40B4-BE49-F238E27FC236}">
              <a16:creationId xmlns:a16="http://schemas.microsoft.com/office/drawing/2014/main" id="{0FBBF5AC-3331-4F0D-A4CC-FED9BC1ED8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2" name="Picture 31">
          <a:extLst>
            <a:ext uri="{FF2B5EF4-FFF2-40B4-BE49-F238E27FC236}">
              <a16:creationId xmlns:a16="http://schemas.microsoft.com/office/drawing/2014/main" id="{BD17556F-247F-44FB-A4D8-0103AC419C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3" name="Picture 31">
          <a:extLst>
            <a:ext uri="{FF2B5EF4-FFF2-40B4-BE49-F238E27FC236}">
              <a16:creationId xmlns:a16="http://schemas.microsoft.com/office/drawing/2014/main" id="{970484CF-F007-4347-A6F5-A6E6338A85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4" name="Picture 31">
          <a:extLst>
            <a:ext uri="{FF2B5EF4-FFF2-40B4-BE49-F238E27FC236}">
              <a16:creationId xmlns:a16="http://schemas.microsoft.com/office/drawing/2014/main" id="{B11EBA46-7701-4425-AFA3-C1BD021E2B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5" name="Picture 31">
          <a:extLst>
            <a:ext uri="{FF2B5EF4-FFF2-40B4-BE49-F238E27FC236}">
              <a16:creationId xmlns:a16="http://schemas.microsoft.com/office/drawing/2014/main" id="{68535691-6E70-40A7-9A6A-1B0B1D2787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6" name="Picture 31">
          <a:extLst>
            <a:ext uri="{FF2B5EF4-FFF2-40B4-BE49-F238E27FC236}">
              <a16:creationId xmlns:a16="http://schemas.microsoft.com/office/drawing/2014/main" id="{A710DA89-A6BB-4375-AF7E-79D634750A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7" name="Picture 31">
          <a:extLst>
            <a:ext uri="{FF2B5EF4-FFF2-40B4-BE49-F238E27FC236}">
              <a16:creationId xmlns:a16="http://schemas.microsoft.com/office/drawing/2014/main" id="{F235964D-3096-4476-935C-036F131E55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8" name="Picture 31">
          <a:extLst>
            <a:ext uri="{FF2B5EF4-FFF2-40B4-BE49-F238E27FC236}">
              <a16:creationId xmlns:a16="http://schemas.microsoft.com/office/drawing/2014/main" id="{7C35F475-185E-4E06-9DCA-CCAD0CCCBB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29" name="Picture 31">
          <a:extLst>
            <a:ext uri="{FF2B5EF4-FFF2-40B4-BE49-F238E27FC236}">
              <a16:creationId xmlns:a16="http://schemas.microsoft.com/office/drawing/2014/main" id="{1793B446-746B-4252-B9E0-9774A0E788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0" name="Picture 31">
          <a:extLst>
            <a:ext uri="{FF2B5EF4-FFF2-40B4-BE49-F238E27FC236}">
              <a16:creationId xmlns:a16="http://schemas.microsoft.com/office/drawing/2014/main" id="{8C3F5B8C-CDD2-4962-B2B8-F81359170A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1" name="Picture 31">
          <a:extLst>
            <a:ext uri="{FF2B5EF4-FFF2-40B4-BE49-F238E27FC236}">
              <a16:creationId xmlns:a16="http://schemas.microsoft.com/office/drawing/2014/main" id="{223CDF36-406E-4883-A889-47AEEA6E104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2" name="Picture 31">
          <a:extLst>
            <a:ext uri="{FF2B5EF4-FFF2-40B4-BE49-F238E27FC236}">
              <a16:creationId xmlns:a16="http://schemas.microsoft.com/office/drawing/2014/main" id="{CCC150AB-955F-4099-98B4-911AF3BD77C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3" name="Picture 31">
          <a:extLst>
            <a:ext uri="{FF2B5EF4-FFF2-40B4-BE49-F238E27FC236}">
              <a16:creationId xmlns:a16="http://schemas.microsoft.com/office/drawing/2014/main" id="{E2F742AE-9BF2-4472-9215-27EA6F3E0A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4" name="Picture 31">
          <a:extLst>
            <a:ext uri="{FF2B5EF4-FFF2-40B4-BE49-F238E27FC236}">
              <a16:creationId xmlns:a16="http://schemas.microsoft.com/office/drawing/2014/main" id="{5967EB16-3D1C-45F8-ABC2-69A694EF59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5" name="Picture 31">
          <a:extLst>
            <a:ext uri="{FF2B5EF4-FFF2-40B4-BE49-F238E27FC236}">
              <a16:creationId xmlns:a16="http://schemas.microsoft.com/office/drawing/2014/main" id="{18616944-BC41-4A8C-9CBE-20919BC535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6" name="Picture 31">
          <a:extLst>
            <a:ext uri="{FF2B5EF4-FFF2-40B4-BE49-F238E27FC236}">
              <a16:creationId xmlns:a16="http://schemas.microsoft.com/office/drawing/2014/main" id="{1CF81CE0-D029-45AD-9201-CD9D47BA0D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7" name="Picture 31">
          <a:extLst>
            <a:ext uri="{FF2B5EF4-FFF2-40B4-BE49-F238E27FC236}">
              <a16:creationId xmlns:a16="http://schemas.microsoft.com/office/drawing/2014/main" id="{73C8CE7F-0D5C-4E8D-9E0E-8353943EF8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8" name="Picture 31">
          <a:extLst>
            <a:ext uri="{FF2B5EF4-FFF2-40B4-BE49-F238E27FC236}">
              <a16:creationId xmlns:a16="http://schemas.microsoft.com/office/drawing/2014/main" id="{02D8BCE2-B1D9-4CE7-8219-B8C843EE5E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39" name="Picture 31">
          <a:extLst>
            <a:ext uri="{FF2B5EF4-FFF2-40B4-BE49-F238E27FC236}">
              <a16:creationId xmlns:a16="http://schemas.microsoft.com/office/drawing/2014/main" id="{04430AB2-F9F9-4B38-995C-94B0026647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0" name="Picture 31">
          <a:extLst>
            <a:ext uri="{FF2B5EF4-FFF2-40B4-BE49-F238E27FC236}">
              <a16:creationId xmlns:a16="http://schemas.microsoft.com/office/drawing/2014/main" id="{AAF3D550-2700-45FA-9C99-9A518B0379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1" name="Picture 31">
          <a:extLst>
            <a:ext uri="{FF2B5EF4-FFF2-40B4-BE49-F238E27FC236}">
              <a16:creationId xmlns:a16="http://schemas.microsoft.com/office/drawing/2014/main" id="{3A9BF940-05C2-49B2-A57B-114E412CCD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2" name="Picture 31">
          <a:extLst>
            <a:ext uri="{FF2B5EF4-FFF2-40B4-BE49-F238E27FC236}">
              <a16:creationId xmlns:a16="http://schemas.microsoft.com/office/drawing/2014/main" id="{D1A38F33-E552-4C56-A407-6F5D276114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3" name="Picture 31">
          <a:extLst>
            <a:ext uri="{FF2B5EF4-FFF2-40B4-BE49-F238E27FC236}">
              <a16:creationId xmlns:a16="http://schemas.microsoft.com/office/drawing/2014/main" id="{423FABBD-946F-4F05-A06B-D98A5815D5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4" name="Picture 31">
          <a:extLst>
            <a:ext uri="{FF2B5EF4-FFF2-40B4-BE49-F238E27FC236}">
              <a16:creationId xmlns:a16="http://schemas.microsoft.com/office/drawing/2014/main" id="{C686B59F-C8BF-4AC1-8FBB-322EE59BFA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5" name="Picture 31">
          <a:extLst>
            <a:ext uri="{FF2B5EF4-FFF2-40B4-BE49-F238E27FC236}">
              <a16:creationId xmlns:a16="http://schemas.microsoft.com/office/drawing/2014/main" id="{DA62CDCB-7011-4121-AA0B-C484A7CA86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6" name="Picture 31">
          <a:extLst>
            <a:ext uri="{FF2B5EF4-FFF2-40B4-BE49-F238E27FC236}">
              <a16:creationId xmlns:a16="http://schemas.microsoft.com/office/drawing/2014/main" id="{D8A7058D-A5CD-4BDC-8EF3-45966B915B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7" name="Picture 31">
          <a:extLst>
            <a:ext uri="{FF2B5EF4-FFF2-40B4-BE49-F238E27FC236}">
              <a16:creationId xmlns:a16="http://schemas.microsoft.com/office/drawing/2014/main" id="{A28E59B6-4967-42F8-940A-DA3233DD66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8" name="Picture 31">
          <a:extLst>
            <a:ext uri="{FF2B5EF4-FFF2-40B4-BE49-F238E27FC236}">
              <a16:creationId xmlns:a16="http://schemas.microsoft.com/office/drawing/2014/main" id="{DE8E9737-1EE2-459F-93F8-C1FE9C17B6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49" name="Picture 31">
          <a:extLst>
            <a:ext uri="{FF2B5EF4-FFF2-40B4-BE49-F238E27FC236}">
              <a16:creationId xmlns:a16="http://schemas.microsoft.com/office/drawing/2014/main" id="{70504A5E-DBBB-4833-B76E-E933A41970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0" name="Picture 31">
          <a:extLst>
            <a:ext uri="{FF2B5EF4-FFF2-40B4-BE49-F238E27FC236}">
              <a16:creationId xmlns:a16="http://schemas.microsoft.com/office/drawing/2014/main" id="{8BADEECA-EA2C-4603-BFC3-42BD581614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1" name="Picture 31">
          <a:extLst>
            <a:ext uri="{FF2B5EF4-FFF2-40B4-BE49-F238E27FC236}">
              <a16:creationId xmlns:a16="http://schemas.microsoft.com/office/drawing/2014/main" id="{71E17E53-6477-40B1-B4E6-C6E4EBE274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2" name="Picture 31">
          <a:extLst>
            <a:ext uri="{FF2B5EF4-FFF2-40B4-BE49-F238E27FC236}">
              <a16:creationId xmlns:a16="http://schemas.microsoft.com/office/drawing/2014/main" id="{DA59A740-5715-40EC-B832-6645A2D6DB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3" name="Picture 31">
          <a:extLst>
            <a:ext uri="{FF2B5EF4-FFF2-40B4-BE49-F238E27FC236}">
              <a16:creationId xmlns:a16="http://schemas.microsoft.com/office/drawing/2014/main" id="{BDBE13C1-58F1-4284-9E80-4D0CD38865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4" name="Picture 31">
          <a:extLst>
            <a:ext uri="{FF2B5EF4-FFF2-40B4-BE49-F238E27FC236}">
              <a16:creationId xmlns:a16="http://schemas.microsoft.com/office/drawing/2014/main" id="{6EB93CBF-67CC-4F50-9781-0245299668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5" name="Picture 31">
          <a:extLst>
            <a:ext uri="{FF2B5EF4-FFF2-40B4-BE49-F238E27FC236}">
              <a16:creationId xmlns:a16="http://schemas.microsoft.com/office/drawing/2014/main" id="{3819C68C-52AD-4F78-897C-4C0E4C63EC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6" name="Picture 31">
          <a:extLst>
            <a:ext uri="{FF2B5EF4-FFF2-40B4-BE49-F238E27FC236}">
              <a16:creationId xmlns:a16="http://schemas.microsoft.com/office/drawing/2014/main" id="{F4B1F8F0-BBE2-4BCC-8D05-85005725E8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7" name="Picture 31">
          <a:extLst>
            <a:ext uri="{FF2B5EF4-FFF2-40B4-BE49-F238E27FC236}">
              <a16:creationId xmlns:a16="http://schemas.microsoft.com/office/drawing/2014/main" id="{718EE5A2-2BC0-4E46-9A39-C28F85A2E4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8" name="Picture 31">
          <a:extLst>
            <a:ext uri="{FF2B5EF4-FFF2-40B4-BE49-F238E27FC236}">
              <a16:creationId xmlns:a16="http://schemas.microsoft.com/office/drawing/2014/main" id="{752391EF-E5EB-4D59-8D75-047D386062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59" name="Picture 31">
          <a:extLst>
            <a:ext uri="{FF2B5EF4-FFF2-40B4-BE49-F238E27FC236}">
              <a16:creationId xmlns:a16="http://schemas.microsoft.com/office/drawing/2014/main" id="{567002C1-69B2-4A59-8598-00A52BD6A2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0" name="Picture 31">
          <a:extLst>
            <a:ext uri="{FF2B5EF4-FFF2-40B4-BE49-F238E27FC236}">
              <a16:creationId xmlns:a16="http://schemas.microsoft.com/office/drawing/2014/main" id="{86F93BBC-9423-4E47-A5E3-997C15611D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1" name="Picture 31">
          <a:extLst>
            <a:ext uri="{FF2B5EF4-FFF2-40B4-BE49-F238E27FC236}">
              <a16:creationId xmlns:a16="http://schemas.microsoft.com/office/drawing/2014/main" id="{5AE95DCB-E30C-43DE-BE65-C723273E4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2" name="Picture 31">
          <a:extLst>
            <a:ext uri="{FF2B5EF4-FFF2-40B4-BE49-F238E27FC236}">
              <a16:creationId xmlns:a16="http://schemas.microsoft.com/office/drawing/2014/main" id="{EB3ED1B4-8D33-44D6-8617-A017EEEE9F5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3" name="Picture 31">
          <a:extLst>
            <a:ext uri="{FF2B5EF4-FFF2-40B4-BE49-F238E27FC236}">
              <a16:creationId xmlns:a16="http://schemas.microsoft.com/office/drawing/2014/main" id="{B4A82F46-ED63-4140-9828-C71504476E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4" name="Picture 31">
          <a:extLst>
            <a:ext uri="{FF2B5EF4-FFF2-40B4-BE49-F238E27FC236}">
              <a16:creationId xmlns:a16="http://schemas.microsoft.com/office/drawing/2014/main" id="{49C2A9C9-59B1-4FDD-8C7C-A223B5BCA6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5" name="Picture 31">
          <a:extLst>
            <a:ext uri="{FF2B5EF4-FFF2-40B4-BE49-F238E27FC236}">
              <a16:creationId xmlns:a16="http://schemas.microsoft.com/office/drawing/2014/main" id="{077856D1-0770-41A7-9A21-24DEF1C7E0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6" name="Picture 31">
          <a:extLst>
            <a:ext uri="{FF2B5EF4-FFF2-40B4-BE49-F238E27FC236}">
              <a16:creationId xmlns:a16="http://schemas.microsoft.com/office/drawing/2014/main" id="{A2DB8301-A6FA-4F2C-A8DA-977A20F000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7" name="Picture 31">
          <a:extLst>
            <a:ext uri="{FF2B5EF4-FFF2-40B4-BE49-F238E27FC236}">
              <a16:creationId xmlns:a16="http://schemas.microsoft.com/office/drawing/2014/main" id="{F08E5B16-BAF7-478B-9A3B-CD046F0DCD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8" name="Picture 31">
          <a:extLst>
            <a:ext uri="{FF2B5EF4-FFF2-40B4-BE49-F238E27FC236}">
              <a16:creationId xmlns:a16="http://schemas.microsoft.com/office/drawing/2014/main" id="{7BF11DC9-93DB-4640-B614-C793F06245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69" name="Picture 31">
          <a:extLst>
            <a:ext uri="{FF2B5EF4-FFF2-40B4-BE49-F238E27FC236}">
              <a16:creationId xmlns:a16="http://schemas.microsoft.com/office/drawing/2014/main" id="{0B2F470D-99D4-4A31-9233-2BDC9DED20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0" name="Picture 31">
          <a:extLst>
            <a:ext uri="{FF2B5EF4-FFF2-40B4-BE49-F238E27FC236}">
              <a16:creationId xmlns:a16="http://schemas.microsoft.com/office/drawing/2014/main" id="{47592EE4-DCA6-40D6-B9FA-CA9EEA626F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1" name="Picture 31">
          <a:extLst>
            <a:ext uri="{FF2B5EF4-FFF2-40B4-BE49-F238E27FC236}">
              <a16:creationId xmlns:a16="http://schemas.microsoft.com/office/drawing/2014/main" id="{8E64FA20-1D58-4974-B246-595F08435C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2" name="Picture 31">
          <a:extLst>
            <a:ext uri="{FF2B5EF4-FFF2-40B4-BE49-F238E27FC236}">
              <a16:creationId xmlns:a16="http://schemas.microsoft.com/office/drawing/2014/main" id="{F94B8134-07DC-4DDF-9419-40743E6BDF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3" name="Picture 31">
          <a:extLst>
            <a:ext uri="{FF2B5EF4-FFF2-40B4-BE49-F238E27FC236}">
              <a16:creationId xmlns:a16="http://schemas.microsoft.com/office/drawing/2014/main" id="{51BDF6C9-0A5E-41EE-8325-A2ABFB7F5E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4" name="Picture 31">
          <a:extLst>
            <a:ext uri="{FF2B5EF4-FFF2-40B4-BE49-F238E27FC236}">
              <a16:creationId xmlns:a16="http://schemas.microsoft.com/office/drawing/2014/main" id="{3FA11B9B-7C06-44AE-B6AA-AA0C0D431F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5" name="Picture 31">
          <a:extLst>
            <a:ext uri="{FF2B5EF4-FFF2-40B4-BE49-F238E27FC236}">
              <a16:creationId xmlns:a16="http://schemas.microsoft.com/office/drawing/2014/main" id="{B9B4B533-173F-43CC-AAD8-37FABCAC34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6" name="Picture 31">
          <a:extLst>
            <a:ext uri="{FF2B5EF4-FFF2-40B4-BE49-F238E27FC236}">
              <a16:creationId xmlns:a16="http://schemas.microsoft.com/office/drawing/2014/main" id="{4B5B409F-6911-4328-AEEF-9F49117AFB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7" name="Picture 31">
          <a:extLst>
            <a:ext uri="{FF2B5EF4-FFF2-40B4-BE49-F238E27FC236}">
              <a16:creationId xmlns:a16="http://schemas.microsoft.com/office/drawing/2014/main" id="{EAD538CC-139E-45CB-B4DB-376266C291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8" name="Picture 31">
          <a:extLst>
            <a:ext uri="{FF2B5EF4-FFF2-40B4-BE49-F238E27FC236}">
              <a16:creationId xmlns:a16="http://schemas.microsoft.com/office/drawing/2014/main" id="{59558AF2-5B4D-4473-841C-0298DA8CA9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79" name="Picture 31">
          <a:extLst>
            <a:ext uri="{FF2B5EF4-FFF2-40B4-BE49-F238E27FC236}">
              <a16:creationId xmlns:a16="http://schemas.microsoft.com/office/drawing/2014/main" id="{A920F010-3263-4E06-A996-4DC9212910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0" name="Picture 31">
          <a:extLst>
            <a:ext uri="{FF2B5EF4-FFF2-40B4-BE49-F238E27FC236}">
              <a16:creationId xmlns:a16="http://schemas.microsoft.com/office/drawing/2014/main" id="{85AC3AA8-7329-4A9C-ACD5-67A877EBCD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1" name="Picture 31">
          <a:extLst>
            <a:ext uri="{FF2B5EF4-FFF2-40B4-BE49-F238E27FC236}">
              <a16:creationId xmlns:a16="http://schemas.microsoft.com/office/drawing/2014/main" id="{D657BBBD-60AE-48A5-BE3B-175EF6D040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2" name="Picture 31">
          <a:extLst>
            <a:ext uri="{FF2B5EF4-FFF2-40B4-BE49-F238E27FC236}">
              <a16:creationId xmlns:a16="http://schemas.microsoft.com/office/drawing/2014/main" id="{BD10EA99-7022-422E-9348-DC5F25718D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3" name="Picture 31">
          <a:extLst>
            <a:ext uri="{FF2B5EF4-FFF2-40B4-BE49-F238E27FC236}">
              <a16:creationId xmlns:a16="http://schemas.microsoft.com/office/drawing/2014/main" id="{E4C8F67E-5B12-4DF4-BE83-9C2FB23D16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4" name="Picture 31">
          <a:extLst>
            <a:ext uri="{FF2B5EF4-FFF2-40B4-BE49-F238E27FC236}">
              <a16:creationId xmlns:a16="http://schemas.microsoft.com/office/drawing/2014/main" id="{28677079-D95C-44CE-A8BC-D112CE089F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5" name="Picture 31">
          <a:extLst>
            <a:ext uri="{FF2B5EF4-FFF2-40B4-BE49-F238E27FC236}">
              <a16:creationId xmlns:a16="http://schemas.microsoft.com/office/drawing/2014/main" id="{7F610C73-4961-416E-AAFC-40CF6F0690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6" name="Picture 31">
          <a:extLst>
            <a:ext uri="{FF2B5EF4-FFF2-40B4-BE49-F238E27FC236}">
              <a16:creationId xmlns:a16="http://schemas.microsoft.com/office/drawing/2014/main" id="{503F5F26-FCEC-4C07-88BE-786B5335A2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7" name="Picture 31">
          <a:extLst>
            <a:ext uri="{FF2B5EF4-FFF2-40B4-BE49-F238E27FC236}">
              <a16:creationId xmlns:a16="http://schemas.microsoft.com/office/drawing/2014/main" id="{E2C08B74-3EB2-4BD8-A92B-0F5D83D61F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8" name="Picture 31">
          <a:extLst>
            <a:ext uri="{FF2B5EF4-FFF2-40B4-BE49-F238E27FC236}">
              <a16:creationId xmlns:a16="http://schemas.microsoft.com/office/drawing/2014/main" id="{C458A26E-8845-4490-9A73-3B783335F4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89" name="Picture 31">
          <a:extLst>
            <a:ext uri="{FF2B5EF4-FFF2-40B4-BE49-F238E27FC236}">
              <a16:creationId xmlns:a16="http://schemas.microsoft.com/office/drawing/2014/main" id="{6BE68C80-66F9-456C-9077-B985A8E414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0" name="Picture 31">
          <a:extLst>
            <a:ext uri="{FF2B5EF4-FFF2-40B4-BE49-F238E27FC236}">
              <a16:creationId xmlns:a16="http://schemas.microsoft.com/office/drawing/2014/main" id="{F0E3F8AA-F738-457D-A3E0-9938BE4768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1" name="Picture 31">
          <a:extLst>
            <a:ext uri="{FF2B5EF4-FFF2-40B4-BE49-F238E27FC236}">
              <a16:creationId xmlns:a16="http://schemas.microsoft.com/office/drawing/2014/main" id="{BF8013EB-B967-4A85-96BB-0E3ABE517F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2" name="Picture 31">
          <a:extLst>
            <a:ext uri="{FF2B5EF4-FFF2-40B4-BE49-F238E27FC236}">
              <a16:creationId xmlns:a16="http://schemas.microsoft.com/office/drawing/2014/main" id="{3B674B59-3442-4F46-B64B-2A9CF81117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3" name="Picture 31">
          <a:extLst>
            <a:ext uri="{FF2B5EF4-FFF2-40B4-BE49-F238E27FC236}">
              <a16:creationId xmlns:a16="http://schemas.microsoft.com/office/drawing/2014/main" id="{34EBAE91-C537-472C-9128-AB756BD7D7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4" name="Picture 31">
          <a:extLst>
            <a:ext uri="{FF2B5EF4-FFF2-40B4-BE49-F238E27FC236}">
              <a16:creationId xmlns:a16="http://schemas.microsoft.com/office/drawing/2014/main" id="{C61F3758-A097-4174-9FFB-13991155EA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5" name="Picture 31">
          <a:extLst>
            <a:ext uri="{FF2B5EF4-FFF2-40B4-BE49-F238E27FC236}">
              <a16:creationId xmlns:a16="http://schemas.microsoft.com/office/drawing/2014/main" id="{6EEB9A95-3ED0-4D9C-A826-85F25D41DE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6" name="Picture 31">
          <a:extLst>
            <a:ext uri="{FF2B5EF4-FFF2-40B4-BE49-F238E27FC236}">
              <a16:creationId xmlns:a16="http://schemas.microsoft.com/office/drawing/2014/main" id="{730A86AA-8173-4046-AD46-C01E25284A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7" name="Picture 31">
          <a:extLst>
            <a:ext uri="{FF2B5EF4-FFF2-40B4-BE49-F238E27FC236}">
              <a16:creationId xmlns:a16="http://schemas.microsoft.com/office/drawing/2014/main" id="{D3C8721C-F759-434E-AA4C-B88387C96F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8" name="Picture 31">
          <a:extLst>
            <a:ext uri="{FF2B5EF4-FFF2-40B4-BE49-F238E27FC236}">
              <a16:creationId xmlns:a16="http://schemas.microsoft.com/office/drawing/2014/main" id="{B10DA3A9-02C4-4723-B1D3-3BCD3E01CA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099" name="Picture 31">
          <a:extLst>
            <a:ext uri="{FF2B5EF4-FFF2-40B4-BE49-F238E27FC236}">
              <a16:creationId xmlns:a16="http://schemas.microsoft.com/office/drawing/2014/main" id="{B2EE1E31-5999-4059-A0A5-35A9081338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0" name="Picture 31">
          <a:extLst>
            <a:ext uri="{FF2B5EF4-FFF2-40B4-BE49-F238E27FC236}">
              <a16:creationId xmlns:a16="http://schemas.microsoft.com/office/drawing/2014/main" id="{A74825A9-AB3C-4DF4-BE59-B2FA78AAF6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1" name="Picture 31">
          <a:extLst>
            <a:ext uri="{FF2B5EF4-FFF2-40B4-BE49-F238E27FC236}">
              <a16:creationId xmlns:a16="http://schemas.microsoft.com/office/drawing/2014/main" id="{9E24FDAD-9853-485E-8A2C-0CA3DBDB2F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2" name="Picture 31">
          <a:extLst>
            <a:ext uri="{FF2B5EF4-FFF2-40B4-BE49-F238E27FC236}">
              <a16:creationId xmlns:a16="http://schemas.microsoft.com/office/drawing/2014/main" id="{7D14E6DC-FBAB-4114-B123-D645F1FCF5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3" name="Picture 31">
          <a:extLst>
            <a:ext uri="{FF2B5EF4-FFF2-40B4-BE49-F238E27FC236}">
              <a16:creationId xmlns:a16="http://schemas.microsoft.com/office/drawing/2014/main" id="{357F5AA6-FC7C-41D0-B5EC-2CC868C354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4" name="Picture 31">
          <a:extLst>
            <a:ext uri="{FF2B5EF4-FFF2-40B4-BE49-F238E27FC236}">
              <a16:creationId xmlns:a16="http://schemas.microsoft.com/office/drawing/2014/main" id="{276EA6A3-6067-4565-86B5-B38ABB1F6B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5" name="Picture 31">
          <a:extLst>
            <a:ext uri="{FF2B5EF4-FFF2-40B4-BE49-F238E27FC236}">
              <a16:creationId xmlns:a16="http://schemas.microsoft.com/office/drawing/2014/main" id="{6A987557-638B-4BDF-BB22-6C80B947A4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6" name="Picture 31">
          <a:extLst>
            <a:ext uri="{FF2B5EF4-FFF2-40B4-BE49-F238E27FC236}">
              <a16:creationId xmlns:a16="http://schemas.microsoft.com/office/drawing/2014/main" id="{CE8116A7-64A8-4D48-849C-000A101718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7" name="Picture 31">
          <a:extLst>
            <a:ext uri="{FF2B5EF4-FFF2-40B4-BE49-F238E27FC236}">
              <a16:creationId xmlns:a16="http://schemas.microsoft.com/office/drawing/2014/main" id="{77A1AB1B-632A-430B-A908-02CD8A995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8" name="Picture 31">
          <a:extLst>
            <a:ext uri="{FF2B5EF4-FFF2-40B4-BE49-F238E27FC236}">
              <a16:creationId xmlns:a16="http://schemas.microsoft.com/office/drawing/2014/main" id="{2B7FCBD4-AC67-48C5-B9D3-479C80FAD2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09" name="Picture 31">
          <a:extLst>
            <a:ext uri="{FF2B5EF4-FFF2-40B4-BE49-F238E27FC236}">
              <a16:creationId xmlns:a16="http://schemas.microsoft.com/office/drawing/2014/main" id="{DFF5957A-8748-41D1-8CC2-9913E52E4B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0" name="Picture 31">
          <a:extLst>
            <a:ext uri="{FF2B5EF4-FFF2-40B4-BE49-F238E27FC236}">
              <a16:creationId xmlns:a16="http://schemas.microsoft.com/office/drawing/2014/main" id="{4788E163-B97D-412A-BDE8-D905D34B24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1" name="Picture 31">
          <a:extLst>
            <a:ext uri="{FF2B5EF4-FFF2-40B4-BE49-F238E27FC236}">
              <a16:creationId xmlns:a16="http://schemas.microsoft.com/office/drawing/2014/main" id="{4E4D93A5-E708-41FA-A3EA-E8095EBBDA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2" name="Picture 31">
          <a:extLst>
            <a:ext uri="{FF2B5EF4-FFF2-40B4-BE49-F238E27FC236}">
              <a16:creationId xmlns:a16="http://schemas.microsoft.com/office/drawing/2014/main" id="{AFAF16AC-427E-4314-A889-BE55DEF2FF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3" name="Picture 31">
          <a:extLst>
            <a:ext uri="{FF2B5EF4-FFF2-40B4-BE49-F238E27FC236}">
              <a16:creationId xmlns:a16="http://schemas.microsoft.com/office/drawing/2014/main" id="{C295562E-AA78-4B5B-898C-4706893665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4" name="Picture 31">
          <a:extLst>
            <a:ext uri="{FF2B5EF4-FFF2-40B4-BE49-F238E27FC236}">
              <a16:creationId xmlns:a16="http://schemas.microsoft.com/office/drawing/2014/main" id="{2EAD3FAD-CB7B-41DB-9BEA-0CCD16E093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5" name="Picture 31">
          <a:extLst>
            <a:ext uri="{FF2B5EF4-FFF2-40B4-BE49-F238E27FC236}">
              <a16:creationId xmlns:a16="http://schemas.microsoft.com/office/drawing/2014/main" id="{0E18C9D1-1F4F-4DB1-BDD6-6F156EAC2C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6" name="Picture 31">
          <a:extLst>
            <a:ext uri="{FF2B5EF4-FFF2-40B4-BE49-F238E27FC236}">
              <a16:creationId xmlns:a16="http://schemas.microsoft.com/office/drawing/2014/main" id="{FB11CC8E-11B5-4F96-AAC6-5E6660935B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7" name="Picture 31">
          <a:extLst>
            <a:ext uri="{FF2B5EF4-FFF2-40B4-BE49-F238E27FC236}">
              <a16:creationId xmlns:a16="http://schemas.microsoft.com/office/drawing/2014/main" id="{1177F3EB-2244-4492-A289-9A1741F1EE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8" name="Picture 31">
          <a:extLst>
            <a:ext uri="{FF2B5EF4-FFF2-40B4-BE49-F238E27FC236}">
              <a16:creationId xmlns:a16="http://schemas.microsoft.com/office/drawing/2014/main" id="{43979BF2-2470-4F81-B996-35431F3F01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19" name="Picture 31">
          <a:extLst>
            <a:ext uri="{FF2B5EF4-FFF2-40B4-BE49-F238E27FC236}">
              <a16:creationId xmlns:a16="http://schemas.microsoft.com/office/drawing/2014/main" id="{BED97426-1DF5-427B-8DBC-45759F82A4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0" name="Picture 31">
          <a:extLst>
            <a:ext uri="{FF2B5EF4-FFF2-40B4-BE49-F238E27FC236}">
              <a16:creationId xmlns:a16="http://schemas.microsoft.com/office/drawing/2014/main" id="{6A0C7C9E-C9F5-4EDC-9C29-794B9E684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1" name="Picture 31">
          <a:extLst>
            <a:ext uri="{FF2B5EF4-FFF2-40B4-BE49-F238E27FC236}">
              <a16:creationId xmlns:a16="http://schemas.microsoft.com/office/drawing/2014/main" id="{73598B49-BFA8-4A5F-9DEA-F291B6D94F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2" name="Picture 31">
          <a:extLst>
            <a:ext uri="{FF2B5EF4-FFF2-40B4-BE49-F238E27FC236}">
              <a16:creationId xmlns:a16="http://schemas.microsoft.com/office/drawing/2014/main" id="{A445E39E-D148-4383-AA99-CCD7247373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3" name="Picture 31">
          <a:extLst>
            <a:ext uri="{FF2B5EF4-FFF2-40B4-BE49-F238E27FC236}">
              <a16:creationId xmlns:a16="http://schemas.microsoft.com/office/drawing/2014/main" id="{EF062ADB-7E85-462D-9590-188B296C2F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4" name="Picture 31">
          <a:extLst>
            <a:ext uri="{FF2B5EF4-FFF2-40B4-BE49-F238E27FC236}">
              <a16:creationId xmlns:a16="http://schemas.microsoft.com/office/drawing/2014/main" id="{5FBF5B4D-52C5-46DB-B348-7DB95EF667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5" name="Picture 31">
          <a:extLst>
            <a:ext uri="{FF2B5EF4-FFF2-40B4-BE49-F238E27FC236}">
              <a16:creationId xmlns:a16="http://schemas.microsoft.com/office/drawing/2014/main" id="{EE45F56D-8937-4146-9C64-247DE088F7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6" name="Picture 31">
          <a:extLst>
            <a:ext uri="{FF2B5EF4-FFF2-40B4-BE49-F238E27FC236}">
              <a16:creationId xmlns:a16="http://schemas.microsoft.com/office/drawing/2014/main" id="{46F958A8-7842-439B-A41A-8F6BD46698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7" name="Picture 31">
          <a:extLst>
            <a:ext uri="{FF2B5EF4-FFF2-40B4-BE49-F238E27FC236}">
              <a16:creationId xmlns:a16="http://schemas.microsoft.com/office/drawing/2014/main" id="{07A0A7BC-FC7F-49AC-BE2C-A675EA764E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8" name="Picture 31">
          <a:extLst>
            <a:ext uri="{FF2B5EF4-FFF2-40B4-BE49-F238E27FC236}">
              <a16:creationId xmlns:a16="http://schemas.microsoft.com/office/drawing/2014/main" id="{17289640-2D49-4272-9502-12336C999F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29" name="Picture 31">
          <a:extLst>
            <a:ext uri="{FF2B5EF4-FFF2-40B4-BE49-F238E27FC236}">
              <a16:creationId xmlns:a16="http://schemas.microsoft.com/office/drawing/2014/main" id="{24CD5EFD-B720-4BE4-A4AB-B3D36FF94C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0" name="Picture 31">
          <a:extLst>
            <a:ext uri="{FF2B5EF4-FFF2-40B4-BE49-F238E27FC236}">
              <a16:creationId xmlns:a16="http://schemas.microsoft.com/office/drawing/2014/main" id="{0A013729-A0ED-4C24-AE5E-884254D0AA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1" name="Picture 31">
          <a:extLst>
            <a:ext uri="{FF2B5EF4-FFF2-40B4-BE49-F238E27FC236}">
              <a16:creationId xmlns:a16="http://schemas.microsoft.com/office/drawing/2014/main" id="{0D1419CE-2E21-4B98-8FBA-12FE26E528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2" name="Picture 31">
          <a:extLst>
            <a:ext uri="{FF2B5EF4-FFF2-40B4-BE49-F238E27FC236}">
              <a16:creationId xmlns:a16="http://schemas.microsoft.com/office/drawing/2014/main" id="{D4DB7ADF-8338-4D29-BE52-4E3E455A47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3" name="Picture 31">
          <a:extLst>
            <a:ext uri="{FF2B5EF4-FFF2-40B4-BE49-F238E27FC236}">
              <a16:creationId xmlns:a16="http://schemas.microsoft.com/office/drawing/2014/main" id="{2E6032D8-6273-424C-844B-921A2C4F08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4" name="Picture 31">
          <a:extLst>
            <a:ext uri="{FF2B5EF4-FFF2-40B4-BE49-F238E27FC236}">
              <a16:creationId xmlns:a16="http://schemas.microsoft.com/office/drawing/2014/main" id="{7FAE3579-EDF6-4212-8234-06F6E95736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5" name="Picture 31">
          <a:extLst>
            <a:ext uri="{FF2B5EF4-FFF2-40B4-BE49-F238E27FC236}">
              <a16:creationId xmlns:a16="http://schemas.microsoft.com/office/drawing/2014/main" id="{49D055E2-B148-4D11-A488-007AA03FFC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6" name="Picture 31">
          <a:extLst>
            <a:ext uri="{FF2B5EF4-FFF2-40B4-BE49-F238E27FC236}">
              <a16:creationId xmlns:a16="http://schemas.microsoft.com/office/drawing/2014/main" id="{A26BB4BB-55AB-4596-B507-30A0031567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7" name="Picture 31">
          <a:extLst>
            <a:ext uri="{FF2B5EF4-FFF2-40B4-BE49-F238E27FC236}">
              <a16:creationId xmlns:a16="http://schemas.microsoft.com/office/drawing/2014/main" id="{625DBC30-D0B0-40E5-88A3-3DBA055557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8" name="Picture 31">
          <a:extLst>
            <a:ext uri="{FF2B5EF4-FFF2-40B4-BE49-F238E27FC236}">
              <a16:creationId xmlns:a16="http://schemas.microsoft.com/office/drawing/2014/main" id="{058F24E0-BC79-487F-B0FF-CF0CA3D23A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39" name="Picture 31">
          <a:extLst>
            <a:ext uri="{FF2B5EF4-FFF2-40B4-BE49-F238E27FC236}">
              <a16:creationId xmlns:a16="http://schemas.microsoft.com/office/drawing/2014/main" id="{7B6BF7A7-6F68-4F50-9C45-775DBFA7AA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0" name="Picture 31">
          <a:extLst>
            <a:ext uri="{FF2B5EF4-FFF2-40B4-BE49-F238E27FC236}">
              <a16:creationId xmlns:a16="http://schemas.microsoft.com/office/drawing/2014/main" id="{735A4366-A077-4646-9D25-EB8FEEC9E0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1" name="Picture 31">
          <a:extLst>
            <a:ext uri="{FF2B5EF4-FFF2-40B4-BE49-F238E27FC236}">
              <a16:creationId xmlns:a16="http://schemas.microsoft.com/office/drawing/2014/main" id="{ABFAAA85-B76C-42A3-9075-1E2643CA09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2" name="Picture 31">
          <a:extLst>
            <a:ext uri="{FF2B5EF4-FFF2-40B4-BE49-F238E27FC236}">
              <a16:creationId xmlns:a16="http://schemas.microsoft.com/office/drawing/2014/main" id="{F04B87B8-34E3-4E7E-BAEC-BE0126FA94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3" name="Picture 31">
          <a:extLst>
            <a:ext uri="{FF2B5EF4-FFF2-40B4-BE49-F238E27FC236}">
              <a16:creationId xmlns:a16="http://schemas.microsoft.com/office/drawing/2014/main" id="{EF513C58-7D5D-4D24-8E84-6BA120099A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4" name="Picture 31">
          <a:extLst>
            <a:ext uri="{FF2B5EF4-FFF2-40B4-BE49-F238E27FC236}">
              <a16:creationId xmlns:a16="http://schemas.microsoft.com/office/drawing/2014/main" id="{7A5A8AC5-E9DA-4BD6-961E-F94DEBCAAA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5" name="Picture 31">
          <a:extLst>
            <a:ext uri="{FF2B5EF4-FFF2-40B4-BE49-F238E27FC236}">
              <a16:creationId xmlns:a16="http://schemas.microsoft.com/office/drawing/2014/main" id="{6F5D01CD-D0C3-4841-AC6E-F23BB19FD0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6" name="Picture 31">
          <a:extLst>
            <a:ext uri="{FF2B5EF4-FFF2-40B4-BE49-F238E27FC236}">
              <a16:creationId xmlns:a16="http://schemas.microsoft.com/office/drawing/2014/main" id="{E2159FC7-F6D2-40D3-8D62-A705FA4A2D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7" name="Picture 31">
          <a:extLst>
            <a:ext uri="{FF2B5EF4-FFF2-40B4-BE49-F238E27FC236}">
              <a16:creationId xmlns:a16="http://schemas.microsoft.com/office/drawing/2014/main" id="{7B572081-F139-424D-8ED8-0D71158793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8" name="Picture 31">
          <a:extLst>
            <a:ext uri="{FF2B5EF4-FFF2-40B4-BE49-F238E27FC236}">
              <a16:creationId xmlns:a16="http://schemas.microsoft.com/office/drawing/2014/main" id="{E34E3F9C-B512-4F11-96E2-61860B1C8C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49" name="Picture 31">
          <a:extLst>
            <a:ext uri="{FF2B5EF4-FFF2-40B4-BE49-F238E27FC236}">
              <a16:creationId xmlns:a16="http://schemas.microsoft.com/office/drawing/2014/main" id="{0D6555E4-9B01-4474-BE31-C002B8747C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0" name="Picture 31">
          <a:extLst>
            <a:ext uri="{FF2B5EF4-FFF2-40B4-BE49-F238E27FC236}">
              <a16:creationId xmlns:a16="http://schemas.microsoft.com/office/drawing/2014/main" id="{8D6A7C68-1F47-49BD-82CC-03BDB03475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1" name="Picture 31">
          <a:extLst>
            <a:ext uri="{FF2B5EF4-FFF2-40B4-BE49-F238E27FC236}">
              <a16:creationId xmlns:a16="http://schemas.microsoft.com/office/drawing/2014/main" id="{A2CD8FEF-B42F-40E6-8548-F146C02A37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2" name="Picture 31">
          <a:extLst>
            <a:ext uri="{FF2B5EF4-FFF2-40B4-BE49-F238E27FC236}">
              <a16:creationId xmlns:a16="http://schemas.microsoft.com/office/drawing/2014/main" id="{BEA34DF2-58F4-479D-8F42-BC78392F03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3" name="Picture 31">
          <a:extLst>
            <a:ext uri="{FF2B5EF4-FFF2-40B4-BE49-F238E27FC236}">
              <a16:creationId xmlns:a16="http://schemas.microsoft.com/office/drawing/2014/main" id="{BA4D9397-7D2D-4E6F-A456-9A181F816D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4" name="Picture 31">
          <a:extLst>
            <a:ext uri="{FF2B5EF4-FFF2-40B4-BE49-F238E27FC236}">
              <a16:creationId xmlns:a16="http://schemas.microsoft.com/office/drawing/2014/main" id="{D03F5F49-56B7-4C6D-834A-340F6D06EC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5" name="Picture 31">
          <a:extLst>
            <a:ext uri="{FF2B5EF4-FFF2-40B4-BE49-F238E27FC236}">
              <a16:creationId xmlns:a16="http://schemas.microsoft.com/office/drawing/2014/main" id="{C38B877C-0AEF-4F22-8F11-B2A14187CC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6" name="Picture 31">
          <a:extLst>
            <a:ext uri="{FF2B5EF4-FFF2-40B4-BE49-F238E27FC236}">
              <a16:creationId xmlns:a16="http://schemas.microsoft.com/office/drawing/2014/main" id="{CDE987AA-321D-4481-BADC-36644676CD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7" name="Picture 31">
          <a:extLst>
            <a:ext uri="{FF2B5EF4-FFF2-40B4-BE49-F238E27FC236}">
              <a16:creationId xmlns:a16="http://schemas.microsoft.com/office/drawing/2014/main" id="{08306579-918E-411F-8DC6-12BAA7F801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8" name="Picture 31">
          <a:extLst>
            <a:ext uri="{FF2B5EF4-FFF2-40B4-BE49-F238E27FC236}">
              <a16:creationId xmlns:a16="http://schemas.microsoft.com/office/drawing/2014/main" id="{F860F75D-DCA4-49F5-8CEE-861C8EACE8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59" name="Picture 31">
          <a:extLst>
            <a:ext uri="{FF2B5EF4-FFF2-40B4-BE49-F238E27FC236}">
              <a16:creationId xmlns:a16="http://schemas.microsoft.com/office/drawing/2014/main" id="{8E09FDC3-0B1E-424B-A7B4-87F3192D96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0" name="Picture 31">
          <a:extLst>
            <a:ext uri="{FF2B5EF4-FFF2-40B4-BE49-F238E27FC236}">
              <a16:creationId xmlns:a16="http://schemas.microsoft.com/office/drawing/2014/main" id="{4E2AC173-B4D0-4DF3-90DB-815888341F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1" name="Picture 31">
          <a:extLst>
            <a:ext uri="{FF2B5EF4-FFF2-40B4-BE49-F238E27FC236}">
              <a16:creationId xmlns:a16="http://schemas.microsoft.com/office/drawing/2014/main" id="{4ABB809B-C5E3-4778-8EDB-675B220D95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2" name="Picture 31">
          <a:extLst>
            <a:ext uri="{FF2B5EF4-FFF2-40B4-BE49-F238E27FC236}">
              <a16:creationId xmlns:a16="http://schemas.microsoft.com/office/drawing/2014/main" id="{AE181AAA-3615-42BD-8F5E-BB20BE3DD7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3" name="Picture 31">
          <a:extLst>
            <a:ext uri="{FF2B5EF4-FFF2-40B4-BE49-F238E27FC236}">
              <a16:creationId xmlns:a16="http://schemas.microsoft.com/office/drawing/2014/main" id="{CEF42C51-96DE-4006-B6A2-2A25777516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4" name="Picture 31">
          <a:extLst>
            <a:ext uri="{FF2B5EF4-FFF2-40B4-BE49-F238E27FC236}">
              <a16:creationId xmlns:a16="http://schemas.microsoft.com/office/drawing/2014/main" id="{1EA36E88-6EAB-4A59-B728-B10948A236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5" name="Picture 31">
          <a:extLst>
            <a:ext uri="{FF2B5EF4-FFF2-40B4-BE49-F238E27FC236}">
              <a16:creationId xmlns:a16="http://schemas.microsoft.com/office/drawing/2014/main" id="{B99FF023-A2FC-44C3-9B8E-CA733A6CF00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6" name="Picture 31">
          <a:extLst>
            <a:ext uri="{FF2B5EF4-FFF2-40B4-BE49-F238E27FC236}">
              <a16:creationId xmlns:a16="http://schemas.microsoft.com/office/drawing/2014/main" id="{FF267338-11FD-4FDC-8369-9B9ADCC023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7" name="Picture 31">
          <a:extLst>
            <a:ext uri="{FF2B5EF4-FFF2-40B4-BE49-F238E27FC236}">
              <a16:creationId xmlns:a16="http://schemas.microsoft.com/office/drawing/2014/main" id="{6989872B-F3B5-4DAF-9D3F-0E9FCDA59C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8" name="Picture 31">
          <a:extLst>
            <a:ext uri="{FF2B5EF4-FFF2-40B4-BE49-F238E27FC236}">
              <a16:creationId xmlns:a16="http://schemas.microsoft.com/office/drawing/2014/main" id="{E8520CC1-C277-4FCA-81F3-6874CBEAAC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69" name="Picture 31">
          <a:extLst>
            <a:ext uri="{FF2B5EF4-FFF2-40B4-BE49-F238E27FC236}">
              <a16:creationId xmlns:a16="http://schemas.microsoft.com/office/drawing/2014/main" id="{51E8CF44-53CC-4ABE-890E-BED3F50D5E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0" name="Picture 31">
          <a:extLst>
            <a:ext uri="{FF2B5EF4-FFF2-40B4-BE49-F238E27FC236}">
              <a16:creationId xmlns:a16="http://schemas.microsoft.com/office/drawing/2014/main" id="{5A718594-EA84-40CA-AB27-6186A5265E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1" name="Picture 31">
          <a:extLst>
            <a:ext uri="{FF2B5EF4-FFF2-40B4-BE49-F238E27FC236}">
              <a16:creationId xmlns:a16="http://schemas.microsoft.com/office/drawing/2014/main" id="{30CF4D6F-7444-4929-9B27-0F5CB0D770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2" name="Picture 31">
          <a:extLst>
            <a:ext uri="{FF2B5EF4-FFF2-40B4-BE49-F238E27FC236}">
              <a16:creationId xmlns:a16="http://schemas.microsoft.com/office/drawing/2014/main" id="{CE7766FE-077A-4F88-AFCF-C9458B5C2A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3" name="Picture 31">
          <a:extLst>
            <a:ext uri="{FF2B5EF4-FFF2-40B4-BE49-F238E27FC236}">
              <a16:creationId xmlns:a16="http://schemas.microsoft.com/office/drawing/2014/main" id="{F942C84B-3668-476B-9012-CFE68E82E0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4" name="Picture 31">
          <a:extLst>
            <a:ext uri="{FF2B5EF4-FFF2-40B4-BE49-F238E27FC236}">
              <a16:creationId xmlns:a16="http://schemas.microsoft.com/office/drawing/2014/main" id="{F1FE6DC7-C91F-46A9-99DA-B1CF983EF5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5" name="Picture 31">
          <a:extLst>
            <a:ext uri="{FF2B5EF4-FFF2-40B4-BE49-F238E27FC236}">
              <a16:creationId xmlns:a16="http://schemas.microsoft.com/office/drawing/2014/main" id="{511537B5-D3E0-40D5-BAAB-E2B618601C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6" name="Picture 31">
          <a:extLst>
            <a:ext uri="{FF2B5EF4-FFF2-40B4-BE49-F238E27FC236}">
              <a16:creationId xmlns:a16="http://schemas.microsoft.com/office/drawing/2014/main" id="{F19A9081-D063-4CC2-A609-F48F2FC337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7" name="Picture 31">
          <a:extLst>
            <a:ext uri="{FF2B5EF4-FFF2-40B4-BE49-F238E27FC236}">
              <a16:creationId xmlns:a16="http://schemas.microsoft.com/office/drawing/2014/main" id="{BDA63325-4A62-4779-AFFD-CD14932AF3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8" name="Picture 31">
          <a:extLst>
            <a:ext uri="{FF2B5EF4-FFF2-40B4-BE49-F238E27FC236}">
              <a16:creationId xmlns:a16="http://schemas.microsoft.com/office/drawing/2014/main" id="{DB486B9E-AE8F-40F1-872F-AF9DF3AFFC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79" name="Picture 31">
          <a:extLst>
            <a:ext uri="{FF2B5EF4-FFF2-40B4-BE49-F238E27FC236}">
              <a16:creationId xmlns:a16="http://schemas.microsoft.com/office/drawing/2014/main" id="{A96BE619-BA9D-4B65-A666-613045DFD8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0" name="Picture 31">
          <a:extLst>
            <a:ext uri="{FF2B5EF4-FFF2-40B4-BE49-F238E27FC236}">
              <a16:creationId xmlns:a16="http://schemas.microsoft.com/office/drawing/2014/main" id="{AF6F9C05-1552-4AE4-A700-0E0D98FD7E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1" name="Picture 31">
          <a:extLst>
            <a:ext uri="{FF2B5EF4-FFF2-40B4-BE49-F238E27FC236}">
              <a16:creationId xmlns:a16="http://schemas.microsoft.com/office/drawing/2014/main" id="{4FC61B18-1C30-4BFE-9645-0D333DBC61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2" name="Picture 31">
          <a:extLst>
            <a:ext uri="{FF2B5EF4-FFF2-40B4-BE49-F238E27FC236}">
              <a16:creationId xmlns:a16="http://schemas.microsoft.com/office/drawing/2014/main" id="{B0A36EE9-3D75-4430-B1CA-1757F44FCE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3" name="Picture 31">
          <a:extLst>
            <a:ext uri="{FF2B5EF4-FFF2-40B4-BE49-F238E27FC236}">
              <a16:creationId xmlns:a16="http://schemas.microsoft.com/office/drawing/2014/main" id="{A143A239-E143-4F3A-A6DC-0E27857D8C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4" name="Picture 31">
          <a:extLst>
            <a:ext uri="{FF2B5EF4-FFF2-40B4-BE49-F238E27FC236}">
              <a16:creationId xmlns:a16="http://schemas.microsoft.com/office/drawing/2014/main" id="{03FB4A88-2879-448B-A945-16D5419B25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5" name="Picture 31">
          <a:extLst>
            <a:ext uri="{FF2B5EF4-FFF2-40B4-BE49-F238E27FC236}">
              <a16:creationId xmlns:a16="http://schemas.microsoft.com/office/drawing/2014/main" id="{A2D76EA5-ECC1-484A-BD66-D472102D99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6" name="Picture 31">
          <a:extLst>
            <a:ext uri="{FF2B5EF4-FFF2-40B4-BE49-F238E27FC236}">
              <a16:creationId xmlns:a16="http://schemas.microsoft.com/office/drawing/2014/main" id="{652640F5-B922-4CF2-AB5B-517C3CF46C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7" name="Picture 31">
          <a:extLst>
            <a:ext uri="{FF2B5EF4-FFF2-40B4-BE49-F238E27FC236}">
              <a16:creationId xmlns:a16="http://schemas.microsoft.com/office/drawing/2014/main" id="{AD5FB6FB-080A-442C-94AE-68A23CE57F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8" name="Picture 31">
          <a:extLst>
            <a:ext uri="{FF2B5EF4-FFF2-40B4-BE49-F238E27FC236}">
              <a16:creationId xmlns:a16="http://schemas.microsoft.com/office/drawing/2014/main" id="{0C952621-A2CF-4839-93B0-452CA32EA0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89" name="Picture 31">
          <a:extLst>
            <a:ext uri="{FF2B5EF4-FFF2-40B4-BE49-F238E27FC236}">
              <a16:creationId xmlns:a16="http://schemas.microsoft.com/office/drawing/2014/main" id="{578DEE1C-5868-4171-A7D4-A734B27711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0" name="Picture 31">
          <a:extLst>
            <a:ext uri="{FF2B5EF4-FFF2-40B4-BE49-F238E27FC236}">
              <a16:creationId xmlns:a16="http://schemas.microsoft.com/office/drawing/2014/main" id="{446AB74F-E58F-45CB-87F2-75FD700491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1" name="Picture 31">
          <a:extLst>
            <a:ext uri="{FF2B5EF4-FFF2-40B4-BE49-F238E27FC236}">
              <a16:creationId xmlns:a16="http://schemas.microsoft.com/office/drawing/2014/main" id="{0BAF63B6-E608-4EA8-A042-4439481C80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2" name="Picture 31">
          <a:extLst>
            <a:ext uri="{FF2B5EF4-FFF2-40B4-BE49-F238E27FC236}">
              <a16:creationId xmlns:a16="http://schemas.microsoft.com/office/drawing/2014/main" id="{0F5735EB-7E37-4B7B-948A-75F459735C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3" name="Picture 31">
          <a:extLst>
            <a:ext uri="{FF2B5EF4-FFF2-40B4-BE49-F238E27FC236}">
              <a16:creationId xmlns:a16="http://schemas.microsoft.com/office/drawing/2014/main" id="{2277822E-CDDE-46A5-A0FF-65CDF7C13B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4" name="Picture 31">
          <a:extLst>
            <a:ext uri="{FF2B5EF4-FFF2-40B4-BE49-F238E27FC236}">
              <a16:creationId xmlns:a16="http://schemas.microsoft.com/office/drawing/2014/main" id="{67EB2224-7073-4B37-8772-4B130752A6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5" name="Picture 31">
          <a:extLst>
            <a:ext uri="{FF2B5EF4-FFF2-40B4-BE49-F238E27FC236}">
              <a16:creationId xmlns:a16="http://schemas.microsoft.com/office/drawing/2014/main" id="{1EA0A18E-6BDE-4D99-865E-9CC289287E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6" name="Picture 31">
          <a:extLst>
            <a:ext uri="{FF2B5EF4-FFF2-40B4-BE49-F238E27FC236}">
              <a16:creationId xmlns:a16="http://schemas.microsoft.com/office/drawing/2014/main" id="{844DF9B5-CB4B-4BE0-98F1-2256F05566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7" name="Picture 31">
          <a:extLst>
            <a:ext uri="{FF2B5EF4-FFF2-40B4-BE49-F238E27FC236}">
              <a16:creationId xmlns:a16="http://schemas.microsoft.com/office/drawing/2014/main" id="{FA28EBDE-2217-4387-B6A6-BA08AD1D3A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8" name="Picture 31">
          <a:extLst>
            <a:ext uri="{FF2B5EF4-FFF2-40B4-BE49-F238E27FC236}">
              <a16:creationId xmlns:a16="http://schemas.microsoft.com/office/drawing/2014/main" id="{55C63A43-9DF8-40EE-8456-D4B36A2303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199" name="Picture 31">
          <a:extLst>
            <a:ext uri="{FF2B5EF4-FFF2-40B4-BE49-F238E27FC236}">
              <a16:creationId xmlns:a16="http://schemas.microsoft.com/office/drawing/2014/main" id="{582720DA-4068-4E52-B739-0CD47E78C9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0" name="Picture 31">
          <a:extLst>
            <a:ext uri="{FF2B5EF4-FFF2-40B4-BE49-F238E27FC236}">
              <a16:creationId xmlns:a16="http://schemas.microsoft.com/office/drawing/2014/main" id="{9126C962-6833-4770-851F-63A0AC6C43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1" name="Picture 31">
          <a:extLst>
            <a:ext uri="{FF2B5EF4-FFF2-40B4-BE49-F238E27FC236}">
              <a16:creationId xmlns:a16="http://schemas.microsoft.com/office/drawing/2014/main" id="{14D98175-4FE9-40A3-A94C-D19BFBD6C5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2" name="Picture 31">
          <a:extLst>
            <a:ext uri="{FF2B5EF4-FFF2-40B4-BE49-F238E27FC236}">
              <a16:creationId xmlns:a16="http://schemas.microsoft.com/office/drawing/2014/main" id="{BDA5EE52-3D8C-41B7-8390-D0F31205AA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3" name="Picture 31">
          <a:extLst>
            <a:ext uri="{FF2B5EF4-FFF2-40B4-BE49-F238E27FC236}">
              <a16:creationId xmlns:a16="http://schemas.microsoft.com/office/drawing/2014/main" id="{BDB54EFE-5BBA-4CC1-B121-25511AF379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4" name="Picture 31">
          <a:extLst>
            <a:ext uri="{FF2B5EF4-FFF2-40B4-BE49-F238E27FC236}">
              <a16:creationId xmlns:a16="http://schemas.microsoft.com/office/drawing/2014/main" id="{4733BAEC-913F-4EF3-A763-7622018F73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5" name="Picture 31">
          <a:extLst>
            <a:ext uri="{FF2B5EF4-FFF2-40B4-BE49-F238E27FC236}">
              <a16:creationId xmlns:a16="http://schemas.microsoft.com/office/drawing/2014/main" id="{1DADCFFF-ED51-4478-8D1C-1DF4C7D499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6" name="Picture 31">
          <a:extLst>
            <a:ext uri="{FF2B5EF4-FFF2-40B4-BE49-F238E27FC236}">
              <a16:creationId xmlns:a16="http://schemas.microsoft.com/office/drawing/2014/main" id="{644E7E96-1208-46C1-9AC0-84860D685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7" name="Picture 31">
          <a:extLst>
            <a:ext uri="{FF2B5EF4-FFF2-40B4-BE49-F238E27FC236}">
              <a16:creationId xmlns:a16="http://schemas.microsoft.com/office/drawing/2014/main" id="{E4E42F63-16FD-4BC5-B624-67589B7E67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8" name="Picture 31">
          <a:extLst>
            <a:ext uri="{FF2B5EF4-FFF2-40B4-BE49-F238E27FC236}">
              <a16:creationId xmlns:a16="http://schemas.microsoft.com/office/drawing/2014/main" id="{68333B21-35AB-4CB9-B6B6-18DBE69D2B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09" name="Picture 31">
          <a:extLst>
            <a:ext uri="{FF2B5EF4-FFF2-40B4-BE49-F238E27FC236}">
              <a16:creationId xmlns:a16="http://schemas.microsoft.com/office/drawing/2014/main" id="{D4880579-80D7-4A94-ACB4-B469876FE2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0" name="Picture 31">
          <a:extLst>
            <a:ext uri="{FF2B5EF4-FFF2-40B4-BE49-F238E27FC236}">
              <a16:creationId xmlns:a16="http://schemas.microsoft.com/office/drawing/2014/main" id="{DCCC2A2A-F952-4F66-B7A0-2BD4B78F66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1" name="Picture 31">
          <a:extLst>
            <a:ext uri="{FF2B5EF4-FFF2-40B4-BE49-F238E27FC236}">
              <a16:creationId xmlns:a16="http://schemas.microsoft.com/office/drawing/2014/main" id="{71A4F09D-4B60-4B43-AC46-AA6E8E45F4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2" name="Picture 31">
          <a:extLst>
            <a:ext uri="{FF2B5EF4-FFF2-40B4-BE49-F238E27FC236}">
              <a16:creationId xmlns:a16="http://schemas.microsoft.com/office/drawing/2014/main" id="{58334849-28F8-4B45-9D89-DF85E46F78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3" name="Picture 31">
          <a:extLst>
            <a:ext uri="{FF2B5EF4-FFF2-40B4-BE49-F238E27FC236}">
              <a16:creationId xmlns:a16="http://schemas.microsoft.com/office/drawing/2014/main" id="{699AD95D-6C0D-4583-9047-B2910F5B4E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4" name="Picture 31">
          <a:extLst>
            <a:ext uri="{FF2B5EF4-FFF2-40B4-BE49-F238E27FC236}">
              <a16:creationId xmlns:a16="http://schemas.microsoft.com/office/drawing/2014/main" id="{75DB165B-CB0E-4F39-BCA5-5C6987F33B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5" name="Picture 31">
          <a:extLst>
            <a:ext uri="{FF2B5EF4-FFF2-40B4-BE49-F238E27FC236}">
              <a16:creationId xmlns:a16="http://schemas.microsoft.com/office/drawing/2014/main" id="{EE7C7D99-9F39-488F-A4A1-56592B4CE4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6" name="Picture 31">
          <a:extLst>
            <a:ext uri="{FF2B5EF4-FFF2-40B4-BE49-F238E27FC236}">
              <a16:creationId xmlns:a16="http://schemas.microsoft.com/office/drawing/2014/main" id="{61B3F88A-FC97-4696-9312-0E16F09944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7" name="Picture 31">
          <a:extLst>
            <a:ext uri="{FF2B5EF4-FFF2-40B4-BE49-F238E27FC236}">
              <a16:creationId xmlns:a16="http://schemas.microsoft.com/office/drawing/2014/main" id="{3D8B7B36-2C03-4D79-A1DF-41A6D001D9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8" name="Picture 31">
          <a:extLst>
            <a:ext uri="{FF2B5EF4-FFF2-40B4-BE49-F238E27FC236}">
              <a16:creationId xmlns:a16="http://schemas.microsoft.com/office/drawing/2014/main" id="{B0520616-0FB7-4197-8F84-7A933BEF8C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19" name="Picture 31">
          <a:extLst>
            <a:ext uri="{FF2B5EF4-FFF2-40B4-BE49-F238E27FC236}">
              <a16:creationId xmlns:a16="http://schemas.microsoft.com/office/drawing/2014/main" id="{7726BCA1-940D-480D-B78C-5AAF55B6E3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0" name="Picture 31">
          <a:extLst>
            <a:ext uri="{FF2B5EF4-FFF2-40B4-BE49-F238E27FC236}">
              <a16:creationId xmlns:a16="http://schemas.microsoft.com/office/drawing/2014/main" id="{16223227-0331-4D97-BEB5-C6C3120502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1" name="Picture 31">
          <a:extLst>
            <a:ext uri="{FF2B5EF4-FFF2-40B4-BE49-F238E27FC236}">
              <a16:creationId xmlns:a16="http://schemas.microsoft.com/office/drawing/2014/main" id="{6CDB9F27-9547-494F-87E0-507346F168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2" name="Picture 31">
          <a:extLst>
            <a:ext uri="{FF2B5EF4-FFF2-40B4-BE49-F238E27FC236}">
              <a16:creationId xmlns:a16="http://schemas.microsoft.com/office/drawing/2014/main" id="{598B62AB-58A4-487B-9160-EF7B4C9C82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3" name="Picture 31">
          <a:extLst>
            <a:ext uri="{FF2B5EF4-FFF2-40B4-BE49-F238E27FC236}">
              <a16:creationId xmlns:a16="http://schemas.microsoft.com/office/drawing/2014/main" id="{D1CE14A1-8F68-4990-9E1A-BA0797384E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4" name="Picture 31">
          <a:extLst>
            <a:ext uri="{FF2B5EF4-FFF2-40B4-BE49-F238E27FC236}">
              <a16:creationId xmlns:a16="http://schemas.microsoft.com/office/drawing/2014/main" id="{BC7AA6B8-1659-4B65-9A11-E39C2E2AB5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5" name="Picture 31">
          <a:extLst>
            <a:ext uri="{FF2B5EF4-FFF2-40B4-BE49-F238E27FC236}">
              <a16:creationId xmlns:a16="http://schemas.microsoft.com/office/drawing/2014/main" id="{615FF14E-4AC9-4F70-A519-107C86B037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6" name="Picture 31">
          <a:extLst>
            <a:ext uri="{FF2B5EF4-FFF2-40B4-BE49-F238E27FC236}">
              <a16:creationId xmlns:a16="http://schemas.microsoft.com/office/drawing/2014/main" id="{66839801-8D4F-4D98-9CD2-3FE9A72F34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7" name="Picture 31">
          <a:extLst>
            <a:ext uri="{FF2B5EF4-FFF2-40B4-BE49-F238E27FC236}">
              <a16:creationId xmlns:a16="http://schemas.microsoft.com/office/drawing/2014/main" id="{84BEE5A4-1E8A-4E3F-B548-1D0555ED10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8" name="Picture 31">
          <a:extLst>
            <a:ext uri="{FF2B5EF4-FFF2-40B4-BE49-F238E27FC236}">
              <a16:creationId xmlns:a16="http://schemas.microsoft.com/office/drawing/2014/main" id="{DBF50CFA-FB51-40BB-AA1D-3F0F715168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29" name="Picture 31">
          <a:extLst>
            <a:ext uri="{FF2B5EF4-FFF2-40B4-BE49-F238E27FC236}">
              <a16:creationId xmlns:a16="http://schemas.microsoft.com/office/drawing/2014/main" id="{0A3F3B3B-F485-4E72-8025-F27A5CF738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0" name="Picture 31">
          <a:extLst>
            <a:ext uri="{FF2B5EF4-FFF2-40B4-BE49-F238E27FC236}">
              <a16:creationId xmlns:a16="http://schemas.microsoft.com/office/drawing/2014/main" id="{DC20958F-5AAB-4313-91BB-0809575462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1" name="Picture 31">
          <a:extLst>
            <a:ext uri="{FF2B5EF4-FFF2-40B4-BE49-F238E27FC236}">
              <a16:creationId xmlns:a16="http://schemas.microsoft.com/office/drawing/2014/main" id="{ED95CEE3-5D6B-471A-9078-54F763608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2" name="Picture 31">
          <a:extLst>
            <a:ext uri="{FF2B5EF4-FFF2-40B4-BE49-F238E27FC236}">
              <a16:creationId xmlns:a16="http://schemas.microsoft.com/office/drawing/2014/main" id="{84BF2E0F-FD83-4DC5-A036-87E27FDD68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3" name="Picture 31">
          <a:extLst>
            <a:ext uri="{FF2B5EF4-FFF2-40B4-BE49-F238E27FC236}">
              <a16:creationId xmlns:a16="http://schemas.microsoft.com/office/drawing/2014/main" id="{2E368837-D7A3-493E-A588-A29FA74588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4" name="Picture 31">
          <a:extLst>
            <a:ext uri="{FF2B5EF4-FFF2-40B4-BE49-F238E27FC236}">
              <a16:creationId xmlns:a16="http://schemas.microsoft.com/office/drawing/2014/main" id="{62F8EC90-6C4A-4351-BD48-B85DACAB55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5" name="Picture 31">
          <a:extLst>
            <a:ext uri="{FF2B5EF4-FFF2-40B4-BE49-F238E27FC236}">
              <a16:creationId xmlns:a16="http://schemas.microsoft.com/office/drawing/2014/main" id="{81991307-3C62-4C14-812F-2391FB77FE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6" name="Picture 31">
          <a:extLst>
            <a:ext uri="{FF2B5EF4-FFF2-40B4-BE49-F238E27FC236}">
              <a16:creationId xmlns:a16="http://schemas.microsoft.com/office/drawing/2014/main" id="{5F3CBDC6-0C7B-4777-A78B-1C31E57940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7" name="Picture 31">
          <a:extLst>
            <a:ext uri="{FF2B5EF4-FFF2-40B4-BE49-F238E27FC236}">
              <a16:creationId xmlns:a16="http://schemas.microsoft.com/office/drawing/2014/main" id="{DFABE827-0F1C-484B-BEE5-C8C053111A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8" name="Picture 31">
          <a:extLst>
            <a:ext uri="{FF2B5EF4-FFF2-40B4-BE49-F238E27FC236}">
              <a16:creationId xmlns:a16="http://schemas.microsoft.com/office/drawing/2014/main" id="{5B033941-4784-4A95-A980-445739B3FC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39" name="Picture 31">
          <a:extLst>
            <a:ext uri="{FF2B5EF4-FFF2-40B4-BE49-F238E27FC236}">
              <a16:creationId xmlns:a16="http://schemas.microsoft.com/office/drawing/2014/main" id="{9285F896-EF71-4FD0-A16B-DA02302602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0" name="Picture 31">
          <a:extLst>
            <a:ext uri="{FF2B5EF4-FFF2-40B4-BE49-F238E27FC236}">
              <a16:creationId xmlns:a16="http://schemas.microsoft.com/office/drawing/2014/main" id="{F2C7213F-30EC-491E-86BD-C1D561CA20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1" name="Picture 31">
          <a:extLst>
            <a:ext uri="{FF2B5EF4-FFF2-40B4-BE49-F238E27FC236}">
              <a16:creationId xmlns:a16="http://schemas.microsoft.com/office/drawing/2014/main" id="{B4181CB5-5189-4C90-A399-8376387075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2" name="Picture 31">
          <a:extLst>
            <a:ext uri="{FF2B5EF4-FFF2-40B4-BE49-F238E27FC236}">
              <a16:creationId xmlns:a16="http://schemas.microsoft.com/office/drawing/2014/main" id="{22138804-AE38-4017-B0BC-F43CBBDD19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3" name="Picture 31">
          <a:extLst>
            <a:ext uri="{FF2B5EF4-FFF2-40B4-BE49-F238E27FC236}">
              <a16:creationId xmlns:a16="http://schemas.microsoft.com/office/drawing/2014/main" id="{6036119E-4ACE-4838-85E7-70C8B6481F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4" name="Picture 31">
          <a:extLst>
            <a:ext uri="{FF2B5EF4-FFF2-40B4-BE49-F238E27FC236}">
              <a16:creationId xmlns:a16="http://schemas.microsoft.com/office/drawing/2014/main" id="{47DAE7ED-B8DC-4BF5-A4F0-894D703FFE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5" name="Picture 31">
          <a:extLst>
            <a:ext uri="{FF2B5EF4-FFF2-40B4-BE49-F238E27FC236}">
              <a16:creationId xmlns:a16="http://schemas.microsoft.com/office/drawing/2014/main" id="{547F31D5-27B4-4BCC-92B6-BFF6759C3A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6" name="Picture 31">
          <a:extLst>
            <a:ext uri="{FF2B5EF4-FFF2-40B4-BE49-F238E27FC236}">
              <a16:creationId xmlns:a16="http://schemas.microsoft.com/office/drawing/2014/main" id="{C1191B68-F366-4E0E-8687-32D8D251FB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7" name="Picture 31">
          <a:extLst>
            <a:ext uri="{FF2B5EF4-FFF2-40B4-BE49-F238E27FC236}">
              <a16:creationId xmlns:a16="http://schemas.microsoft.com/office/drawing/2014/main" id="{14532640-D37A-4FAB-A748-64183C3CE1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8" name="Picture 31">
          <a:extLst>
            <a:ext uri="{FF2B5EF4-FFF2-40B4-BE49-F238E27FC236}">
              <a16:creationId xmlns:a16="http://schemas.microsoft.com/office/drawing/2014/main" id="{71E45DB4-4901-4536-B86C-9707963DB7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49" name="Picture 31">
          <a:extLst>
            <a:ext uri="{FF2B5EF4-FFF2-40B4-BE49-F238E27FC236}">
              <a16:creationId xmlns:a16="http://schemas.microsoft.com/office/drawing/2014/main" id="{24EE0AA5-DACB-4E1D-BF85-9E752AB16B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0" name="Picture 31">
          <a:extLst>
            <a:ext uri="{FF2B5EF4-FFF2-40B4-BE49-F238E27FC236}">
              <a16:creationId xmlns:a16="http://schemas.microsoft.com/office/drawing/2014/main" id="{5EFA5601-9E16-469E-BC4B-FF5406F2AE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1" name="Picture 31">
          <a:extLst>
            <a:ext uri="{FF2B5EF4-FFF2-40B4-BE49-F238E27FC236}">
              <a16:creationId xmlns:a16="http://schemas.microsoft.com/office/drawing/2014/main" id="{2B147D8C-D43A-4735-9691-835E216C9A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2" name="Picture 31">
          <a:extLst>
            <a:ext uri="{FF2B5EF4-FFF2-40B4-BE49-F238E27FC236}">
              <a16:creationId xmlns:a16="http://schemas.microsoft.com/office/drawing/2014/main" id="{DB226013-5B62-4045-B076-30E7852D23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3" name="Picture 31">
          <a:extLst>
            <a:ext uri="{FF2B5EF4-FFF2-40B4-BE49-F238E27FC236}">
              <a16:creationId xmlns:a16="http://schemas.microsoft.com/office/drawing/2014/main" id="{24810734-4460-4C85-8E05-6D7BB292DC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4" name="Picture 31">
          <a:extLst>
            <a:ext uri="{FF2B5EF4-FFF2-40B4-BE49-F238E27FC236}">
              <a16:creationId xmlns:a16="http://schemas.microsoft.com/office/drawing/2014/main" id="{C453C629-D51E-43D3-9F15-6C78F3EB72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5" name="Picture 31">
          <a:extLst>
            <a:ext uri="{FF2B5EF4-FFF2-40B4-BE49-F238E27FC236}">
              <a16:creationId xmlns:a16="http://schemas.microsoft.com/office/drawing/2014/main" id="{E553AB7D-54D4-4C30-8B6B-BD1B4D2055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6" name="Picture 31">
          <a:extLst>
            <a:ext uri="{FF2B5EF4-FFF2-40B4-BE49-F238E27FC236}">
              <a16:creationId xmlns:a16="http://schemas.microsoft.com/office/drawing/2014/main" id="{3C27A39E-CCCE-403F-BAEA-71282043B3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7" name="Picture 31">
          <a:extLst>
            <a:ext uri="{FF2B5EF4-FFF2-40B4-BE49-F238E27FC236}">
              <a16:creationId xmlns:a16="http://schemas.microsoft.com/office/drawing/2014/main" id="{E443B846-E079-4142-8730-7E453FE93B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8" name="Picture 31">
          <a:extLst>
            <a:ext uri="{FF2B5EF4-FFF2-40B4-BE49-F238E27FC236}">
              <a16:creationId xmlns:a16="http://schemas.microsoft.com/office/drawing/2014/main" id="{DA385AE1-D48C-4B37-822A-C4797FAE60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59" name="Picture 31">
          <a:extLst>
            <a:ext uri="{FF2B5EF4-FFF2-40B4-BE49-F238E27FC236}">
              <a16:creationId xmlns:a16="http://schemas.microsoft.com/office/drawing/2014/main" id="{BBBA34C6-EBB7-48DE-93A0-870E9EAD24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0" name="Picture 31">
          <a:extLst>
            <a:ext uri="{FF2B5EF4-FFF2-40B4-BE49-F238E27FC236}">
              <a16:creationId xmlns:a16="http://schemas.microsoft.com/office/drawing/2014/main" id="{1DB84D14-5465-4D21-A96F-389C6ADFB1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1" name="Picture 31">
          <a:extLst>
            <a:ext uri="{FF2B5EF4-FFF2-40B4-BE49-F238E27FC236}">
              <a16:creationId xmlns:a16="http://schemas.microsoft.com/office/drawing/2014/main" id="{309CEE5F-4EAF-4942-893B-847CC2CC33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2" name="Picture 31">
          <a:extLst>
            <a:ext uri="{FF2B5EF4-FFF2-40B4-BE49-F238E27FC236}">
              <a16:creationId xmlns:a16="http://schemas.microsoft.com/office/drawing/2014/main" id="{152D5459-DF3A-47CA-AD54-1CB07CB483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3" name="Picture 31">
          <a:extLst>
            <a:ext uri="{FF2B5EF4-FFF2-40B4-BE49-F238E27FC236}">
              <a16:creationId xmlns:a16="http://schemas.microsoft.com/office/drawing/2014/main" id="{31C36734-A1F6-49F0-9738-7D9CA4F6D0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4" name="Picture 31">
          <a:extLst>
            <a:ext uri="{FF2B5EF4-FFF2-40B4-BE49-F238E27FC236}">
              <a16:creationId xmlns:a16="http://schemas.microsoft.com/office/drawing/2014/main" id="{B9DB6BB4-7DC1-4711-AF42-D256CF62FB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5" name="Picture 31">
          <a:extLst>
            <a:ext uri="{FF2B5EF4-FFF2-40B4-BE49-F238E27FC236}">
              <a16:creationId xmlns:a16="http://schemas.microsoft.com/office/drawing/2014/main" id="{4230F09C-BAB7-4DC4-829F-10ED8F8FC0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6" name="Picture 31">
          <a:extLst>
            <a:ext uri="{FF2B5EF4-FFF2-40B4-BE49-F238E27FC236}">
              <a16:creationId xmlns:a16="http://schemas.microsoft.com/office/drawing/2014/main" id="{07648FCB-3B09-4048-BE5F-83B7D25402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7" name="Picture 31">
          <a:extLst>
            <a:ext uri="{FF2B5EF4-FFF2-40B4-BE49-F238E27FC236}">
              <a16:creationId xmlns:a16="http://schemas.microsoft.com/office/drawing/2014/main" id="{59EFCA08-3738-44CA-9274-E5C0A140D8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8" name="Picture 31">
          <a:extLst>
            <a:ext uri="{FF2B5EF4-FFF2-40B4-BE49-F238E27FC236}">
              <a16:creationId xmlns:a16="http://schemas.microsoft.com/office/drawing/2014/main" id="{62B0790F-D83D-48D5-9392-AFAD3C11B7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69" name="Picture 31">
          <a:extLst>
            <a:ext uri="{FF2B5EF4-FFF2-40B4-BE49-F238E27FC236}">
              <a16:creationId xmlns:a16="http://schemas.microsoft.com/office/drawing/2014/main" id="{BB1F82E0-98A6-487E-B34C-E09ABECC63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0" name="Picture 31">
          <a:extLst>
            <a:ext uri="{FF2B5EF4-FFF2-40B4-BE49-F238E27FC236}">
              <a16:creationId xmlns:a16="http://schemas.microsoft.com/office/drawing/2014/main" id="{C6C0CDA7-7EC2-433B-9A32-E58DB19044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1" name="Picture 31">
          <a:extLst>
            <a:ext uri="{FF2B5EF4-FFF2-40B4-BE49-F238E27FC236}">
              <a16:creationId xmlns:a16="http://schemas.microsoft.com/office/drawing/2014/main" id="{67C62F3A-5470-4172-BD23-3644CFD50C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2" name="Picture 31">
          <a:extLst>
            <a:ext uri="{FF2B5EF4-FFF2-40B4-BE49-F238E27FC236}">
              <a16:creationId xmlns:a16="http://schemas.microsoft.com/office/drawing/2014/main" id="{38E395D5-57F6-4A3F-A67E-CDB0CF595A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3" name="Picture 31">
          <a:extLst>
            <a:ext uri="{FF2B5EF4-FFF2-40B4-BE49-F238E27FC236}">
              <a16:creationId xmlns:a16="http://schemas.microsoft.com/office/drawing/2014/main" id="{D30D10C1-3479-4386-9FB5-E4EC56243F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4" name="Picture 31">
          <a:extLst>
            <a:ext uri="{FF2B5EF4-FFF2-40B4-BE49-F238E27FC236}">
              <a16:creationId xmlns:a16="http://schemas.microsoft.com/office/drawing/2014/main" id="{8B64739B-8451-416C-97E7-9E59106787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5" name="Picture 31">
          <a:extLst>
            <a:ext uri="{FF2B5EF4-FFF2-40B4-BE49-F238E27FC236}">
              <a16:creationId xmlns:a16="http://schemas.microsoft.com/office/drawing/2014/main" id="{DBE882F8-6427-4E74-AB19-930D1D755A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6" name="Picture 31">
          <a:extLst>
            <a:ext uri="{FF2B5EF4-FFF2-40B4-BE49-F238E27FC236}">
              <a16:creationId xmlns:a16="http://schemas.microsoft.com/office/drawing/2014/main" id="{F7E53D91-DAD3-4A44-B002-504FC0951A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7" name="Picture 31">
          <a:extLst>
            <a:ext uri="{FF2B5EF4-FFF2-40B4-BE49-F238E27FC236}">
              <a16:creationId xmlns:a16="http://schemas.microsoft.com/office/drawing/2014/main" id="{8016F5DD-D6D4-4B57-9E6B-41596DB686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8" name="Picture 31">
          <a:extLst>
            <a:ext uri="{FF2B5EF4-FFF2-40B4-BE49-F238E27FC236}">
              <a16:creationId xmlns:a16="http://schemas.microsoft.com/office/drawing/2014/main" id="{D4DE6CAA-C861-4E71-AD5E-B17FB063A8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79" name="Picture 31">
          <a:extLst>
            <a:ext uri="{FF2B5EF4-FFF2-40B4-BE49-F238E27FC236}">
              <a16:creationId xmlns:a16="http://schemas.microsoft.com/office/drawing/2014/main" id="{E88BBBE6-2EAA-4419-B8DE-53B96C890B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0" name="Picture 31">
          <a:extLst>
            <a:ext uri="{FF2B5EF4-FFF2-40B4-BE49-F238E27FC236}">
              <a16:creationId xmlns:a16="http://schemas.microsoft.com/office/drawing/2014/main" id="{BC2A1F77-849E-499E-8A44-F2CFDB4B35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1" name="Picture 31">
          <a:extLst>
            <a:ext uri="{FF2B5EF4-FFF2-40B4-BE49-F238E27FC236}">
              <a16:creationId xmlns:a16="http://schemas.microsoft.com/office/drawing/2014/main" id="{80006D13-1673-455E-B4DB-16B0A20132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2" name="Picture 31">
          <a:extLst>
            <a:ext uri="{FF2B5EF4-FFF2-40B4-BE49-F238E27FC236}">
              <a16:creationId xmlns:a16="http://schemas.microsoft.com/office/drawing/2014/main" id="{ED7CD93F-BD5B-4214-8AAD-9013E4D601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3" name="Picture 31">
          <a:extLst>
            <a:ext uri="{FF2B5EF4-FFF2-40B4-BE49-F238E27FC236}">
              <a16:creationId xmlns:a16="http://schemas.microsoft.com/office/drawing/2014/main" id="{68F5A176-90E2-4BDA-B6ED-B95DF6DDDD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4" name="Picture 31">
          <a:extLst>
            <a:ext uri="{FF2B5EF4-FFF2-40B4-BE49-F238E27FC236}">
              <a16:creationId xmlns:a16="http://schemas.microsoft.com/office/drawing/2014/main" id="{E8DE0256-91A3-4D2F-8C2C-8CBFDE0D7D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5" name="Picture 31">
          <a:extLst>
            <a:ext uri="{FF2B5EF4-FFF2-40B4-BE49-F238E27FC236}">
              <a16:creationId xmlns:a16="http://schemas.microsoft.com/office/drawing/2014/main" id="{E0EF9312-9AA1-438E-9432-97D4E875AD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6" name="Picture 31">
          <a:extLst>
            <a:ext uri="{FF2B5EF4-FFF2-40B4-BE49-F238E27FC236}">
              <a16:creationId xmlns:a16="http://schemas.microsoft.com/office/drawing/2014/main" id="{61F36FE4-647E-40B1-9A3B-2F114377B6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7" name="Picture 31">
          <a:extLst>
            <a:ext uri="{FF2B5EF4-FFF2-40B4-BE49-F238E27FC236}">
              <a16:creationId xmlns:a16="http://schemas.microsoft.com/office/drawing/2014/main" id="{57896EB3-5C2A-4A0C-824E-2430A72E04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8" name="Picture 31">
          <a:extLst>
            <a:ext uri="{FF2B5EF4-FFF2-40B4-BE49-F238E27FC236}">
              <a16:creationId xmlns:a16="http://schemas.microsoft.com/office/drawing/2014/main" id="{1B5EBBC2-D206-4A78-A688-A8EB4D102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89" name="Picture 31">
          <a:extLst>
            <a:ext uri="{FF2B5EF4-FFF2-40B4-BE49-F238E27FC236}">
              <a16:creationId xmlns:a16="http://schemas.microsoft.com/office/drawing/2014/main" id="{63D7F67A-45EA-4E16-BF14-6A137C4166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0" name="Picture 31">
          <a:extLst>
            <a:ext uri="{FF2B5EF4-FFF2-40B4-BE49-F238E27FC236}">
              <a16:creationId xmlns:a16="http://schemas.microsoft.com/office/drawing/2014/main" id="{10C21E41-BFEC-4B4D-BDDB-DC15B0E71E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1" name="Picture 31">
          <a:extLst>
            <a:ext uri="{FF2B5EF4-FFF2-40B4-BE49-F238E27FC236}">
              <a16:creationId xmlns:a16="http://schemas.microsoft.com/office/drawing/2014/main" id="{1708CF17-2838-4ED3-A4FB-726A7FAB81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2" name="Picture 31">
          <a:extLst>
            <a:ext uri="{FF2B5EF4-FFF2-40B4-BE49-F238E27FC236}">
              <a16:creationId xmlns:a16="http://schemas.microsoft.com/office/drawing/2014/main" id="{05FCC7E2-549C-412C-8C88-7C2DF18315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3" name="Picture 31">
          <a:extLst>
            <a:ext uri="{FF2B5EF4-FFF2-40B4-BE49-F238E27FC236}">
              <a16:creationId xmlns:a16="http://schemas.microsoft.com/office/drawing/2014/main" id="{AC1060C2-FDA1-486F-A84C-4D3ED1556E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4" name="Picture 31">
          <a:extLst>
            <a:ext uri="{FF2B5EF4-FFF2-40B4-BE49-F238E27FC236}">
              <a16:creationId xmlns:a16="http://schemas.microsoft.com/office/drawing/2014/main" id="{48223407-8FD0-4711-BB79-920470E3F3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5" name="Picture 31">
          <a:extLst>
            <a:ext uri="{FF2B5EF4-FFF2-40B4-BE49-F238E27FC236}">
              <a16:creationId xmlns:a16="http://schemas.microsoft.com/office/drawing/2014/main" id="{2BF52C56-56EA-4734-B091-16D1A71DAC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6" name="Picture 31">
          <a:extLst>
            <a:ext uri="{FF2B5EF4-FFF2-40B4-BE49-F238E27FC236}">
              <a16:creationId xmlns:a16="http://schemas.microsoft.com/office/drawing/2014/main" id="{0B70C14B-FD86-494F-90A2-8A43FA008E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7" name="Picture 31">
          <a:extLst>
            <a:ext uri="{FF2B5EF4-FFF2-40B4-BE49-F238E27FC236}">
              <a16:creationId xmlns:a16="http://schemas.microsoft.com/office/drawing/2014/main" id="{D92F2FEB-D708-47D3-A71E-9D89E73D54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8" name="Picture 31">
          <a:extLst>
            <a:ext uri="{FF2B5EF4-FFF2-40B4-BE49-F238E27FC236}">
              <a16:creationId xmlns:a16="http://schemas.microsoft.com/office/drawing/2014/main" id="{A9E54216-377E-4637-89F0-5A4ACF7288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299" name="Picture 31">
          <a:extLst>
            <a:ext uri="{FF2B5EF4-FFF2-40B4-BE49-F238E27FC236}">
              <a16:creationId xmlns:a16="http://schemas.microsoft.com/office/drawing/2014/main" id="{8D0A7C7E-AE55-4C55-9A43-050412FF5C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0" name="Picture 31">
          <a:extLst>
            <a:ext uri="{FF2B5EF4-FFF2-40B4-BE49-F238E27FC236}">
              <a16:creationId xmlns:a16="http://schemas.microsoft.com/office/drawing/2014/main" id="{81C33A8C-18B5-401F-88AC-48B6B9F2DD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1" name="Picture 31">
          <a:extLst>
            <a:ext uri="{FF2B5EF4-FFF2-40B4-BE49-F238E27FC236}">
              <a16:creationId xmlns:a16="http://schemas.microsoft.com/office/drawing/2014/main" id="{A76D9A37-59AD-4E01-942D-7C9BFFFE17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2" name="Picture 31">
          <a:extLst>
            <a:ext uri="{FF2B5EF4-FFF2-40B4-BE49-F238E27FC236}">
              <a16:creationId xmlns:a16="http://schemas.microsoft.com/office/drawing/2014/main" id="{D05EF584-5339-4A3E-9CB1-F1F8A2F716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3" name="Picture 31">
          <a:extLst>
            <a:ext uri="{FF2B5EF4-FFF2-40B4-BE49-F238E27FC236}">
              <a16:creationId xmlns:a16="http://schemas.microsoft.com/office/drawing/2014/main" id="{92ED8511-5253-49CF-988E-F235392711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4" name="Picture 31">
          <a:extLst>
            <a:ext uri="{FF2B5EF4-FFF2-40B4-BE49-F238E27FC236}">
              <a16:creationId xmlns:a16="http://schemas.microsoft.com/office/drawing/2014/main" id="{40F54CB3-0500-4277-99A8-2660DC2B9F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5" name="Picture 31">
          <a:extLst>
            <a:ext uri="{FF2B5EF4-FFF2-40B4-BE49-F238E27FC236}">
              <a16:creationId xmlns:a16="http://schemas.microsoft.com/office/drawing/2014/main" id="{CC96F11E-440B-4490-962E-9755F17F5B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6" name="Picture 31">
          <a:extLst>
            <a:ext uri="{FF2B5EF4-FFF2-40B4-BE49-F238E27FC236}">
              <a16:creationId xmlns:a16="http://schemas.microsoft.com/office/drawing/2014/main" id="{D97E7EDC-3E48-4BAE-98C7-32894E7CC0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7" name="Picture 31">
          <a:extLst>
            <a:ext uri="{FF2B5EF4-FFF2-40B4-BE49-F238E27FC236}">
              <a16:creationId xmlns:a16="http://schemas.microsoft.com/office/drawing/2014/main" id="{0678FC7B-0FA3-48F4-9515-7F6D17F86F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8" name="Picture 31">
          <a:extLst>
            <a:ext uri="{FF2B5EF4-FFF2-40B4-BE49-F238E27FC236}">
              <a16:creationId xmlns:a16="http://schemas.microsoft.com/office/drawing/2014/main" id="{BADA3353-57D4-41EE-9255-6EEC5F8013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09" name="Picture 31">
          <a:extLst>
            <a:ext uri="{FF2B5EF4-FFF2-40B4-BE49-F238E27FC236}">
              <a16:creationId xmlns:a16="http://schemas.microsoft.com/office/drawing/2014/main" id="{0926943D-A440-4B5B-9AD2-4671602BA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0" name="Picture 31">
          <a:extLst>
            <a:ext uri="{FF2B5EF4-FFF2-40B4-BE49-F238E27FC236}">
              <a16:creationId xmlns:a16="http://schemas.microsoft.com/office/drawing/2014/main" id="{86938BF0-A48C-45D8-B0D2-BAE5CF26FD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1" name="Picture 31">
          <a:extLst>
            <a:ext uri="{FF2B5EF4-FFF2-40B4-BE49-F238E27FC236}">
              <a16:creationId xmlns:a16="http://schemas.microsoft.com/office/drawing/2014/main" id="{6B0331A0-E6FE-4F53-A0E3-8883C4DFEC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2" name="Picture 31">
          <a:extLst>
            <a:ext uri="{FF2B5EF4-FFF2-40B4-BE49-F238E27FC236}">
              <a16:creationId xmlns:a16="http://schemas.microsoft.com/office/drawing/2014/main" id="{AE6A4CFE-C9DE-46F3-A4B8-F3B5F2941E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3" name="Picture 31">
          <a:extLst>
            <a:ext uri="{FF2B5EF4-FFF2-40B4-BE49-F238E27FC236}">
              <a16:creationId xmlns:a16="http://schemas.microsoft.com/office/drawing/2014/main" id="{C8FD4B8F-FE4D-4108-A7CC-BCDC804E11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4" name="Picture 31">
          <a:extLst>
            <a:ext uri="{FF2B5EF4-FFF2-40B4-BE49-F238E27FC236}">
              <a16:creationId xmlns:a16="http://schemas.microsoft.com/office/drawing/2014/main" id="{ACDAEB49-7F12-4ADA-8D69-8FCD3A76EE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5" name="Picture 31">
          <a:extLst>
            <a:ext uri="{FF2B5EF4-FFF2-40B4-BE49-F238E27FC236}">
              <a16:creationId xmlns:a16="http://schemas.microsoft.com/office/drawing/2014/main" id="{8A4A6BA3-D7AC-4439-84CF-59A7FCA69B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6" name="Picture 31">
          <a:extLst>
            <a:ext uri="{FF2B5EF4-FFF2-40B4-BE49-F238E27FC236}">
              <a16:creationId xmlns:a16="http://schemas.microsoft.com/office/drawing/2014/main" id="{C45C2BA4-2785-4AFB-90D5-F848A81038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7" name="Picture 31">
          <a:extLst>
            <a:ext uri="{FF2B5EF4-FFF2-40B4-BE49-F238E27FC236}">
              <a16:creationId xmlns:a16="http://schemas.microsoft.com/office/drawing/2014/main" id="{18012EB8-55D5-4386-9DA5-B67F626F48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8" name="Picture 31">
          <a:extLst>
            <a:ext uri="{FF2B5EF4-FFF2-40B4-BE49-F238E27FC236}">
              <a16:creationId xmlns:a16="http://schemas.microsoft.com/office/drawing/2014/main" id="{51520B70-DB78-4727-BF99-89FCB9ED21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19" name="Picture 31">
          <a:extLst>
            <a:ext uri="{FF2B5EF4-FFF2-40B4-BE49-F238E27FC236}">
              <a16:creationId xmlns:a16="http://schemas.microsoft.com/office/drawing/2014/main" id="{2C28DCCE-20E6-41A4-8A99-94886CAE46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0" name="Picture 31">
          <a:extLst>
            <a:ext uri="{FF2B5EF4-FFF2-40B4-BE49-F238E27FC236}">
              <a16:creationId xmlns:a16="http://schemas.microsoft.com/office/drawing/2014/main" id="{481DF8D2-CB1F-4903-84DD-40D54654F1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1" name="Picture 31">
          <a:extLst>
            <a:ext uri="{FF2B5EF4-FFF2-40B4-BE49-F238E27FC236}">
              <a16:creationId xmlns:a16="http://schemas.microsoft.com/office/drawing/2014/main" id="{320EF0B7-18D2-4220-AAD0-558503F120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2" name="Picture 31">
          <a:extLst>
            <a:ext uri="{FF2B5EF4-FFF2-40B4-BE49-F238E27FC236}">
              <a16:creationId xmlns:a16="http://schemas.microsoft.com/office/drawing/2014/main" id="{5373DF9A-0A9B-466B-AEB9-99BC8168C6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3" name="Picture 31">
          <a:extLst>
            <a:ext uri="{FF2B5EF4-FFF2-40B4-BE49-F238E27FC236}">
              <a16:creationId xmlns:a16="http://schemas.microsoft.com/office/drawing/2014/main" id="{5205D3EC-58BD-4124-9739-34DD5DC095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4" name="Picture 31">
          <a:extLst>
            <a:ext uri="{FF2B5EF4-FFF2-40B4-BE49-F238E27FC236}">
              <a16:creationId xmlns:a16="http://schemas.microsoft.com/office/drawing/2014/main" id="{5C8D7D3F-7E7F-4FE0-B210-D188248C89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5" name="Picture 31">
          <a:extLst>
            <a:ext uri="{FF2B5EF4-FFF2-40B4-BE49-F238E27FC236}">
              <a16:creationId xmlns:a16="http://schemas.microsoft.com/office/drawing/2014/main" id="{6914D74D-F93D-48E4-83E0-A344F4807A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6" name="Picture 31">
          <a:extLst>
            <a:ext uri="{FF2B5EF4-FFF2-40B4-BE49-F238E27FC236}">
              <a16:creationId xmlns:a16="http://schemas.microsoft.com/office/drawing/2014/main" id="{752988D3-F51E-4A55-9904-596ADAC983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7" name="Picture 31">
          <a:extLst>
            <a:ext uri="{FF2B5EF4-FFF2-40B4-BE49-F238E27FC236}">
              <a16:creationId xmlns:a16="http://schemas.microsoft.com/office/drawing/2014/main" id="{97DA6C3F-A584-40C2-8ECE-FF9251D602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8" name="Picture 31">
          <a:extLst>
            <a:ext uri="{FF2B5EF4-FFF2-40B4-BE49-F238E27FC236}">
              <a16:creationId xmlns:a16="http://schemas.microsoft.com/office/drawing/2014/main" id="{E2E9D7F5-E1E2-4C79-9D86-869319ADA0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29" name="Picture 31">
          <a:extLst>
            <a:ext uri="{FF2B5EF4-FFF2-40B4-BE49-F238E27FC236}">
              <a16:creationId xmlns:a16="http://schemas.microsoft.com/office/drawing/2014/main" id="{922401F7-3B08-4EE0-AB2B-B7E3172B66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0" name="Picture 31">
          <a:extLst>
            <a:ext uri="{FF2B5EF4-FFF2-40B4-BE49-F238E27FC236}">
              <a16:creationId xmlns:a16="http://schemas.microsoft.com/office/drawing/2014/main" id="{645CFAEF-D0F0-43A8-B790-5F660120B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1" name="Picture 31">
          <a:extLst>
            <a:ext uri="{FF2B5EF4-FFF2-40B4-BE49-F238E27FC236}">
              <a16:creationId xmlns:a16="http://schemas.microsoft.com/office/drawing/2014/main" id="{753B0304-8418-484D-8B45-B7EB48D229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2" name="Picture 31">
          <a:extLst>
            <a:ext uri="{FF2B5EF4-FFF2-40B4-BE49-F238E27FC236}">
              <a16:creationId xmlns:a16="http://schemas.microsoft.com/office/drawing/2014/main" id="{0F810175-5C87-43E6-874C-0DF50D87DA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3" name="Picture 31">
          <a:extLst>
            <a:ext uri="{FF2B5EF4-FFF2-40B4-BE49-F238E27FC236}">
              <a16:creationId xmlns:a16="http://schemas.microsoft.com/office/drawing/2014/main" id="{E4009F10-FC3A-4AB0-9E7B-2D9D8DF77A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4" name="Picture 31">
          <a:extLst>
            <a:ext uri="{FF2B5EF4-FFF2-40B4-BE49-F238E27FC236}">
              <a16:creationId xmlns:a16="http://schemas.microsoft.com/office/drawing/2014/main" id="{4BF596A3-03E1-4838-85AA-B05AFA33B5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5" name="Picture 31">
          <a:extLst>
            <a:ext uri="{FF2B5EF4-FFF2-40B4-BE49-F238E27FC236}">
              <a16:creationId xmlns:a16="http://schemas.microsoft.com/office/drawing/2014/main" id="{6513C2C9-3626-42C7-BC31-4EA91FD3C0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6" name="Picture 31">
          <a:extLst>
            <a:ext uri="{FF2B5EF4-FFF2-40B4-BE49-F238E27FC236}">
              <a16:creationId xmlns:a16="http://schemas.microsoft.com/office/drawing/2014/main" id="{8A35047A-2E42-4A90-B56B-64839FE3ED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7" name="Picture 31">
          <a:extLst>
            <a:ext uri="{FF2B5EF4-FFF2-40B4-BE49-F238E27FC236}">
              <a16:creationId xmlns:a16="http://schemas.microsoft.com/office/drawing/2014/main" id="{DB8E796F-A775-410A-BFB4-20C268B6404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8" name="Picture 31">
          <a:extLst>
            <a:ext uri="{FF2B5EF4-FFF2-40B4-BE49-F238E27FC236}">
              <a16:creationId xmlns:a16="http://schemas.microsoft.com/office/drawing/2014/main" id="{A8954ADE-BC62-43E7-938D-FCE453BEF1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39" name="Picture 31">
          <a:extLst>
            <a:ext uri="{FF2B5EF4-FFF2-40B4-BE49-F238E27FC236}">
              <a16:creationId xmlns:a16="http://schemas.microsoft.com/office/drawing/2014/main" id="{39102CBE-8E1A-41A5-A965-9C3ED9F9B8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0" name="Picture 31">
          <a:extLst>
            <a:ext uri="{FF2B5EF4-FFF2-40B4-BE49-F238E27FC236}">
              <a16:creationId xmlns:a16="http://schemas.microsoft.com/office/drawing/2014/main" id="{3486C3B2-72DD-4DE9-99C3-78EA21CE6F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1" name="Picture 31">
          <a:extLst>
            <a:ext uri="{FF2B5EF4-FFF2-40B4-BE49-F238E27FC236}">
              <a16:creationId xmlns:a16="http://schemas.microsoft.com/office/drawing/2014/main" id="{9A063B64-63AE-447B-9F61-70595D0358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2" name="Picture 31">
          <a:extLst>
            <a:ext uri="{FF2B5EF4-FFF2-40B4-BE49-F238E27FC236}">
              <a16:creationId xmlns:a16="http://schemas.microsoft.com/office/drawing/2014/main" id="{6BABEDBC-C2D4-4A93-8227-CB25F619F7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3" name="Picture 31">
          <a:extLst>
            <a:ext uri="{FF2B5EF4-FFF2-40B4-BE49-F238E27FC236}">
              <a16:creationId xmlns:a16="http://schemas.microsoft.com/office/drawing/2014/main" id="{6D7EAFAB-21A2-4859-8234-F15257D039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4" name="Picture 31">
          <a:extLst>
            <a:ext uri="{FF2B5EF4-FFF2-40B4-BE49-F238E27FC236}">
              <a16:creationId xmlns:a16="http://schemas.microsoft.com/office/drawing/2014/main" id="{5EFF3AB2-13D0-4149-A895-86F7365010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5" name="Picture 31">
          <a:extLst>
            <a:ext uri="{FF2B5EF4-FFF2-40B4-BE49-F238E27FC236}">
              <a16:creationId xmlns:a16="http://schemas.microsoft.com/office/drawing/2014/main" id="{75FE9984-15F9-486E-8CA4-F620C54255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6" name="Picture 31">
          <a:extLst>
            <a:ext uri="{FF2B5EF4-FFF2-40B4-BE49-F238E27FC236}">
              <a16:creationId xmlns:a16="http://schemas.microsoft.com/office/drawing/2014/main" id="{8B721FC0-D68E-47B2-82EF-B36CC4762B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7" name="Picture 31">
          <a:extLst>
            <a:ext uri="{FF2B5EF4-FFF2-40B4-BE49-F238E27FC236}">
              <a16:creationId xmlns:a16="http://schemas.microsoft.com/office/drawing/2014/main" id="{BEFB56D3-9759-4029-9BBB-437F2D6B72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8" name="Picture 31">
          <a:extLst>
            <a:ext uri="{FF2B5EF4-FFF2-40B4-BE49-F238E27FC236}">
              <a16:creationId xmlns:a16="http://schemas.microsoft.com/office/drawing/2014/main" id="{43360E2C-F615-4920-BC46-C740DA766E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49" name="Picture 31">
          <a:extLst>
            <a:ext uri="{FF2B5EF4-FFF2-40B4-BE49-F238E27FC236}">
              <a16:creationId xmlns:a16="http://schemas.microsoft.com/office/drawing/2014/main" id="{D9AE6B00-0570-4B12-AB40-6443014114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0" name="Picture 31">
          <a:extLst>
            <a:ext uri="{FF2B5EF4-FFF2-40B4-BE49-F238E27FC236}">
              <a16:creationId xmlns:a16="http://schemas.microsoft.com/office/drawing/2014/main" id="{782B3283-5AF6-4F94-9177-0BABBB03E8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1" name="Picture 31">
          <a:extLst>
            <a:ext uri="{FF2B5EF4-FFF2-40B4-BE49-F238E27FC236}">
              <a16:creationId xmlns:a16="http://schemas.microsoft.com/office/drawing/2014/main" id="{6BCB37DE-5ADD-4C9B-B4F9-82A83CB8D2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2" name="Picture 31">
          <a:extLst>
            <a:ext uri="{FF2B5EF4-FFF2-40B4-BE49-F238E27FC236}">
              <a16:creationId xmlns:a16="http://schemas.microsoft.com/office/drawing/2014/main" id="{94CF6A86-19E0-4839-AA03-5FF3361198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3" name="Picture 31">
          <a:extLst>
            <a:ext uri="{FF2B5EF4-FFF2-40B4-BE49-F238E27FC236}">
              <a16:creationId xmlns:a16="http://schemas.microsoft.com/office/drawing/2014/main" id="{C04D8216-DC66-4BB8-9513-9C26B32674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4" name="Picture 31">
          <a:extLst>
            <a:ext uri="{FF2B5EF4-FFF2-40B4-BE49-F238E27FC236}">
              <a16:creationId xmlns:a16="http://schemas.microsoft.com/office/drawing/2014/main" id="{3F63E10D-A8F6-4360-B0BA-03A4C06E01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5" name="Picture 31">
          <a:extLst>
            <a:ext uri="{FF2B5EF4-FFF2-40B4-BE49-F238E27FC236}">
              <a16:creationId xmlns:a16="http://schemas.microsoft.com/office/drawing/2014/main" id="{7ADF5538-1F71-48D2-A93A-9948F023D0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6" name="Picture 31">
          <a:extLst>
            <a:ext uri="{FF2B5EF4-FFF2-40B4-BE49-F238E27FC236}">
              <a16:creationId xmlns:a16="http://schemas.microsoft.com/office/drawing/2014/main" id="{710D4B1D-FD5A-41CF-B3E9-D7CDCBD5F0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7" name="Picture 31">
          <a:extLst>
            <a:ext uri="{FF2B5EF4-FFF2-40B4-BE49-F238E27FC236}">
              <a16:creationId xmlns:a16="http://schemas.microsoft.com/office/drawing/2014/main" id="{EA5FAE68-947B-4AA7-A745-9E59E3A665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8" name="Picture 31">
          <a:extLst>
            <a:ext uri="{FF2B5EF4-FFF2-40B4-BE49-F238E27FC236}">
              <a16:creationId xmlns:a16="http://schemas.microsoft.com/office/drawing/2014/main" id="{5B16D8F0-0E36-4894-991B-BA3B1AD73B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59" name="Picture 31">
          <a:extLst>
            <a:ext uri="{FF2B5EF4-FFF2-40B4-BE49-F238E27FC236}">
              <a16:creationId xmlns:a16="http://schemas.microsoft.com/office/drawing/2014/main" id="{4CAC4C25-8977-4F0C-98D9-59B4EB10A2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0" name="Picture 31">
          <a:extLst>
            <a:ext uri="{FF2B5EF4-FFF2-40B4-BE49-F238E27FC236}">
              <a16:creationId xmlns:a16="http://schemas.microsoft.com/office/drawing/2014/main" id="{A605DBF3-3ED1-48C1-BD24-614AED39CB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1" name="Picture 31">
          <a:extLst>
            <a:ext uri="{FF2B5EF4-FFF2-40B4-BE49-F238E27FC236}">
              <a16:creationId xmlns:a16="http://schemas.microsoft.com/office/drawing/2014/main" id="{1ED9C20F-2250-4D24-A83A-2DEFA87821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2" name="Picture 31">
          <a:extLst>
            <a:ext uri="{FF2B5EF4-FFF2-40B4-BE49-F238E27FC236}">
              <a16:creationId xmlns:a16="http://schemas.microsoft.com/office/drawing/2014/main" id="{9DBF16F7-53DD-431A-B993-A8FD86BC61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3" name="Picture 31">
          <a:extLst>
            <a:ext uri="{FF2B5EF4-FFF2-40B4-BE49-F238E27FC236}">
              <a16:creationId xmlns:a16="http://schemas.microsoft.com/office/drawing/2014/main" id="{61C0C95A-4C17-422A-BFA9-FC22BD87C2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4" name="Picture 31">
          <a:extLst>
            <a:ext uri="{FF2B5EF4-FFF2-40B4-BE49-F238E27FC236}">
              <a16:creationId xmlns:a16="http://schemas.microsoft.com/office/drawing/2014/main" id="{81408880-6794-419E-82A7-9DF6E1BB6B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5" name="Picture 31">
          <a:extLst>
            <a:ext uri="{FF2B5EF4-FFF2-40B4-BE49-F238E27FC236}">
              <a16:creationId xmlns:a16="http://schemas.microsoft.com/office/drawing/2014/main" id="{DEAD1880-C2B9-49D6-92F3-FC7FA7108B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6" name="Picture 31">
          <a:extLst>
            <a:ext uri="{FF2B5EF4-FFF2-40B4-BE49-F238E27FC236}">
              <a16:creationId xmlns:a16="http://schemas.microsoft.com/office/drawing/2014/main" id="{84F7EC02-7983-428A-A631-F3DFBCD4B9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7" name="Picture 31">
          <a:extLst>
            <a:ext uri="{FF2B5EF4-FFF2-40B4-BE49-F238E27FC236}">
              <a16:creationId xmlns:a16="http://schemas.microsoft.com/office/drawing/2014/main" id="{3EBB85D3-A794-4122-85CE-0979F500ED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8" name="Picture 31">
          <a:extLst>
            <a:ext uri="{FF2B5EF4-FFF2-40B4-BE49-F238E27FC236}">
              <a16:creationId xmlns:a16="http://schemas.microsoft.com/office/drawing/2014/main" id="{1CE87AE5-8B93-4E26-B505-00CBD775E4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69" name="Picture 31">
          <a:extLst>
            <a:ext uri="{FF2B5EF4-FFF2-40B4-BE49-F238E27FC236}">
              <a16:creationId xmlns:a16="http://schemas.microsoft.com/office/drawing/2014/main" id="{0389184E-5D78-4274-9416-EB6464A546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0" name="Picture 31">
          <a:extLst>
            <a:ext uri="{FF2B5EF4-FFF2-40B4-BE49-F238E27FC236}">
              <a16:creationId xmlns:a16="http://schemas.microsoft.com/office/drawing/2014/main" id="{E1A33A2A-117C-413B-ACAA-0E6DBAE2AC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1" name="Picture 31">
          <a:extLst>
            <a:ext uri="{FF2B5EF4-FFF2-40B4-BE49-F238E27FC236}">
              <a16:creationId xmlns:a16="http://schemas.microsoft.com/office/drawing/2014/main" id="{D407594C-5064-4F9D-81CE-62BFAE7757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2" name="Picture 31">
          <a:extLst>
            <a:ext uri="{FF2B5EF4-FFF2-40B4-BE49-F238E27FC236}">
              <a16:creationId xmlns:a16="http://schemas.microsoft.com/office/drawing/2014/main" id="{6E742EC2-4460-4707-A6F6-7B8A38F4B9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3" name="Picture 31">
          <a:extLst>
            <a:ext uri="{FF2B5EF4-FFF2-40B4-BE49-F238E27FC236}">
              <a16:creationId xmlns:a16="http://schemas.microsoft.com/office/drawing/2014/main" id="{AA2FD55A-4AB8-458E-A443-AF19923355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4" name="Picture 31">
          <a:extLst>
            <a:ext uri="{FF2B5EF4-FFF2-40B4-BE49-F238E27FC236}">
              <a16:creationId xmlns:a16="http://schemas.microsoft.com/office/drawing/2014/main" id="{35FCC640-0481-4712-9AA4-49FD2C3509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5" name="Picture 31">
          <a:extLst>
            <a:ext uri="{FF2B5EF4-FFF2-40B4-BE49-F238E27FC236}">
              <a16:creationId xmlns:a16="http://schemas.microsoft.com/office/drawing/2014/main" id="{D9802269-08F8-4775-9A79-80EE12241C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6" name="Picture 31">
          <a:extLst>
            <a:ext uri="{FF2B5EF4-FFF2-40B4-BE49-F238E27FC236}">
              <a16:creationId xmlns:a16="http://schemas.microsoft.com/office/drawing/2014/main" id="{99BDFE1B-F9E5-4077-A8A9-AEA3EA80D0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7" name="Picture 31">
          <a:extLst>
            <a:ext uri="{FF2B5EF4-FFF2-40B4-BE49-F238E27FC236}">
              <a16:creationId xmlns:a16="http://schemas.microsoft.com/office/drawing/2014/main" id="{12CADD40-DA6A-4ADD-8F32-5E09DA949F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8" name="Picture 31">
          <a:extLst>
            <a:ext uri="{FF2B5EF4-FFF2-40B4-BE49-F238E27FC236}">
              <a16:creationId xmlns:a16="http://schemas.microsoft.com/office/drawing/2014/main" id="{E328E44B-D91E-4B0F-9575-017398A505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79" name="Picture 31">
          <a:extLst>
            <a:ext uri="{FF2B5EF4-FFF2-40B4-BE49-F238E27FC236}">
              <a16:creationId xmlns:a16="http://schemas.microsoft.com/office/drawing/2014/main" id="{3EF33263-0173-4193-9DA6-17BADB7A68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0" name="Picture 31">
          <a:extLst>
            <a:ext uri="{FF2B5EF4-FFF2-40B4-BE49-F238E27FC236}">
              <a16:creationId xmlns:a16="http://schemas.microsoft.com/office/drawing/2014/main" id="{A46A0314-17CC-4A14-9496-753A3557D5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1" name="Picture 31">
          <a:extLst>
            <a:ext uri="{FF2B5EF4-FFF2-40B4-BE49-F238E27FC236}">
              <a16:creationId xmlns:a16="http://schemas.microsoft.com/office/drawing/2014/main" id="{0775BE84-7F56-43F8-84FD-9B4E26AE3D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2" name="Picture 31">
          <a:extLst>
            <a:ext uri="{FF2B5EF4-FFF2-40B4-BE49-F238E27FC236}">
              <a16:creationId xmlns:a16="http://schemas.microsoft.com/office/drawing/2014/main" id="{844BCD3E-E517-4B3C-ADC7-E5D646F4F5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3" name="Picture 31">
          <a:extLst>
            <a:ext uri="{FF2B5EF4-FFF2-40B4-BE49-F238E27FC236}">
              <a16:creationId xmlns:a16="http://schemas.microsoft.com/office/drawing/2014/main" id="{451C7EEF-4172-44E7-8D15-01FEFEBC28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4" name="Picture 31">
          <a:extLst>
            <a:ext uri="{FF2B5EF4-FFF2-40B4-BE49-F238E27FC236}">
              <a16:creationId xmlns:a16="http://schemas.microsoft.com/office/drawing/2014/main" id="{0C1E6024-A0E9-461D-9AFD-7EDBB6873F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5" name="Picture 31">
          <a:extLst>
            <a:ext uri="{FF2B5EF4-FFF2-40B4-BE49-F238E27FC236}">
              <a16:creationId xmlns:a16="http://schemas.microsoft.com/office/drawing/2014/main" id="{977109F4-2E86-414D-86D0-5AF3DEAFB3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6" name="Picture 31">
          <a:extLst>
            <a:ext uri="{FF2B5EF4-FFF2-40B4-BE49-F238E27FC236}">
              <a16:creationId xmlns:a16="http://schemas.microsoft.com/office/drawing/2014/main" id="{11274ED6-436E-42F6-B971-811C98E29C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7" name="Picture 31">
          <a:extLst>
            <a:ext uri="{FF2B5EF4-FFF2-40B4-BE49-F238E27FC236}">
              <a16:creationId xmlns:a16="http://schemas.microsoft.com/office/drawing/2014/main" id="{5C83521F-9EDF-4F0E-96D2-7B5AFDFBA7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8" name="Picture 31">
          <a:extLst>
            <a:ext uri="{FF2B5EF4-FFF2-40B4-BE49-F238E27FC236}">
              <a16:creationId xmlns:a16="http://schemas.microsoft.com/office/drawing/2014/main" id="{3AACE503-5D61-4A06-B9A7-2958D5B341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89" name="Picture 31">
          <a:extLst>
            <a:ext uri="{FF2B5EF4-FFF2-40B4-BE49-F238E27FC236}">
              <a16:creationId xmlns:a16="http://schemas.microsoft.com/office/drawing/2014/main" id="{E5E4C4AA-2E49-4F44-BE07-EDB200A112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0" name="Picture 31">
          <a:extLst>
            <a:ext uri="{FF2B5EF4-FFF2-40B4-BE49-F238E27FC236}">
              <a16:creationId xmlns:a16="http://schemas.microsoft.com/office/drawing/2014/main" id="{236E56F6-5430-4C99-8875-BF6415D618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1" name="Picture 31">
          <a:extLst>
            <a:ext uri="{FF2B5EF4-FFF2-40B4-BE49-F238E27FC236}">
              <a16:creationId xmlns:a16="http://schemas.microsoft.com/office/drawing/2014/main" id="{BEEBF251-8053-4E1B-834F-35F734F7C8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2" name="Picture 31">
          <a:extLst>
            <a:ext uri="{FF2B5EF4-FFF2-40B4-BE49-F238E27FC236}">
              <a16:creationId xmlns:a16="http://schemas.microsoft.com/office/drawing/2014/main" id="{196128F7-AE44-48C9-9789-0D0D4A55DE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3" name="Picture 31">
          <a:extLst>
            <a:ext uri="{FF2B5EF4-FFF2-40B4-BE49-F238E27FC236}">
              <a16:creationId xmlns:a16="http://schemas.microsoft.com/office/drawing/2014/main" id="{3E98B698-8215-46FD-A441-D9B98223CF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4" name="Picture 31">
          <a:extLst>
            <a:ext uri="{FF2B5EF4-FFF2-40B4-BE49-F238E27FC236}">
              <a16:creationId xmlns:a16="http://schemas.microsoft.com/office/drawing/2014/main" id="{AF25CBFF-219D-4A83-9D9F-B026A4A331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5" name="Picture 31">
          <a:extLst>
            <a:ext uri="{FF2B5EF4-FFF2-40B4-BE49-F238E27FC236}">
              <a16:creationId xmlns:a16="http://schemas.microsoft.com/office/drawing/2014/main" id="{F9E596DC-FC1A-470E-AE8E-9D88E22BFA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6" name="Picture 31">
          <a:extLst>
            <a:ext uri="{FF2B5EF4-FFF2-40B4-BE49-F238E27FC236}">
              <a16:creationId xmlns:a16="http://schemas.microsoft.com/office/drawing/2014/main" id="{D1F4240C-86B9-466B-9F89-49C85AC0B9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7" name="Picture 31">
          <a:extLst>
            <a:ext uri="{FF2B5EF4-FFF2-40B4-BE49-F238E27FC236}">
              <a16:creationId xmlns:a16="http://schemas.microsoft.com/office/drawing/2014/main" id="{1551D44C-8D8C-4548-A287-03E5E8C002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8" name="Picture 31">
          <a:extLst>
            <a:ext uri="{FF2B5EF4-FFF2-40B4-BE49-F238E27FC236}">
              <a16:creationId xmlns:a16="http://schemas.microsoft.com/office/drawing/2014/main" id="{F1BD26AC-BBB2-4944-BC8F-399C136289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399" name="Picture 31">
          <a:extLst>
            <a:ext uri="{FF2B5EF4-FFF2-40B4-BE49-F238E27FC236}">
              <a16:creationId xmlns:a16="http://schemas.microsoft.com/office/drawing/2014/main" id="{55CD8D65-2088-440F-A07B-6228B33219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0" name="Picture 31">
          <a:extLst>
            <a:ext uri="{FF2B5EF4-FFF2-40B4-BE49-F238E27FC236}">
              <a16:creationId xmlns:a16="http://schemas.microsoft.com/office/drawing/2014/main" id="{2BB5EC3C-4406-4D42-8D9D-1AD72871D3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1" name="Picture 31">
          <a:extLst>
            <a:ext uri="{FF2B5EF4-FFF2-40B4-BE49-F238E27FC236}">
              <a16:creationId xmlns:a16="http://schemas.microsoft.com/office/drawing/2014/main" id="{138CF4B7-B35E-4D94-B36D-28D6864463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2" name="Picture 31">
          <a:extLst>
            <a:ext uri="{FF2B5EF4-FFF2-40B4-BE49-F238E27FC236}">
              <a16:creationId xmlns:a16="http://schemas.microsoft.com/office/drawing/2014/main" id="{7CD38B7F-7DEE-474B-B395-BEB30EF7FB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3" name="Picture 31">
          <a:extLst>
            <a:ext uri="{FF2B5EF4-FFF2-40B4-BE49-F238E27FC236}">
              <a16:creationId xmlns:a16="http://schemas.microsoft.com/office/drawing/2014/main" id="{AD5502B7-978F-454E-B274-60E6B95262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4" name="Picture 31">
          <a:extLst>
            <a:ext uri="{FF2B5EF4-FFF2-40B4-BE49-F238E27FC236}">
              <a16:creationId xmlns:a16="http://schemas.microsoft.com/office/drawing/2014/main" id="{9D2D31C2-D922-48E8-AC3A-135A9182B1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5" name="Picture 31">
          <a:extLst>
            <a:ext uri="{FF2B5EF4-FFF2-40B4-BE49-F238E27FC236}">
              <a16:creationId xmlns:a16="http://schemas.microsoft.com/office/drawing/2014/main" id="{E74F317C-E2FC-4C17-B0B8-BEFAA316A5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6" name="Picture 31">
          <a:extLst>
            <a:ext uri="{FF2B5EF4-FFF2-40B4-BE49-F238E27FC236}">
              <a16:creationId xmlns:a16="http://schemas.microsoft.com/office/drawing/2014/main" id="{30A3B603-506E-4115-BCF9-1261BB5DA1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7" name="Picture 31">
          <a:extLst>
            <a:ext uri="{FF2B5EF4-FFF2-40B4-BE49-F238E27FC236}">
              <a16:creationId xmlns:a16="http://schemas.microsoft.com/office/drawing/2014/main" id="{5B58A506-4DA7-47E4-A21E-AD7954D045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8" name="Picture 31">
          <a:extLst>
            <a:ext uri="{FF2B5EF4-FFF2-40B4-BE49-F238E27FC236}">
              <a16:creationId xmlns:a16="http://schemas.microsoft.com/office/drawing/2014/main" id="{323AF643-B0C2-4CFC-8877-3934B2214B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09" name="Picture 31">
          <a:extLst>
            <a:ext uri="{FF2B5EF4-FFF2-40B4-BE49-F238E27FC236}">
              <a16:creationId xmlns:a16="http://schemas.microsoft.com/office/drawing/2014/main" id="{D7CA86C8-850D-4E2D-BBC7-11AEE53394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0" name="Picture 31">
          <a:extLst>
            <a:ext uri="{FF2B5EF4-FFF2-40B4-BE49-F238E27FC236}">
              <a16:creationId xmlns:a16="http://schemas.microsoft.com/office/drawing/2014/main" id="{D3926FF1-5F69-420E-BEA5-7F73725964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1" name="Picture 31">
          <a:extLst>
            <a:ext uri="{FF2B5EF4-FFF2-40B4-BE49-F238E27FC236}">
              <a16:creationId xmlns:a16="http://schemas.microsoft.com/office/drawing/2014/main" id="{208F615B-DC99-46F8-8EEB-5EE144C7F6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2" name="Picture 31">
          <a:extLst>
            <a:ext uri="{FF2B5EF4-FFF2-40B4-BE49-F238E27FC236}">
              <a16:creationId xmlns:a16="http://schemas.microsoft.com/office/drawing/2014/main" id="{EE43E9F5-5A35-4F92-82F7-92063B126F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3" name="Picture 31">
          <a:extLst>
            <a:ext uri="{FF2B5EF4-FFF2-40B4-BE49-F238E27FC236}">
              <a16:creationId xmlns:a16="http://schemas.microsoft.com/office/drawing/2014/main" id="{CBC9C62D-77BD-45FC-80C6-D7463B5502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4" name="Picture 31">
          <a:extLst>
            <a:ext uri="{FF2B5EF4-FFF2-40B4-BE49-F238E27FC236}">
              <a16:creationId xmlns:a16="http://schemas.microsoft.com/office/drawing/2014/main" id="{09B8E06B-D202-4CEF-96BD-C5FF46E916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5" name="Picture 31">
          <a:extLst>
            <a:ext uri="{FF2B5EF4-FFF2-40B4-BE49-F238E27FC236}">
              <a16:creationId xmlns:a16="http://schemas.microsoft.com/office/drawing/2014/main" id="{4B6EDA73-CE36-4575-8101-AD4FA238F2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6" name="Picture 31">
          <a:extLst>
            <a:ext uri="{FF2B5EF4-FFF2-40B4-BE49-F238E27FC236}">
              <a16:creationId xmlns:a16="http://schemas.microsoft.com/office/drawing/2014/main" id="{D216436F-A374-4BAA-8D8E-7F4CD4C4F4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7" name="Picture 31">
          <a:extLst>
            <a:ext uri="{FF2B5EF4-FFF2-40B4-BE49-F238E27FC236}">
              <a16:creationId xmlns:a16="http://schemas.microsoft.com/office/drawing/2014/main" id="{DE2C766E-0F29-4066-8A12-ED04FF8ACC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8" name="Picture 31">
          <a:extLst>
            <a:ext uri="{FF2B5EF4-FFF2-40B4-BE49-F238E27FC236}">
              <a16:creationId xmlns:a16="http://schemas.microsoft.com/office/drawing/2014/main" id="{2F8D0591-E6C5-4B8B-9F48-60AECAE896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19" name="Picture 31">
          <a:extLst>
            <a:ext uri="{FF2B5EF4-FFF2-40B4-BE49-F238E27FC236}">
              <a16:creationId xmlns:a16="http://schemas.microsoft.com/office/drawing/2014/main" id="{36325BAB-E370-4CC7-8198-084D720760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0" name="Picture 31">
          <a:extLst>
            <a:ext uri="{FF2B5EF4-FFF2-40B4-BE49-F238E27FC236}">
              <a16:creationId xmlns:a16="http://schemas.microsoft.com/office/drawing/2014/main" id="{83C35014-5521-4871-8169-9311B224DC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1" name="Picture 31">
          <a:extLst>
            <a:ext uri="{FF2B5EF4-FFF2-40B4-BE49-F238E27FC236}">
              <a16:creationId xmlns:a16="http://schemas.microsoft.com/office/drawing/2014/main" id="{B9245C63-61BD-4A98-976E-659C837F2D8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2" name="Picture 31">
          <a:extLst>
            <a:ext uri="{FF2B5EF4-FFF2-40B4-BE49-F238E27FC236}">
              <a16:creationId xmlns:a16="http://schemas.microsoft.com/office/drawing/2014/main" id="{6AB50DE6-0D10-4B4B-A700-FB00EB1F8B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3" name="Picture 31">
          <a:extLst>
            <a:ext uri="{FF2B5EF4-FFF2-40B4-BE49-F238E27FC236}">
              <a16:creationId xmlns:a16="http://schemas.microsoft.com/office/drawing/2014/main" id="{8CB203C0-7E0E-459B-B12C-2A36C68D8C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4" name="Picture 31">
          <a:extLst>
            <a:ext uri="{FF2B5EF4-FFF2-40B4-BE49-F238E27FC236}">
              <a16:creationId xmlns:a16="http://schemas.microsoft.com/office/drawing/2014/main" id="{2A5DCEDE-BAD8-4C95-B3D1-43950363FE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5" name="Picture 31">
          <a:extLst>
            <a:ext uri="{FF2B5EF4-FFF2-40B4-BE49-F238E27FC236}">
              <a16:creationId xmlns:a16="http://schemas.microsoft.com/office/drawing/2014/main" id="{F2631C8C-68D3-4C18-AD32-B177D5A207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6" name="Picture 31">
          <a:extLst>
            <a:ext uri="{FF2B5EF4-FFF2-40B4-BE49-F238E27FC236}">
              <a16:creationId xmlns:a16="http://schemas.microsoft.com/office/drawing/2014/main" id="{31E7BA0E-FBC8-44DA-88A9-F86514675D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7" name="Picture 31">
          <a:extLst>
            <a:ext uri="{FF2B5EF4-FFF2-40B4-BE49-F238E27FC236}">
              <a16:creationId xmlns:a16="http://schemas.microsoft.com/office/drawing/2014/main" id="{CA37255B-D8AB-4B6B-9615-519E5A6988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8" name="Picture 31">
          <a:extLst>
            <a:ext uri="{FF2B5EF4-FFF2-40B4-BE49-F238E27FC236}">
              <a16:creationId xmlns:a16="http://schemas.microsoft.com/office/drawing/2014/main" id="{C9AE1DF9-3646-42BB-A2FB-4EB590A56A8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29" name="Picture 31">
          <a:extLst>
            <a:ext uri="{FF2B5EF4-FFF2-40B4-BE49-F238E27FC236}">
              <a16:creationId xmlns:a16="http://schemas.microsoft.com/office/drawing/2014/main" id="{22B05690-77A4-4E66-9299-CDC37913BF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0" name="Picture 31">
          <a:extLst>
            <a:ext uri="{FF2B5EF4-FFF2-40B4-BE49-F238E27FC236}">
              <a16:creationId xmlns:a16="http://schemas.microsoft.com/office/drawing/2014/main" id="{2C5EB5AA-51D5-41BF-BB11-E167FB0C9F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1" name="Picture 31">
          <a:extLst>
            <a:ext uri="{FF2B5EF4-FFF2-40B4-BE49-F238E27FC236}">
              <a16:creationId xmlns:a16="http://schemas.microsoft.com/office/drawing/2014/main" id="{86D58B14-041B-49A7-BB83-91BED18824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2" name="Picture 31">
          <a:extLst>
            <a:ext uri="{FF2B5EF4-FFF2-40B4-BE49-F238E27FC236}">
              <a16:creationId xmlns:a16="http://schemas.microsoft.com/office/drawing/2014/main" id="{AA3E15B1-CCFC-4AA7-9A30-1BED361AB6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3" name="Picture 31">
          <a:extLst>
            <a:ext uri="{FF2B5EF4-FFF2-40B4-BE49-F238E27FC236}">
              <a16:creationId xmlns:a16="http://schemas.microsoft.com/office/drawing/2014/main" id="{38C6B687-D311-4648-8B2D-B4E11E79B5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4" name="Picture 31">
          <a:extLst>
            <a:ext uri="{FF2B5EF4-FFF2-40B4-BE49-F238E27FC236}">
              <a16:creationId xmlns:a16="http://schemas.microsoft.com/office/drawing/2014/main" id="{A0461E40-13FF-4D1C-9C9E-1CB201FA60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5" name="Picture 31">
          <a:extLst>
            <a:ext uri="{FF2B5EF4-FFF2-40B4-BE49-F238E27FC236}">
              <a16:creationId xmlns:a16="http://schemas.microsoft.com/office/drawing/2014/main" id="{A3853DE8-2C81-485F-B127-9FFBE99C4B0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6" name="Picture 31">
          <a:extLst>
            <a:ext uri="{FF2B5EF4-FFF2-40B4-BE49-F238E27FC236}">
              <a16:creationId xmlns:a16="http://schemas.microsoft.com/office/drawing/2014/main" id="{405C1F9F-2C8D-4E65-B9C4-77AB3686AA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7" name="Picture 31">
          <a:extLst>
            <a:ext uri="{FF2B5EF4-FFF2-40B4-BE49-F238E27FC236}">
              <a16:creationId xmlns:a16="http://schemas.microsoft.com/office/drawing/2014/main" id="{A323280C-CF54-4FCA-A933-D6960D29BB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8" name="Picture 31">
          <a:extLst>
            <a:ext uri="{FF2B5EF4-FFF2-40B4-BE49-F238E27FC236}">
              <a16:creationId xmlns:a16="http://schemas.microsoft.com/office/drawing/2014/main" id="{98057009-B5A2-4C4E-B8E6-B86D2C8039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39" name="Picture 31">
          <a:extLst>
            <a:ext uri="{FF2B5EF4-FFF2-40B4-BE49-F238E27FC236}">
              <a16:creationId xmlns:a16="http://schemas.microsoft.com/office/drawing/2014/main" id="{C9B4C0DB-2619-44C0-899E-8B281E8B7D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40" name="Picture 31">
          <a:extLst>
            <a:ext uri="{FF2B5EF4-FFF2-40B4-BE49-F238E27FC236}">
              <a16:creationId xmlns:a16="http://schemas.microsoft.com/office/drawing/2014/main" id="{511EDBFA-1F86-4D05-B12D-B1CBEEED6E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57</xdr:row>
      <xdr:rowOff>0</xdr:rowOff>
    </xdr:from>
    <xdr:to>
      <xdr:col>2</xdr:col>
      <xdr:colOff>1221</xdr:colOff>
      <xdr:row>57</xdr:row>
      <xdr:rowOff>2994</xdr:rowOff>
    </xdr:to>
    <xdr:pic>
      <xdr:nvPicPr>
        <xdr:cNvPr id="1441" name="Picture 31">
          <a:extLst>
            <a:ext uri="{FF2B5EF4-FFF2-40B4-BE49-F238E27FC236}">
              <a16:creationId xmlns:a16="http://schemas.microsoft.com/office/drawing/2014/main" id="{C4F65DAC-9E7E-445D-87E8-97D0A2ED9C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2795905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2" name="Picture 31">
          <a:extLst>
            <a:ext uri="{FF2B5EF4-FFF2-40B4-BE49-F238E27FC236}">
              <a16:creationId xmlns:a16="http://schemas.microsoft.com/office/drawing/2014/main" id="{58FD026A-265D-445C-BFA9-CACD5E5D7D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3" name="Picture 31">
          <a:extLst>
            <a:ext uri="{FF2B5EF4-FFF2-40B4-BE49-F238E27FC236}">
              <a16:creationId xmlns:a16="http://schemas.microsoft.com/office/drawing/2014/main" id="{ED095010-F4A2-42E1-B453-7F5683EDD6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4" name="Picture 31">
          <a:extLst>
            <a:ext uri="{FF2B5EF4-FFF2-40B4-BE49-F238E27FC236}">
              <a16:creationId xmlns:a16="http://schemas.microsoft.com/office/drawing/2014/main" id="{B33EC43A-BF3F-4761-B1F0-91F312B5F3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5" name="Picture 31">
          <a:extLst>
            <a:ext uri="{FF2B5EF4-FFF2-40B4-BE49-F238E27FC236}">
              <a16:creationId xmlns:a16="http://schemas.microsoft.com/office/drawing/2014/main" id="{C659F1C1-A61A-41D9-AA37-E08F81223C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6" name="Picture 31">
          <a:extLst>
            <a:ext uri="{FF2B5EF4-FFF2-40B4-BE49-F238E27FC236}">
              <a16:creationId xmlns:a16="http://schemas.microsoft.com/office/drawing/2014/main" id="{F3E7DFC1-2E6D-480F-A850-4254F84042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7" name="Picture 31">
          <a:extLst>
            <a:ext uri="{FF2B5EF4-FFF2-40B4-BE49-F238E27FC236}">
              <a16:creationId xmlns:a16="http://schemas.microsoft.com/office/drawing/2014/main" id="{7F2271BE-21E2-4CF9-B05D-B272AD440A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8" name="Picture 31">
          <a:extLst>
            <a:ext uri="{FF2B5EF4-FFF2-40B4-BE49-F238E27FC236}">
              <a16:creationId xmlns:a16="http://schemas.microsoft.com/office/drawing/2014/main" id="{B878A813-5A5E-4F9C-8F66-B672B84E06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49" name="Picture 31">
          <a:extLst>
            <a:ext uri="{FF2B5EF4-FFF2-40B4-BE49-F238E27FC236}">
              <a16:creationId xmlns:a16="http://schemas.microsoft.com/office/drawing/2014/main" id="{F591B58C-8DB3-409E-BE81-53422FB160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0" name="Picture 31">
          <a:extLst>
            <a:ext uri="{FF2B5EF4-FFF2-40B4-BE49-F238E27FC236}">
              <a16:creationId xmlns:a16="http://schemas.microsoft.com/office/drawing/2014/main" id="{310AB2AA-4EC6-42E3-A6AB-37EB8982C1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1" name="Picture 31">
          <a:extLst>
            <a:ext uri="{FF2B5EF4-FFF2-40B4-BE49-F238E27FC236}">
              <a16:creationId xmlns:a16="http://schemas.microsoft.com/office/drawing/2014/main" id="{E5E1A3DF-3975-4122-8677-6D50157EA8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2" name="Picture 31">
          <a:extLst>
            <a:ext uri="{FF2B5EF4-FFF2-40B4-BE49-F238E27FC236}">
              <a16:creationId xmlns:a16="http://schemas.microsoft.com/office/drawing/2014/main" id="{475A8E6C-855C-4541-AC50-8FC78E71B3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3" name="Picture 31">
          <a:extLst>
            <a:ext uri="{FF2B5EF4-FFF2-40B4-BE49-F238E27FC236}">
              <a16:creationId xmlns:a16="http://schemas.microsoft.com/office/drawing/2014/main" id="{CD32DFDD-748A-4FC6-AF2B-C45DE71A66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4" name="Picture 31">
          <a:extLst>
            <a:ext uri="{FF2B5EF4-FFF2-40B4-BE49-F238E27FC236}">
              <a16:creationId xmlns:a16="http://schemas.microsoft.com/office/drawing/2014/main" id="{39298B60-37AE-4E33-B849-A1EE049047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5" name="Picture 31">
          <a:extLst>
            <a:ext uri="{FF2B5EF4-FFF2-40B4-BE49-F238E27FC236}">
              <a16:creationId xmlns:a16="http://schemas.microsoft.com/office/drawing/2014/main" id="{034A101B-1B7C-4900-B2FD-573FF097D1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6" name="Picture 31">
          <a:extLst>
            <a:ext uri="{FF2B5EF4-FFF2-40B4-BE49-F238E27FC236}">
              <a16:creationId xmlns:a16="http://schemas.microsoft.com/office/drawing/2014/main" id="{2DC7D79E-B41D-48FF-AF2C-7A44A50E6C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7" name="Picture 31">
          <a:extLst>
            <a:ext uri="{FF2B5EF4-FFF2-40B4-BE49-F238E27FC236}">
              <a16:creationId xmlns:a16="http://schemas.microsoft.com/office/drawing/2014/main" id="{1767CA1F-1C34-49D8-87B3-4B50C6E548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8" name="Picture 31">
          <a:extLst>
            <a:ext uri="{FF2B5EF4-FFF2-40B4-BE49-F238E27FC236}">
              <a16:creationId xmlns:a16="http://schemas.microsoft.com/office/drawing/2014/main" id="{74696F07-2AB0-4A72-B279-68F369FA17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59" name="Picture 31">
          <a:extLst>
            <a:ext uri="{FF2B5EF4-FFF2-40B4-BE49-F238E27FC236}">
              <a16:creationId xmlns:a16="http://schemas.microsoft.com/office/drawing/2014/main" id="{EE540398-8259-4ABB-8050-83FE80619F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0" name="Picture 31">
          <a:extLst>
            <a:ext uri="{FF2B5EF4-FFF2-40B4-BE49-F238E27FC236}">
              <a16:creationId xmlns:a16="http://schemas.microsoft.com/office/drawing/2014/main" id="{80F7FF5F-C42D-49E5-9C7B-C4EA51DDCF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1" name="Picture 31">
          <a:extLst>
            <a:ext uri="{FF2B5EF4-FFF2-40B4-BE49-F238E27FC236}">
              <a16:creationId xmlns:a16="http://schemas.microsoft.com/office/drawing/2014/main" id="{915D7B9C-B17C-4F64-9EE8-24721E4ECB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2" name="Picture 31">
          <a:extLst>
            <a:ext uri="{FF2B5EF4-FFF2-40B4-BE49-F238E27FC236}">
              <a16:creationId xmlns:a16="http://schemas.microsoft.com/office/drawing/2014/main" id="{FAA9743F-1DDA-47BA-8DCA-5998AB4F6B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3" name="Picture 31">
          <a:extLst>
            <a:ext uri="{FF2B5EF4-FFF2-40B4-BE49-F238E27FC236}">
              <a16:creationId xmlns:a16="http://schemas.microsoft.com/office/drawing/2014/main" id="{E0F6ECFD-7372-4BA3-959D-4FB27A3893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4" name="Picture 31">
          <a:extLst>
            <a:ext uri="{FF2B5EF4-FFF2-40B4-BE49-F238E27FC236}">
              <a16:creationId xmlns:a16="http://schemas.microsoft.com/office/drawing/2014/main" id="{61C656B6-1511-4813-BCFF-5BCE0F93D4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5" name="Picture 31">
          <a:extLst>
            <a:ext uri="{FF2B5EF4-FFF2-40B4-BE49-F238E27FC236}">
              <a16:creationId xmlns:a16="http://schemas.microsoft.com/office/drawing/2014/main" id="{AFCCC112-07F8-442E-B6A1-F3E745CD15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6" name="Picture 31">
          <a:extLst>
            <a:ext uri="{FF2B5EF4-FFF2-40B4-BE49-F238E27FC236}">
              <a16:creationId xmlns:a16="http://schemas.microsoft.com/office/drawing/2014/main" id="{1D64B7D4-9863-4806-84A1-554CFDD26A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7" name="Picture 31">
          <a:extLst>
            <a:ext uri="{FF2B5EF4-FFF2-40B4-BE49-F238E27FC236}">
              <a16:creationId xmlns:a16="http://schemas.microsoft.com/office/drawing/2014/main" id="{F006E2AC-E9CB-4FD2-9F1F-4B07242B8B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8" name="Picture 31">
          <a:extLst>
            <a:ext uri="{FF2B5EF4-FFF2-40B4-BE49-F238E27FC236}">
              <a16:creationId xmlns:a16="http://schemas.microsoft.com/office/drawing/2014/main" id="{4A67221F-6557-4C70-9BF3-80F738364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69" name="Picture 31">
          <a:extLst>
            <a:ext uri="{FF2B5EF4-FFF2-40B4-BE49-F238E27FC236}">
              <a16:creationId xmlns:a16="http://schemas.microsoft.com/office/drawing/2014/main" id="{A79242A3-24BB-441A-9EF4-CB64FED1C4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0" name="Picture 31">
          <a:extLst>
            <a:ext uri="{FF2B5EF4-FFF2-40B4-BE49-F238E27FC236}">
              <a16:creationId xmlns:a16="http://schemas.microsoft.com/office/drawing/2014/main" id="{B3D7C2BC-9730-4F6F-A393-116867BDBF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1" name="Picture 31">
          <a:extLst>
            <a:ext uri="{FF2B5EF4-FFF2-40B4-BE49-F238E27FC236}">
              <a16:creationId xmlns:a16="http://schemas.microsoft.com/office/drawing/2014/main" id="{E24864B0-E97D-4EBF-8864-D2E20B5640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2" name="Picture 31">
          <a:extLst>
            <a:ext uri="{FF2B5EF4-FFF2-40B4-BE49-F238E27FC236}">
              <a16:creationId xmlns:a16="http://schemas.microsoft.com/office/drawing/2014/main" id="{B8A30BE6-9D46-44DC-8AC8-24F4360EE5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3" name="Picture 31">
          <a:extLst>
            <a:ext uri="{FF2B5EF4-FFF2-40B4-BE49-F238E27FC236}">
              <a16:creationId xmlns:a16="http://schemas.microsoft.com/office/drawing/2014/main" id="{C703CAEE-6B2F-41F6-BF33-B2B48A21E0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4" name="Picture 31">
          <a:extLst>
            <a:ext uri="{FF2B5EF4-FFF2-40B4-BE49-F238E27FC236}">
              <a16:creationId xmlns:a16="http://schemas.microsoft.com/office/drawing/2014/main" id="{1489E8C8-0C9E-46CB-B9DC-E6C0F30543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5" name="Picture 31">
          <a:extLst>
            <a:ext uri="{FF2B5EF4-FFF2-40B4-BE49-F238E27FC236}">
              <a16:creationId xmlns:a16="http://schemas.microsoft.com/office/drawing/2014/main" id="{22258287-89CD-408A-A73A-69DA2E8297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6" name="Picture 31">
          <a:extLst>
            <a:ext uri="{FF2B5EF4-FFF2-40B4-BE49-F238E27FC236}">
              <a16:creationId xmlns:a16="http://schemas.microsoft.com/office/drawing/2014/main" id="{C10213E0-92C9-4A39-A58E-CC2239170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7" name="Picture 31">
          <a:extLst>
            <a:ext uri="{FF2B5EF4-FFF2-40B4-BE49-F238E27FC236}">
              <a16:creationId xmlns:a16="http://schemas.microsoft.com/office/drawing/2014/main" id="{50EFBDBC-8C42-4FE9-BA4C-9ADD5C3A34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8" name="Picture 31">
          <a:extLst>
            <a:ext uri="{FF2B5EF4-FFF2-40B4-BE49-F238E27FC236}">
              <a16:creationId xmlns:a16="http://schemas.microsoft.com/office/drawing/2014/main" id="{8EA439A6-E3E7-4A38-AFCD-997AFECEF4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79" name="Picture 31">
          <a:extLst>
            <a:ext uri="{FF2B5EF4-FFF2-40B4-BE49-F238E27FC236}">
              <a16:creationId xmlns:a16="http://schemas.microsoft.com/office/drawing/2014/main" id="{B5A47440-26C8-4A04-BB6A-423AA202F4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0" name="Picture 31">
          <a:extLst>
            <a:ext uri="{FF2B5EF4-FFF2-40B4-BE49-F238E27FC236}">
              <a16:creationId xmlns:a16="http://schemas.microsoft.com/office/drawing/2014/main" id="{BC20EAA6-A7D6-40E2-A215-820479E4C3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1" name="Picture 31">
          <a:extLst>
            <a:ext uri="{FF2B5EF4-FFF2-40B4-BE49-F238E27FC236}">
              <a16:creationId xmlns:a16="http://schemas.microsoft.com/office/drawing/2014/main" id="{D875D2EB-E497-4EF4-8551-A3D6B81159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2" name="Picture 31">
          <a:extLst>
            <a:ext uri="{FF2B5EF4-FFF2-40B4-BE49-F238E27FC236}">
              <a16:creationId xmlns:a16="http://schemas.microsoft.com/office/drawing/2014/main" id="{69AAD46B-A983-4CF3-98E1-6E05045920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3" name="Picture 31">
          <a:extLst>
            <a:ext uri="{FF2B5EF4-FFF2-40B4-BE49-F238E27FC236}">
              <a16:creationId xmlns:a16="http://schemas.microsoft.com/office/drawing/2014/main" id="{B878B474-FB67-468D-BFF5-F89F873116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4" name="Picture 31">
          <a:extLst>
            <a:ext uri="{FF2B5EF4-FFF2-40B4-BE49-F238E27FC236}">
              <a16:creationId xmlns:a16="http://schemas.microsoft.com/office/drawing/2014/main" id="{CA6C7C6B-6545-4500-B40E-739AF930B9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5" name="Picture 31">
          <a:extLst>
            <a:ext uri="{FF2B5EF4-FFF2-40B4-BE49-F238E27FC236}">
              <a16:creationId xmlns:a16="http://schemas.microsoft.com/office/drawing/2014/main" id="{4BE4AC45-E702-48D1-84E3-72302259E5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6" name="Picture 31">
          <a:extLst>
            <a:ext uri="{FF2B5EF4-FFF2-40B4-BE49-F238E27FC236}">
              <a16:creationId xmlns:a16="http://schemas.microsoft.com/office/drawing/2014/main" id="{745E9296-8B8D-4556-8375-6D14FCB130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7" name="Picture 31">
          <a:extLst>
            <a:ext uri="{FF2B5EF4-FFF2-40B4-BE49-F238E27FC236}">
              <a16:creationId xmlns:a16="http://schemas.microsoft.com/office/drawing/2014/main" id="{795887CA-A961-43D1-A84F-86D0E9ACA3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8" name="Picture 31">
          <a:extLst>
            <a:ext uri="{FF2B5EF4-FFF2-40B4-BE49-F238E27FC236}">
              <a16:creationId xmlns:a16="http://schemas.microsoft.com/office/drawing/2014/main" id="{1D410C0C-824A-4D9A-9522-C32A2E8967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89" name="Picture 31">
          <a:extLst>
            <a:ext uri="{FF2B5EF4-FFF2-40B4-BE49-F238E27FC236}">
              <a16:creationId xmlns:a16="http://schemas.microsoft.com/office/drawing/2014/main" id="{74D07390-0C7F-443D-A9B2-81F9A860DE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0" name="Picture 31">
          <a:extLst>
            <a:ext uri="{FF2B5EF4-FFF2-40B4-BE49-F238E27FC236}">
              <a16:creationId xmlns:a16="http://schemas.microsoft.com/office/drawing/2014/main" id="{89357111-7566-41E2-AB69-A65F958B2A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1" name="Picture 31">
          <a:extLst>
            <a:ext uri="{FF2B5EF4-FFF2-40B4-BE49-F238E27FC236}">
              <a16:creationId xmlns:a16="http://schemas.microsoft.com/office/drawing/2014/main" id="{5F16949C-8C21-4239-B6A3-AE406A6433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2" name="Picture 31">
          <a:extLst>
            <a:ext uri="{FF2B5EF4-FFF2-40B4-BE49-F238E27FC236}">
              <a16:creationId xmlns:a16="http://schemas.microsoft.com/office/drawing/2014/main" id="{D3F04FE2-7B95-42C5-97D4-8FF26614B9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3" name="Picture 31">
          <a:extLst>
            <a:ext uri="{FF2B5EF4-FFF2-40B4-BE49-F238E27FC236}">
              <a16:creationId xmlns:a16="http://schemas.microsoft.com/office/drawing/2014/main" id="{5406B8D3-1166-4637-9F41-1A9B142311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4" name="Picture 31">
          <a:extLst>
            <a:ext uri="{FF2B5EF4-FFF2-40B4-BE49-F238E27FC236}">
              <a16:creationId xmlns:a16="http://schemas.microsoft.com/office/drawing/2014/main" id="{3517E86D-82F4-4436-AFD9-BE4593F180E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5" name="Picture 31">
          <a:extLst>
            <a:ext uri="{FF2B5EF4-FFF2-40B4-BE49-F238E27FC236}">
              <a16:creationId xmlns:a16="http://schemas.microsoft.com/office/drawing/2014/main" id="{5F966534-7AA2-4FA6-A044-6F820440C3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6" name="Picture 31">
          <a:extLst>
            <a:ext uri="{FF2B5EF4-FFF2-40B4-BE49-F238E27FC236}">
              <a16:creationId xmlns:a16="http://schemas.microsoft.com/office/drawing/2014/main" id="{9EB22254-2E8F-41BF-8609-7EFE3479EB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7" name="Picture 31">
          <a:extLst>
            <a:ext uri="{FF2B5EF4-FFF2-40B4-BE49-F238E27FC236}">
              <a16:creationId xmlns:a16="http://schemas.microsoft.com/office/drawing/2014/main" id="{555D262E-07A6-4E44-A872-B5F19DBB8A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8" name="Picture 31">
          <a:extLst>
            <a:ext uri="{FF2B5EF4-FFF2-40B4-BE49-F238E27FC236}">
              <a16:creationId xmlns:a16="http://schemas.microsoft.com/office/drawing/2014/main" id="{3E66B176-2F04-48F7-B28D-4D5440D775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499" name="Picture 31">
          <a:extLst>
            <a:ext uri="{FF2B5EF4-FFF2-40B4-BE49-F238E27FC236}">
              <a16:creationId xmlns:a16="http://schemas.microsoft.com/office/drawing/2014/main" id="{2DF58401-0863-4263-B83C-6D0F06F168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0" name="Picture 31">
          <a:extLst>
            <a:ext uri="{FF2B5EF4-FFF2-40B4-BE49-F238E27FC236}">
              <a16:creationId xmlns:a16="http://schemas.microsoft.com/office/drawing/2014/main" id="{00CD360B-3712-4AF3-BBE9-4337C76BD6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1" name="Picture 31">
          <a:extLst>
            <a:ext uri="{FF2B5EF4-FFF2-40B4-BE49-F238E27FC236}">
              <a16:creationId xmlns:a16="http://schemas.microsoft.com/office/drawing/2014/main" id="{DAB75F84-6E4D-47AB-880E-42A786C491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2" name="Picture 31">
          <a:extLst>
            <a:ext uri="{FF2B5EF4-FFF2-40B4-BE49-F238E27FC236}">
              <a16:creationId xmlns:a16="http://schemas.microsoft.com/office/drawing/2014/main" id="{2E86392C-98BF-43D7-BD0A-7B1375F736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3" name="Picture 31">
          <a:extLst>
            <a:ext uri="{FF2B5EF4-FFF2-40B4-BE49-F238E27FC236}">
              <a16:creationId xmlns:a16="http://schemas.microsoft.com/office/drawing/2014/main" id="{DEEA2854-E72D-4887-9011-368A3646B7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4" name="Picture 31">
          <a:extLst>
            <a:ext uri="{FF2B5EF4-FFF2-40B4-BE49-F238E27FC236}">
              <a16:creationId xmlns:a16="http://schemas.microsoft.com/office/drawing/2014/main" id="{B73B0E74-2924-4C00-9B42-63D58CB8AD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5" name="Picture 31">
          <a:extLst>
            <a:ext uri="{FF2B5EF4-FFF2-40B4-BE49-F238E27FC236}">
              <a16:creationId xmlns:a16="http://schemas.microsoft.com/office/drawing/2014/main" id="{25EF57DB-DE44-49DA-B2B9-D656417EBA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6" name="Picture 31">
          <a:extLst>
            <a:ext uri="{FF2B5EF4-FFF2-40B4-BE49-F238E27FC236}">
              <a16:creationId xmlns:a16="http://schemas.microsoft.com/office/drawing/2014/main" id="{9DF020AF-1DC7-4A6D-A22A-E422DF37E0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7" name="Picture 31">
          <a:extLst>
            <a:ext uri="{FF2B5EF4-FFF2-40B4-BE49-F238E27FC236}">
              <a16:creationId xmlns:a16="http://schemas.microsoft.com/office/drawing/2014/main" id="{02EE35E9-DF69-4BAB-90BA-FF912C8E49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8" name="Picture 31">
          <a:extLst>
            <a:ext uri="{FF2B5EF4-FFF2-40B4-BE49-F238E27FC236}">
              <a16:creationId xmlns:a16="http://schemas.microsoft.com/office/drawing/2014/main" id="{C613A4E2-35B4-487C-B93B-A7D7E5ED8B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09" name="Picture 31">
          <a:extLst>
            <a:ext uri="{FF2B5EF4-FFF2-40B4-BE49-F238E27FC236}">
              <a16:creationId xmlns:a16="http://schemas.microsoft.com/office/drawing/2014/main" id="{BD2C7273-CE6E-4B74-B574-C42D393168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0" name="Picture 31">
          <a:extLst>
            <a:ext uri="{FF2B5EF4-FFF2-40B4-BE49-F238E27FC236}">
              <a16:creationId xmlns:a16="http://schemas.microsoft.com/office/drawing/2014/main" id="{C57D5C6C-07F1-4C72-9DDF-227F858B6B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1" name="Picture 31">
          <a:extLst>
            <a:ext uri="{FF2B5EF4-FFF2-40B4-BE49-F238E27FC236}">
              <a16:creationId xmlns:a16="http://schemas.microsoft.com/office/drawing/2014/main" id="{2ED8BADE-AEA4-4417-A588-AC7D58E59C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2" name="Picture 31">
          <a:extLst>
            <a:ext uri="{FF2B5EF4-FFF2-40B4-BE49-F238E27FC236}">
              <a16:creationId xmlns:a16="http://schemas.microsoft.com/office/drawing/2014/main" id="{D9DAB208-751F-4646-A088-0AC719B2F0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3" name="Picture 31">
          <a:extLst>
            <a:ext uri="{FF2B5EF4-FFF2-40B4-BE49-F238E27FC236}">
              <a16:creationId xmlns:a16="http://schemas.microsoft.com/office/drawing/2014/main" id="{4C18DD1D-B655-4504-B865-B7B61BBE3F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4" name="Picture 31">
          <a:extLst>
            <a:ext uri="{FF2B5EF4-FFF2-40B4-BE49-F238E27FC236}">
              <a16:creationId xmlns:a16="http://schemas.microsoft.com/office/drawing/2014/main" id="{7F11A636-3DA8-4536-B779-E081A50781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5" name="Picture 31">
          <a:extLst>
            <a:ext uri="{FF2B5EF4-FFF2-40B4-BE49-F238E27FC236}">
              <a16:creationId xmlns:a16="http://schemas.microsoft.com/office/drawing/2014/main" id="{F64A652C-E927-408C-80D3-B0AC6077A5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6" name="Picture 31">
          <a:extLst>
            <a:ext uri="{FF2B5EF4-FFF2-40B4-BE49-F238E27FC236}">
              <a16:creationId xmlns:a16="http://schemas.microsoft.com/office/drawing/2014/main" id="{FED24B26-E62E-4AC3-A1D6-E792194FEB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7" name="Picture 31">
          <a:extLst>
            <a:ext uri="{FF2B5EF4-FFF2-40B4-BE49-F238E27FC236}">
              <a16:creationId xmlns:a16="http://schemas.microsoft.com/office/drawing/2014/main" id="{47986AF4-0931-4A28-AB45-00E171FA79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8" name="Picture 31">
          <a:extLst>
            <a:ext uri="{FF2B5EF4-FFF2-40B4-BE49-F238E27FC236}">
              <a16:creationId xmlns:a16="http://schemas.microsoft.com/office/drawing/2014/main" id="{ED319BE7-AB3A-40A9-8E37-92DBAB05BF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19" name="Picture 31">
          <a:extLst>
            <a:ext uri="{FF2B5EF4-FFF2-40B4-BE49-F238E27FC236}">
              <a16:creationId xmlns:a16="http://schemas.microsoft.com/office/drawing/2014/main" id="{4FB645D1-11F4-41E7-8757-6AEB58A5D7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0" name="Picture 31">
          <a:extLst>
            <a:ext uri="{FF2B5EF4-FFF2-40B4-BE49-F238E27FC236}">
              <a16:creationId xmlns:a16="http://schemas.microsoft.com/office/drawing/2014/main" id="{977753F0-D45C-4834-8B19-3D0F1BC2C9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1" name="Picture 31">
          <a:extLst>
            <a:ext uri="{FF2B5EF4-FFF2-40B4-BE49-F238E27FC236}">
              <a16:creationId xmlns:a16="http://schemas.microsoft.com/office/drawing/2014/main" id="{AD84A9C9-0222-4F4B-8405-B36C99FC59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2" name="Picture 31">
          <a:extLst>
            <a:ext uri="{FF2B5EF4-FFF2-40B4-BE49-F238E27FC236}">
              <a16:creationId xmlns:a16="http://schemas.microsoft.com/office/drawing/2014/main" id="{5C33F312-A997-4DDD-868B-52806FEF90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3" name="Picture 31">
          <a:extLst>
            <a:ext uri="{FF2B5EF4-FFF2-40B4-BE49-F238E27FC236}">
              <a16:creationId xmlns:a16="http://schemas.microsoft.com/office/drawing/2014/main" id="{86642D1A-C169-49BC-98AF-FE0EAE06B3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4" name="Picture 31">
          <a:extLst>
            <a:ext uri="{FF2B5EF4-FFF2-40B4-BE49-F238E27FC236}">
              <a16:creationId xmlns:a16="http://schemas.microsoft.com/office/drawing/2014/main" id="{53C2D9B5-102A-45DE-9EBF-B59AAD2D9C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5" name="Picture 31">
          <a:extLst>
            <a:ext uri="{FF2B5EF4-FFF2-40B4-BE49-F238E27FC236}">
              <a16:creationId xmlns:a16="http://schemas.microsoft.com/office/drawing/2014/main" id="{61696DBE-F3B8-4AF8-A612-C3C03F69CD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6" name="Picture 31">
          <a:extLst>
            <a:ext uri="{FF2B5EF4-FFF2-40B4-BE49-F238E27FC236}">
              <a16:creationId xmlns:a16="http://schemas.microsoft.com/office/drawing/2014/main" id="{A4AFFAD0-B8FA-4AE3-A85F-7C086C1AE3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7" name="Picture 31">
          <a:extLst>
            <a:ext uri="{FF2B5EF4-FFF2-40B4-BE49-F238E27FC236}">
              <a16:creationId xmlns:a16="http://schemas.microsoft.com/office/drawing/2014/main" id="{E8DB1708-72B0-4A08-A7EE-4678200A48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8" name="Picture 31">
          <a:extLst>
            <a:ext uri="{FF2B5EF4-FFF2-40B4-BE49-F238E27FC236}">
              <a16:creationId xmlns:a16="http://schemas.microsoft.com/office/drawing/2014/main" id="{AF4B24CE-B86E-46A6-87FF-425C9CA402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29" name="Picture 31">
          <a:extLst>
            <a:ext uri="{FF2B5EF4-FFF2-40B4-BE49-F238E27FC236}">
              <a16:creationId xmlns:a16="http://schemas.microsoft.com/office/drawing/2014/main" id="{BA31D087-E7A1-4E23-B40D-1DDE3E3AF1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0" name="Picture 31">
          <a:extLst>
            <a:ext uri="{FF2B5EF4-FFF2-40B4-BE49-F238E27FC236}">
              <a16:creationId xmlns:a16="http://schemas.microsoft.com/office/drawing/2014/main" id="{420F0279-FB85-49C8-B678-CC58F05A17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1" name="Picture 31">
          <a:extLst>
            <a:ext uri="{FF2B5EF4-FFF2-40B4-BE49-F238E27FC236}">
              <a16:creationId xmlns:a16="http://schemas.microsoft.com/office/drawing/2014/main" id="{F2A0BE06-6186-4277-BEC5-957CE17A4E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2" name="Picture 31">
          <a:extLst>
            <a:ext uri="{FF2B5EF4-FFF2-40B4-BE49-F238E27FC236}">
              <a16:creationId xmlns:a16="http://schemas.microsoft.com/office/drawing/2014/main" id="{D35F147E-9983-4BE3-9702-34A03813EC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3" name="Picture 31">
          <a:extLst>
            <a:ext uri="{FF2B5EF4-FFF2-40B4-BE49-F238E27FC236}">
              <a16:creationId xmlns:a16="http://schemas.microsoft.com/office/drawing/2014/main" id="{54BD01E8-AC25-41AB-B04D-AB505E468E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4" name="Picture 31">
          <a:extLst>
            <a:ext uri="{FF2B5EF4-FFF2-40B4-BE49-F238E27FC236}">
              <a16:creationId xmlns:a16="http://schemas.microsoft.com/office/drawing/2014/main" id="{D0B62108-A039-4DB7-80C0-32FD5717A8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5" name="Picture 31">
          <a:extLst>
            <a:ext uri="{FF2B5EF4-FFF2-40B4-BE49-F238E27FC236}">
              <a16:creationId xmlns:a16="http://schemas.microsoft.com/office/drawing/2014/main" id="{D4F2DEF9-ED63-4EB4-A8D8-3E14BD37C9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6" name="Picture 31">
          <a:extLst>
            <a:ext uri="{FF2B5EF4-FFF2-40B4-BE49-F238E27FC236}">
              <a16:creationId xmlns:a16="http://schemas.microsoft.com/office/drawing/2014/main" id="{FF8C70B3-3BFA-44CD-A643-3C58B61909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7" name="Picture 31">
          <a:extLst>
            <a:ext uri="{FF2B5EF4-FFF2-40B4-BE49-F238E27FC236}">
              <a16:creationId xmlns:a16="http://schemas.microsoft.com/office/drawing/2014/main" id="{6A153E60-9D43-4CB2-AC76-ADB8B13BE1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8" name="Picture 31">
          <a:extLst>
            <a:ext uri="{FF2B5EF4-FFF2-40B4-BE49-F238E27FC236}">
              <a16:creationId xmlns:a16="http://schemas.microsoft.com/office/drawing/2014/main" id="{A2A6D45F-C197-405A-9FDF-3F5ED3D9BE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39" name="Picture 31">
          <a:extLst>
            <a:ext uri="{FF2B5EF4-FFF2-40B4-BE49-F238E27FC236}">
              <a16:creationId xmlns:a16="http://schemas.microsoft.com/office/drawing/2014/main" id="{A68F7DE8-DD03-44F7-949E-6AAE6E2AF2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0" name="Picture 31">
          <a:extLst>
            <a:ext uri="{FF2B5EF4-FFF2-40B4-BE49-F238E27FC236}">
              <a16:creationId xmlns:a16="http://schemas.microsoft.com/office/drawing/2014/main" id="{A3253954-C8E7-487E-862E-CBA93714C6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1" name="Picture 31">
          <a:extLst>
            <a:ext uri="{FF2B5EF4-FFF2-40B4-BE49-F238E27FC236}">
              <a16:creationId xmlns:a16="http://schemas.microsoft.com/office/drawing/2014/main" id="{1A5403C4-D17E-4512-8B2C-7891DF7078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2" name="Picture 31">
          <a:extLst>
            <a:ext uri="{FF2B5EF4-FFF2-40B4-BE49-F238E27FC236}">
              <a16:creationId xmlns:a16="http://schemas.microsoft.com/office/drawing/2014/main" id="{FC2DDE78-30F4-46DD-8A45-A42AAF2E1D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3" name="Picture 31">
          <a:extLst>
            <a:ext uri="{FF2B5EF4-FFF2-40B4-BE49-F238E27FC236}">
              <a16:creationId xmlns:a16="http://schemas.microsoft.com/office/drawing/2014/main" id="{3154F36B-AC2C-4E54-9F61-9C4CC56EB1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4" name="Picture 31">
          <a:extLst>
            <a:ext uri="{FF2B5EF4-FFF2-40B4-BE49-F238E27FC236}">
              <a16:creationId xmlns:a16="http://schemas.microsoft.com/office/drawing/2014/main" id="{E36CDA02-AB36-4A20-96CC-7A271CAD21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5" name="Picture 31">
          <a:extLst>
            <a:ext uri="{FF2B5EF4-FFF2-40B4-BE49-F238E27FC236}">
              <a16:creationId xmlns:a16="http://schemas.microsoft.com/office/drawing/2014/main" id="{91EA4E02-2F0A-41D9-BB33-26D43DD11F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6" name="Picture 31">
          <a:extLst>
            <a:ext uri="{FF2B5EF4-FFF2-40B4-BE49-F238E27FC236}">
              <a16:creationId xmlns:a16="http://schemas.microsoft.com/office/drawing/2014/main" id="{B51CB168-E453-4DF9-8D78-A57F19AAED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7" name="Picture 31">
          <a:extLst>
            <a:ext uri="{FF2B5EF4-FFF2-40B4-BE49-F238E27FC236}">
              <a16:creationId xmlns:a16="http://schemas.microsoft.com/office/drawing/2014/main" id="{776F4658-F5E5-4B8D-92C4-0D37B0BF04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8" name="Picture 31">
          <a:extLst>
            <a:ext uri="{FF2B5EF4-FFF2-40B4-BE49-F238E27FC236}">
              <a16:creationId xmlns:a16="http://schemas.microsoft.com/office/drawing/2014/main" id="{23E7F0C0-3C37-49BC-B300-05231DB2EC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49" name="Picture 31">
          <a:extLst>
            <a:ext uri="{FF2B5EF4-FFF2-40B4-BE49-F238E27FC236}">
              <a16:creationId xmlns:a16="http://schemas.microsoft.com/office/drawing/2014/main" id="{29563CC6-17A4-4FE1-8B89-B8CA51D663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0" name="Picture 31">
          <a:extLst>
            <a:ext uri="{FF2B5EF4-FFF2-40B4-BE49-F238E27FC236}">
              <a16:creationId xmlns:a16="http://schemas.microsoft.com/office/drawing/2014/main" id="{78C2E584-E03F-4537-9685-6285DD2482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1" name="Picture 31">
          <a:extLst>
            <a:ext uri="{FF2B5EF4-FFF2-40B4-BE49-F238E27FC236}">
              <a16:creationId xmlns:a16="http://schemas.microsoft.com/office/drawing/2014/main" id="{AF923BB3-72B8-4F1E-92D3-4EF1E39932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2" name="Picture 31">
          <a:extLst>
            <a:ext uri="{FF2B5EF4-FFF2-40B4-BE49-F238E27FC236}">
              <a16:creationId xmlns:a16="http://schemas.microsoft.com/office/drawing/2014/main" id="{888C081D-7AAE-4ECF-BAF5-DE1C80E14D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3" name="Picture 31">
          <a:extLst>
            <a:ext uri="{FF2B5EF4-FFF2-40B4-BE49-F238E27FC236}">
              <a16:creationId xmlns:a16="http://schemas.microsoft.com/office/drawing/2014/main" id="{7F4B4327-1EF7-4479-826C-CDB80A6EF1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4" name="Picture 31">
          <a:extLst>
            <a:ext uri="{FF2B5EF4-FFF2-40B4-BE49-F238E27FC236}">
              <a16:creationId xmlns:a16="http://schemas.microsoft.com/office/drawing/2014/main" id="{13FA4019-0BEA-4FF7-B452-8040904039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5" name="Picture 31">
          <a:extLst>
            <a:ext uri="{FF2B5EF4-FFF2-40B4-BE49-F238E27FC236}">
              <a16:creationId xmlns:a16="http://schemas.microsoft.com/office/drawing/2014/main" id="{79600B9A-E9E9-445F-8C8C-D8CB9CE779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6" name="Picture 31">
          <a:extLst>
            <a:ext uri="{FF2B5EF4-FFF2-40B4-BE49-F238E27FC236}">
              <a16:creationId xmlns:a16="http://schemas.microsoft.com/office/drawing/2014/main" id="{8C777676-1AEF-4397-A7BA-3207E2C1DA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7" name="Picture 31">
          <a:extLst>
            <a:ext uri="{FF2B5EF4-FFF2-40B4-BE49-F238E27FC236}">
              <a16:creationId xmlns:a16="http://schemas.microsoft.com/office/drawing/2014/main" id="{C0070A84-AAA2-4056-9D50-8DA026F225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8" name="Picture 31">
          <a:extLst>
            <a:ext uri="{FF2B5EF4-FFF2-40B4-BE49-F238E27FC236}">
              <a16:creationId xmlns:a16="http://schemas.microsoft.com/office/drawing/2014/main" id="{BDB8F863-BBA3-4CE7-B0DB-0EE0281852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59" name="Picture 31">
          <a:extLst>
            <a:ext uri="{FF2B5EF4-FFF2-40B4-BE49-F238E27FC236}">
              <a16:creationId xmlns:a16="http://schemas.microsoft.com/office/drawing/2014/main" id="{AB9B894A-1EBB-4149-9B2B-541A225B9D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0" name="Picture 31">
          <a:extLst>
            <a:ext uri="{FF2B5EF4-FFF2-40B4-BE49-F238E27FC236}">
              <a16:creationId xmlns:a16="http://schemas.microsoft.com/office/drawing/2014/main" id="{B1DE07DC-BBEF-44D1-BF26-40A4FCBA8E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1" name="Picture 31">
          <a:extLst>
            <a:ext uri="{FF2B5EF4-FFF2-40B4-BE49-F238E27FC236}">
              <a16:creationId xmlns:a16="http://schemas.microsoft.com/office/drawing/2014/main" id="{3721DAF3-127B-45AB-B3D6-E0F9408928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2" name="Picture 31">
          <a:extLst>
            <a:ext uri="{FF2B5EF4-FFF2-40B4-BE49-F238E27FC236}">
              <a16:creationId xmlns:a16="http://schemas.microsoft.com/office/drawing/2014/main" id="{24C20C42-32B6-4769-8996-C0797FB7DA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3" name="Picture 31">
          <a:extLst>
            <a:ext uri="{FF2B5EF4-FFF2-40B4-BE49-F238E27FC236}">
              <a16:creationId xmlns:a16="http://schemas.microsoft.com/office/drawing/2014/main" id="{276C8884-7267-4708-9D16-BA18CE24F2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4" name="Picture 31">
          <a:extLst>
            <a:ext uri="{FF2B5EF4-FFF2-40B4-BE49-F238E27FC236}">
              <a16:creationId xmlns:a16="http://schemas.microsoft.com/office/drawing/2014/main" id="{1F1E0E7D-3EFC-4142-820D-42D6F57013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5" name="Picture 31">
          <a:extLst>
            <a:ext uri="{FF2B5EF4-FFF2-40B4-BE49-F238E27FC236}">
              <a16:creationId xmlns:a16="http://schemas.microsoft.com/office/drawing/2014/main" id="{4D953846-6B8C-4ECD-872F-EE477037FD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6" name="Picture 31">
          <a:extLst>
            <a:ext uri="{FF2B5EF4-FFF2-40B4-BE49-F238E27FC236}">
              <a16:creationId xmlns:a16="http://schemas.microsoft.com/office/drawing/2014/main" id="{BC2DA56F-8934-4E32-9B77-CB1F6BCE41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7" name="Picture 31">
          <a:extLst>
            <a:ext uri="{FF2B5EF4-FFF2-40B4-BE49-F238E27FC236}">
              <a16:creationId xmlns:a16="http://schemas.microsoft.com/office/drawing/2014/main" id="{0A863B30-EEF3-4F1F-BA47-2133EFCD27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8" name="Picture 31">
          <a:extLst>
            <a:ext uri="{FF2B5EF4-FFF2-40B4-BE49-F238E27FC236}">
              <a16:creationId xmlns:a16="http://schemas.microsoft.com/office/drawing/2014/main" id="{DCE379C8-15E6-4E16-8007-D547BC527F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69" name="Picture 31">
          <a:extLst>
            <a:ext uri="{FF2B5EF4-FFF2-40B4-BE49-F238E27FC236}">
              <a16:creationId xmlns:a16="http://schemas.microsoft.com/office/drawing/2014/main" id="{BD1599BC-ECCC-4E24-B28A-2A5090F440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0" name="Picture 31">
          <a:extLst>
            <a:ext uri="{FF2B5EF4-FFF2-40B4-BE49-F238E27FC236}">
              <a16:creationId xmlns:a16="http://schemas.microsoft.com/office/drawing/2014/main" id="{838B36CB-2511-407A-911F-8F841D4DBE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1" name="Picture 31">
          <a:extLst>
            <a:ext uri="{FF2B5EF4-FFF2-40B4-BE49-F238E27FC236}">
              <a16:creationId xmlns:a16="http://schemas.microsoft.com/office/drawing/2014/main" id="{92650ADF-C5DC-4B32-A889-02E60742C5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2" name="Picture 31">
          <a:extLst>
            <a:ext uri="{FF2B5EF4-FFF2-40B4-BE49-F238E27FC236}">
              <a16:creationId xmlns:a16="http://schemas.microsoft.com/office/drawing/2014/main" id="{BD4B311C-4AF6-4878-94E4-DF31EAFA0E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3" name="Picture 31">
          <a:extLst>
            <a:ext uri="{FF2B5EF4-FFF2-40B4-BE49-F238E27FC236}">
              <a16:creationId xmlns:a16="http://schemas.microsoft.com/office/drawing/2014/main" id="{BCE234BD-3B2F-47E4-9B12-8E38055487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4" name="Picture 31">
          <a:extLst>
            <a:ext uri="{FF2B5EF4-FFF2-40B4-BE49-F238E27FC236}">
              <a16:creationId xmlns:a16="http://schemas.microsoft.com/office/drawing/2014/main" id="{13C16F6F-D6F2-47B7-8040-BE201D17FE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5" name="Picture 31">
          <a:extLst>
            <a:ext uri="{FF2B5EF4-FFF2-40B4-BE49-F238E27FC236}">
              <a16:creationId xmlns:a16="http://schemas.microsoft.com/office/drawing/2014/main" id="{90F5B44E-417E-4AF9-8853-FA93DFD928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6" name="Picture 31">
          <a:extLst>
            <a:ext uri="{FF2B5EF4-FFF2-40B4-BE49-F238E27FC236}">
              <a16:creationId xmlns:a16="http://schemas.microsoft.com/office/drawing/2014/main" id="{49F79035-BBF5-459F-9A4E-4EF5B3EE6A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7" name="Picture 31">
          <a:extLst>
            <a:ext uri="{FF2B5EF4-FFF2-40B4-BE49-F238E27FC236}">
              <a16:creationId xmlns:a16="http://schemas.microsoft.com/office/drawing/2014/main" id="{2B81CE22-6728-4AA1-BEA7-915999C16A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8" name="Picture 31">
          <a:extLst>
            <a:ext uri="{FF2B5EF4-FFF2-40B4-BE49-F238E27FC236}">
              <a16:creationId xmlns:a16="http://schemas.microsoft.com/office/drawing/2014/main" id="{8683F5B3-4B4F-4602-81C4-D8F91F3EED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79" name="Picture 31">
          <a:extLst>
            <a:ext uri="{FF2B5EF4-FFF2-40B4-BE49-F238E27FC236}">
              <a16:creationId xmlns:a16="http://schemas.microsoft.com/office/drawing/2014/main" id="{7E5728BB-9809-4568-8D13-EFF83E5467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0" name="Picture 31">
          <a:extLst>
            <a:ext uri="{FF2B5EF4-FFF2-40B4-BE49-F238E27FC236}">
              <a16:creationId xmlns:a16="http://schemas.microsoft.com/office/drawing/2014/main" id="{1BCED510-A677-46BE-9929-7F0D241212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1" name="Picture 31">
          <a:extLst>
            <a:ext uri="{FF2B5EF4-FFF2-40B4-BE49-F238E27FC236}">
              <a16:creationId xmlns:a16="http://schemas.microsoft.com/office/drawing/2014/main" id="{8F41CAD7-80B4-4F25-A0EF-509B4C451E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2" name="Picture 31">
          <a:extLst>
            <a:ext uri="{FF2B5EF4-FFF2-40B4-BE49-F238E27FC236}">
              <a16:creationId xmlns:a16="http://schemas.microsoft.com/office/drawing/2014/main" id="{8A9CE152-30D6-4C4D-87E5-5F8DAA8B44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3" name="Picture 31">
          <a:extLst>
            <a:ext uri="{FF2B5EF4-FFF2-40B4-BE49-F238E27FC236}">
              <a16:creationId xmlns:a16="http://schemas.microsoft.com/office/drawing/2014/main" id="{299D5F50-B64D-4E86-B023-3E81E80159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4" name="Picture 31">
          <a:extLst>
            <a:ext uri="{FF2B5EF4-FFF2-40B4-BE49-F238E27FC236}">
              <a16:creationId xmlns:a16="http://schemas.microsoft.com/office/drawing/2014/main" id="{CF9193DF-4FF8-4870-B781-E372954925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5" name="Picture 31">
          <a:extLst>
            <a:ext uri="{FF2B5EF4-FFF2-40B4-BE49-F238E27FC236}">
              <a16:creationId xmlns:a16="http://schemas.microsoft.com/office/drawing/2014/main" id="{BD8EA9AC-54B4-46B6-8D5E-32EADC6C6E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6" name="Picture 31">
          <a:extLst>
            <a:ext uri="{FF2B5EF4-FFF2-40B4-BE49-F238E27FC236}">
              <a16:creationId xmlns:a16="http://schemas.microsoft.com/office/drawing/2014/main" id="{A1011F37-2478-45E0-B0F7-B9D39C965D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7" name="Picture 31">
          <a:extLst>
            <a:ext uri="{FF2B5EF4-FFF2-40B4-BE49-F238E27FC236}">
              <a16:creationId xmlns:a16="http://schemas.microsoft.com/office/drawing/2014/main" id="{58512E80-94AF-404B-AA81-76D9C1AB45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8" name="Picture 31">
          <a:extLst>
            <a:ext uri="{FF2B5EF4-FFF2-40B4-BE49-F238E27FC236}">
              <a16:creationId xmlns:a16="http://schemas.microsoft.com/office/drawing/2014/main" id="{AE0B00D9-4801-4285-AFDD-84725E60FC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89" name="Picture 31">
          <a:extLst>
            <a:ext uri="{FF2B5EF4-FFF2-40B4-BE49-F238E27FC236}">
              <a16:creationId xmlns:a16="http://schemas.microsoft.com/office/drawing/2014/main" id="{14765F97-C0C1-44F5-B6AC-833F8855B6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0" name="Picture 31">
          <a:extLst>
            <a:ext uri="{FF2B5EF4-FFF2-40B4-BE49-F238E27FC236}">
              <a16:creationId xmlns:a16="http://schemas.microsoft.com/office/drawing/2014/main" id="{E303E57C-0085-4E18-97A2-C862FA26AB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1" name="Picture 31">
          <a:extLst>
            <a:ext uri="{FF2B5EF4-FFF2-40B4-BE49-F238E27FC236}">
              <a16:creationId xmlns:a16="http://schemas.microsoft.com/office/drawing/2014/main" id="{7A088944-BAAA-40B2-A0E1-5161FADC8A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2" name="Picture 31">
          <a:extLst>
            <a:ext uri="{FF2B5EF4-FFF2-40B4-BE49-F238E27FC236}">
              <a16:creationId xmlns:a16="http://schemas.microsoft.com/office/drawing/2014/main" id="{632A6049-F516-4EFD-902B-EFE014BC1C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3" name="Picture 31">
          <a:extLst>
            <a:ext uri="{FF2B5EF4-FFF2-40B4-BE49-F238E27FC236}">
              <a16:creationId xmlns:a16="http://schemas.microsoft.com/office/drawing/2014/main" id="{02C62D4A-877C-4596-ADF2-F9F604485C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4" name="Picture 31">
          <a:extLst>
            <a:ext uri="{FF2B5EF4-FFF2-40B4-BE49-F238E27FC236}">
              <a16:creationId xmlns:a16="http://schemas.microsoft.com/office/drawing/2014/main" id="{1863B667-7185-42AB-825F-0B7101B1D9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5" name="Picture 31">
          <a:extLst>
            <a:ext uri="{FF2B5EF4-FFF2-40B4-BE49-F238E27FC236}">
              <a16:creationId xmlns:a16="http://schemas.microsoft.com/office/drawing/2014/main" id="{32D1E15A-B74D-4433-A2C8-BBFFE5F55B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6" name="Picture 31">
          <a:extLst>
            <a:ext uri="{FF2B5EF4-FFF2-40B4-BE49-F238E27FC236}">
              <a16:creationId xmlns:a16="http://schemas.microsoft.com/office/drawing/2014/main" id="{4EFFD841-0562-4A3C-889A-4A06A0A24E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7" name="Picture 31">
          <a:extLst>
            <a:ext uri="{FF2B5EF4-FFF2-40B4-BE49-F238E27FC236}">
              <a16:creationId xmlns:a16="http://schemas.microsoft.com/office/drawing/2014/main" id="{5B9D8F36-FD58-458C-BF55-3D8808970A8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8" name="Picture 31">
          <a:extLst>
            <a:ext uri="{FF2B5EF4-FFF2-40B4-BE49-F238E27FC236}">
              <a16:creationId xmlns:a16="http://schemas.microsoft.com/office/drawing/2014/main" id="{C19870B2-BFF6-4BAA-ACB7-1E2A6C20D8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599" name="Picture 31">
          <a:extLst>
            <a:ext uri="{FF2B5EF4-FFF2-40B4-BE49-F238E27FC236}">
              <a16:creationId xmlns:a16="http://schemas.microsoft.com/office/drawing/2014/main" id="{3AD0013B-3ACE-4D6E-ABD8-3D7A26C79B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0" name="Picture 31">
          <a:extLst>
            <a:ext uri="{FF2B5EF4-FFF2-40B4-BE49-F238E27FC236}">
              <a16:creationId xmlns:a16="http://schemas.microsoft.com/office/drawing/2014/main" id="{D84324B1-FD6B-481D-8BFE-5940C6DC32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1" name="Picture 31">
          <a:extLst>
            <a:ext uri="{FF2B5EF4-FFF2-40B4-BE49-F238E27FC236}">
              <a16:creationId xmlns:a16="http://schemas.microsoft.com/office/drawing/2014/main" id="{F76AB483-26B9-44AE-9C32-C43308F698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2" name="Picture 31">
          <a:extLst>
            <a:ext uri="{FF2B5EF4-FFF2-40B4-BE49-F238E27FC236}">
              <a16:creationId xmlns:a16="http://schemas.microsoft.com/office/drawing/2014/main" id="{42BC6F96-1CAA-48F6-AACC-17B6FB2424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3" name="Picture 31">
          <a:extLst>
            <a:ext uri="{FF2B5EF4-FFF2-40B4-BE49-F238E27FC236}">
              <a16:creationId xmlns:a16="http://schemas.microsoft.com/office/drawing/2014/main" id="{0BED990D-64A4-4BCA-BBF3-23FC1070FE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4" name="Picture 31">
          <a:extLst>
            <a:ext uri="{FF2B5EF4-FFF2-40B4-BE49-F238E27FC236}">
              <a16:creationId xmlns:a16="http://schemas.microsoft.com/office/drawing/2014/main" id="{1692F21E-F80C-4A14-BB02-68AAD395AA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5" name="Picture 31">
          <a:extLst>
            <a:ext uri="{FF2B5EF4-FFF2-40B4-BE49-F238E27FC236}">
              <a16:creationId xmlns:a16="http://schemas.microsoft.com/office/drawing/2014/main" id="{E5DA8058-B4CE-47BD-AE88-1A022DDEC2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6" name="Picture 31">
          <a:extLst>
            <a:ext uri="{FF2B5EF4-FFF2-40B4-BE49-F238E27FC236}">
              <a16:creationId xmlns:a16="http://schemas.microsoft.com/office/drawing/2014/main" id="{2CFEB6DE-3BD5-40E6-8EE6-B96C33473B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7" name="Picture 31">
          <a:extLst>
            <a:ext uri="{FF2B5EF4-FFF2-40B4-BE49-F238E27FC236}">
              <a16:creationId xmlns:a16="http://schemas.microsoft.com/office/drawing/2014/main" id="{FC4EB3E4-A2D2-4385-8148-3EB988F81E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8" name="Picture 31">
          <a:extLst>
            <a:ext uri="{FF2B5EF4-FFF2-40B4-BE49-F238E27FC236}">
              <a16:creationId xmlns:a16="http://schemas.microsoft.com/office/drawing/2014/main" id="{51D729A4-F103-468B-837F-A4305090E9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09" name="Picture 31">
          <a:extLst>
            <a:ext uri="{FF2B5EF4-FFF2-40B4-BE49-F238E27FC236}">
              <a16:creationId xmlns:a16="http://schemas.microsoft.com/office/drawing/2014/main" id="{B5B7CF37-7E45-4E89-BC23-9B21FA75DA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0" name="Picture 31">
          <a:extLst>
            <a:ext uri="{FF2B5EF4-FFF2-40B4-BE49-F238E27FC236}">
              <a16:creationId xmlns:a16="http://schemas.microsoft.com/office/drawing/2014/main" id="{7A2E110E-FC7D-477E-9913-A95F017A95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1" name="Picture 31">
          <a:extLst>
            <a:ext uri="{FF2B5EF4-FFF2-40B4-BE49-F238E27FC236}">
              <a16:creationId xmlns:a16="http://schemas.microsoft.com/office/drawing/2014/main" id="{6A0B6217-6F2A-4A3E-B5E4-4AD0B9A81B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2" name="Picture 31">
          <a:extLst>
            <a:ext uri="{FF2B5EF4-FFF2-40B4-BE49-F238E27FC236}">
              <a16:creationId xmlns:a16="http://schemas.microsoft.com/office/drawing/2014/main" id="{4F39C8FF-CFD1-4B32-80C3-7487D1B6AE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3" name="Picture 31">
          <a:extLst>
            <a:ext uri="{FF2B5EF4-FFF2-40B4-BE49-F238E27FC236}">
              <a16:creationId xmlns:a16="http://schemas.microsoft.com/office/drawing/2014/main" id="{D95DDACE-F69E-4675-BB9C-1E072DA370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4" name="Picture 31">
          <a:extLst>
            <a:ext uri="{FF2B5EF4-FFF2-40B4-BE49-F238E27FC236}">
              <a16:creationId xmlns:a16="http://schemas.microsoft.com/office/drawing/2014/main" id="{EF512ADF-2441-4C00-A642-DA19D6B560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5" name="Picture 31">
          <a:extLst>
            <a:ext uri="{FF2B5EF4-FFF2-40B4-BE49-F238E27FC236}">
              <a16:creationId xmlns:a16="http://schemas.microsoft.com/office/drawing/2014/main" id="{EA9CE62B-0FE2-412B-BF40-7AA5688938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6" name="Picture 31">
          <a:extLst>
            <a:ext uri="{FF2B5EF4-FFF2-40B4-BE49-F238E27FC236}">
              <a16:creationId xmlns:a16="http://schemas.microsoft.com/office/drawing/2014/main" id="{E1A143EB-A83C-4D0A-884B-293E3D2CDB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7" name="Picture 31">
          <a:extLst>
            <a:ext uri="{FF2B5EF4-FFF2-40B4-BE49-F238E27FC236}">
              <a16:creationId xmlns:a16="http://schemas.microsoft.com/office/drawing/2014/main" id="{AED98663-E96E-4694-A794-1D7A99BCCF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8" name="Picture 31">
          <a:extLst>
            <a:ext uri="{FF2B5EF4-FFF2-40B4-BE49-F238E27FC236}">
              <a16:creationId xmlns:a16="http://schemas.microsoft.com/office/drawing/2014/main" id="{7989F3C0-EC91-47C2-978A-642D64D9E8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19" name="Picture 31">
          <a:extLst>
            <a:ext uri="{FF2B5EF4-FFF2-40B4-BE49-F238E27FC236}">
              <a16:creationId xmlns:a16="http://schemas.microsoft.com/office/drawing/2014/main" id="{754D0F43-6580-4DCB-AE3E-86DB763A42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0" name="Picture 31">
          <a:extLst>
            <a:ext uri="{FF2B5EF4-FFF2-40B4-BE49-F238E27FC236}">
              <a16:creationId xmlns:a16="http://schemas.microsoft.com/office/drawing/2014/main" id="{F66BEC7C-BBC7-4031-91BA-D2EC9A13A9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1" name="Picture 31">
          <a:extLst>
            <a:ext uri="{FF2B5EF4-FFF2-40B4-BE49-F238E27FC236}">
              <a16:creationId xmlns:a16="http://schemas.microsoft.com/office/drawing/2014/main" id="{0991D1AF-CE60-44D2-BB49-67FF6948C0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2" name="Picture 31">
          <a:extLst>
            <a:ext uri="{FF2B5EF4-FFF2-40B4-BE49-F238E27FC236}">
              <a16:creationId xmlns:a16="http://schemas.microsoft.com/office/drawing/2014/main" id="{213FF6AB-44B2-4DEA-8C9F-FC3A644942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3" name="Picture 31">
          <a:extLst>
            <a:ext uri="{FF2B5EF4-FFF2-40B4-BE49-F238E27FC236}">
              <a16:creationId xmlns:a16="http://schemas.microsoft.com/office/drawing/2014/main" id="{A18EC487-5407-4CF7-A5D3-9923ADA912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4" name="Picture 31">
          <a:extLst>
            <a:ext uri="{FF2B5EF4-FFF2-40B4-BE49-F238E27FC236}">
              <a16:creationId xmlns:a16="http://schemas.microsoft.com/office/drawing/2014/main" id="{525ABD25-92A5-4368-B8E2-0568F0DF2B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5" name="Picture 31">
          <a:extLst>
            <a:ext uri="{FF2B5EF4-FFF2-40B4-BE49-F238E27FC236}">
              <a16:creationId xmlns:a16="http://schemas.microsoft.com/office/drawing/2014/main" id="{44D3137C-0DAD-4D5E-B110-6BE3A9FE20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6" name="Picture 31">
          <a:extLst>
            <a:ext uri="{FF2B5EF4-FFF2-40B4-BE49-F238E27FC236}">
              <a16:creationId xmlns:a16="http://schemas.microsoft.com/office/drawing/2014/main" id="{1F9E9633-82C3-4B0F-8BD1-AA8C5B5DBD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7" name="Picture 31">
          <a:extLst>
            <a:ext uri="{FF2B5EF4-FFF2-40B4-BE49-F238E27FC236}">
              <a16:creationId xmlns:a16="http://schemas.microsoft.com/office/drawing/2014/main" id="{1E908092-AD8C-4167-995C-1768FFE74C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8" name="Picture 31">
          <a:extLst>
            <a:ext uri="{FF2B5EF4-FFF2-40B4-BE49-F238E27FC236}">
              <a16:creationId xmlns:a16="http://schemas.microsoft.com/office/drawing/2014/main" id="{A67D12DA-83F8-496F-B53A-7A1415BE38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29" name="Picture 31">
          <a:extLst>
            <a:ext uri="{FF2B5EF4-FFF2-40B4-BE49-F238E27FC236}">
              <a16:creationId xmlns:a16="http://schemas.microsoft.com/office/drawing/2014/main" id="{536B97CB-2E6D-4E30-9CD9-FC167853CA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0" name="Picture 31">
          <a:extLst>
            <a:ext uri="{FF2B5EF4-FFF2-40B4-BE49-F238E27FC236}">
              <a16:creationId xmlns:a16="http://schemas.microsoft.com/office/drawing/2014/main" id="{BA107AA6-53C7-4278-99CA-726C03164C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1" name="Picture 31">
          <a:extLst>
            <a:ext uri="{FF2B5EF4-FFF2-40B4-BE49-F238E27FC236}">
              <a16:creationId xmlns:a16="http://schemas.microsoft.com/office/drawing/2014/main" id="{4292C0ED-AF4E-49BD-BE95-7498F09963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2" name="Picture 31">
          <a:extLst>
            <a:ext uri="{FF2B5EF4-FFF2-40B4-BE49-F238E27FC236}">
              <a16:creationId xmlns:a16="http://schemas.microsoft.com/office/drawing/2014/main" id="{37CEB650-55A7-494A-8FA8-6AEA9255B4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3" name="Picture 31">
          <a:extLst>
            <a:ext uri="{FF2B5EF4-FFF2-40B4-BE49-F238E27FC236}">
              <a16:creationId xmlns:a16="http://schemas.microsoft.com/office/drawing/2014/main" id="{C10E2EE2-1482-49CE-9513-1D376F36B5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4" name="Picture 31">
          <a:extLst>
            <a:ext uri="{FF2B5EF4-FFF2-40B4-BE49-F238E27FC236}">
              <a16:creationId xmlns:a16="http://schemas.microsoft.com/office/drawing/2014/main" id="{179F015A-5BBF-4EAC-9175-A5029FC440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5" name="Picture 31">
          <a:extLst>
            <a:ext uri="{FF2B5EF4-FFF2-40B4-BE49-F238E27FC236}">
              <a16:creationId xmlns:a16="http://schemas.microsoft.com/office/drawing/2014/main" id="{A17D3A38-AD94-4B81-B15B-26B1410300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6" name="Picture 31">
          <a:extLst>
            <a:ext uri="{FF2B5EF4-FFF2-40B4-BE49-F238E27FC236}">
              <a16:creationId xmlns:a16="http://schemas.microsoft.com/office/drawing/2014/main" id="{3A15820A-E2A6-402F-AB87-2255BAB66B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7" name="Picture 31">
          <a:extLst>
            <a:ext uri="{FF2B5EF4-FFF2-40B4-BE49-F238E27FC236}">
              <a16:creationId xmlns:a16="http://schemas.microsoft.com/office/drawing/2014/main" id="{2A24A79A-05A6-417E-A713-C71BAC2C9A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8" name="Picture 31">
          <a:extLst>
            <a:ext uri="{FF2B5EF4-FFF2-40B4-BE49-F238E27FC236}">
              <a16:creationId xmlns:a16="http://schemas.microsoft.com/office/drawing/2014/main" id="{B88B3A47-D85C-4F36-AB1B-F1A116A202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39" name="Picture 31">
          <a:extLst>
            <a:ext uri="{FF2B5EF4-FFF2-40B4-BE49-F238E27FC236}">
              <a16:creationId xmlns:a16="http://schemas.microsoft.com/office/drawing/2014/main" id="{0B9AF65B-011F-410B-BFA8-58481A5A29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0" name="Picture 31">
          <a:extLst>
            <a:ext uri="{FF2B5EF4-FFF2-40B4-BE49-F238E27FC236}">
              <a16:creationId xmlns:a16="http://schemas.microsoft.com/office/drawing/2014/main" id="{EC327022-2415-414A-A418-4E5AB00768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1" name="Picture 31">
          <a:extLst>
            <a:ext uri="{FF2B5EF4-FFF2-40B4-BE49-F238E27FC236}">
              <a16:creationId xmlns:a16="http://schemas.microsoft.com/office/drawing/2014/main" id="{0E8C9903-59C7-4304-9146-B00E6B8599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2" name="Picture 31">
          <a:extLst>
            <a:ext uri="{FF2B5EF4-FFF2-40B4-BE49-F238E27FC236}">
              <a16:creationId xmlns:a16="http://schemas.microsoft.com/office/drawing/2014/main" id="{04FA382B-25FC-4F85-B24C-CC4308BBB5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3" name="Picture 31">
          <a:extLst>
            <a:ext uri="{FF2B5EF4-FFF2-40B4-BE49-F238E27FC236}">
              <a16:creationId xmlns:a16="http://schemas.microsoft.com/office/drawing/2014/main" id="{982E53E1-DF84-4357-91E8-8E4E88EAB2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4" name="Picture 31">
          <a:extLst>
            <a:ext uri="{FF2B5EF4-FFF2-40B4-BE49-F238E27FC236}">
              <a16:creationId xmlns:a16="http://schemas.microsoft.com/office/drawing/2014/main" id="{A30B60CD-CB8E-41FA-A5A2-C8F3A46312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5" name="Picture 31">
          <a:extLst>
            <a:ext uri="{FF2B5EF4-FFF2-40B4-BE49-F238E27FC236}">
              <a16:creationId xmlns:a16="http://schemas.microsoft.com/office/drawing/2014/main" id="{00F86C1D-DF82-4FCB-A092-5C9B310154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6" name="Picture 31">
          <a:extLst>
            <a:ext uri="{FF2B5EF4-FFF2-40B4-BE49-F238E27FC236}">
              <a16:creationId xmlns:a16="http://schemas.microsoft.com/office/drawing/2014/main" id="{1873BC41-E961-49E7-B7E9-25706F7A0F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7" name="Picture 31">
          <a:extLst>
            <a:ext uri="{FF2B5EF4-FFF2-40B4-BE49-F238E27FC236}">
              <a16:creationId xmlns:a16="http://schemas.microsoft.com/office/drawing/2014/main" id="{1395C359-F9B1-4F9A-A4E9-93D78B6DC3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8" name="Picture 31">
          <a:extLst>
            <a:ext uri="{FF2B5EF4-FFF2-40B4-BE49-F238E27FC236}">
              <a16:creationId xmlns:a16="http://schemas.microsoft.com/office/drawing/2014/main" id="{80C1F317-5615-4E08-8D6E-561FBC9116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49" name="Picture 31">
          <a:extLst>
            <a:ext uri="{FF2B5EF4-FFF2-40B4-BE49-F238E27FC236}">
              <a16:creationId xmlns:a16="http://schemas.microsoft.com/office/drawing/2014/main" id="{83AF18BC-7416-476C-930D-E94F6F5B4B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0" name="Picture 31">
          <a:extLst>
            <a:ext uri="{FF2B5EF4-FFF2-40B4-BE49-F238E27FC236}">
              <a16:creationId xmlns:a16="http://schemas.microsoft.com/office/drawing/2014/main" id="{A83BC3FF-503F-47F6-9164-35B239962C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1" name="Picture 31">
          <a:extLst>
            <a:ext uri="{FF2B5EF4-FFF2-40B4-BE49-F238E27FC236}">
              <a16:creationId xmlns:a16="http://schemas.microsoft.com/office/drawing/2014/main" id="{DBCB5B9A-6E7C-4B46-A79A-22975201A0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2" name="Picture 31">
          <a:extLst>
            <a:ext uri="{FF2B5EF4-FFF2-40B4-BE49-F238E27FC236}">
              <a16:creationId xmlns:a16="http://schemas.microsoft.com/office/drawing/2014/main" id="{C00B4A46-4F2F-41E3-9938-F6B8E23747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3" name="Picture 31">
          <a:extLst>
            <a:ext uri="{FF2B5EF4-FFF2-40B4-BE49-F238E27FC236}">
              <a16:creationId xmlns:a16="http://schemas.microsoft.com/office/drawing/2014/main" id="{88AAA53D-54B7-459D-96C1-0B2B309264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4" name="Picture 31">
          <a:extLst>
            <a:ext uri="{FF2B5EF4-FFF2-40B4-BE49-F238E27FC236}">
              <a16:creationId xmlns:a16="http://schemas.microsoft.com/office/drawing/2014/main" id="{3F70D79E-3924-46BE-A760-497B933790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5" name="Picture 31">
          <a:extLst>
            <a:ext uri="{FF2B5EF4-FFF2-40B4-BE49-F238E27FC236}">
              <a16:creationId xmlns:a16="http://schemas.microsoft.com/office/drawing/2014/main" id="{39020DEF-2A3E-4950-A1C2-6CD63C9A55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6" name="Picture 31">
          <a:extLst>
            <a:ext uri="{FF2B5EF4-FFF2-40B4-BE49-F238E27FC236}">
              <a16:creationId xmlns:a16="http://schemas.microsoft.com/office/drawing/2014/main" id="{51DE62DF-2085-4A06-8CAE-D731C7D51A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7" name="Picture 31">
          <a:extLst>
            <a:ext uri="{FF2B5EF4-FFF2-40B4-BE49-F238E27FC236}">
              <a16:creationId xmlns:a16="http://schemas.microsoft.com/office/drawing/2014/main" id="{37D04322-84AC-4704-91ED-0F605E3292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8" name="Picture 31">
          <a:extLst>
            <a:ext uri="{FF2B5EF4-FFF2-40B4-BE49-F238E27FC236}">
              <a16:creationId xmlns:a16="http://schemas.microsoft.com/office/drawing/2014/main" id="{5EABC11B-AAB0-4B44-B8D5-AC8C311613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59" name="Picture 31">
          <a:extLst>
            <a:ext uri="{FF2B5EF4-FFF2-40B4-BE49-F238E27FC236}">
              <a16:creationId xmlns:a16="http://schemas.microsoft.com/office/drawing/2014/main" id="{E3D5EDAE-E2A0-483C-BBBA-F814B5901A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0" name="Picture 31">
          <a:extLst>
            <a:ext uri="{FF2B5EF4-FFF2-40B4-BE49-F238E27FC236}">
              <a16:creationId xmlns:a16="http://schemas.microsoft.com/office/drawing/2014/main" id="{F2A96FFF-3399-48CE-A8AD-51D51EF9CB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1" name="Picture 31">
          <a:extLst>
            <a:ext uri="{FF2B5EF4-FFF2-40B4-BE49-F238E27FC236}">
              <a16:creationId xmlns:a16="http://schemas.microsoft.com/office/drawing/2014/main" id="{C1C5B955-7F05-43E4-8985-6AE06DB23C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2" name="Picture 31">
          <a:extLst>
            <a:ext uri="{FF2B5EF4-FFF2-40B4-BE49-F238E27FC236}">
              <a16:creationId xmlns:a16="http://schemas.microsoft.com/office/drawing/2014/main" id="{DA0A6DB5-0A7E-485D-B63B-1740424B7A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3" name="Picture 31">
          <a:extLst>
            <a:ext uri="{FF2B5EF4-FFF2-40B4-BE49-F238E27FC236}">
              <a16:creationId xmlns:a16="http://schemas.microsoft.com/office/drawing/2014/main" id="{85D3396F-7853-4D8F-A678-BADF0F0B9F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4" name="Picture 31">
          <a:extLst>
            <a:ext uri="{FF2B5EF4-FFF2-40B4-BE49-F238E27FC236}">
              <a16:creationId xmlns:a16="http://schemas.microsoft.com/office/drawing/2014/main" id="{1A0EEB36-A218-4650-8B53-1467D68D44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5" name="Picture 31">
          <a:extLst>
            <a:ext uri="{FF2B5EF4-FFF2-40B4-BE49-F238E27FC236}">
              <a16:creationId xmlns:a16="http://schemas.microsoft.com/office/drawing/2014/main" id="{A4A2E0A2-DA28-4144-AF6D-59673813F5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6" name="Picture 31">
          <a:extLst>
            <a:ext uri="{FF2B5EF4-FFF2-40B4-BE49-F238E27FC236}">
              <a16:creationId xmlns:a16="http://schemas.microsoft.com/office/drawing/2014/main" id="{06C0E84C-8EF0-4148-AE29-6DAD465059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7" name="Picture 31">
          <a:extLst>
            <a:ext uri="{FF2B5EF4-FFF2-40B4-BE49-F238E27FC236}">
              <a16:creationId xmlns:a16="http://schemas.microsoft.com/office/drawing/2014/main" id="{B864068F-CD20-445F-8609-5980997C4D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8" name="Picture 31">
          <a:extLst>
            <a:ext uri="{FF2B5EF4-FFF2-40B4-BE49-F238E27FC236}">
              <a16:creationId xmlns:a16="http://schemas.microsoft.com/office/drawing/2014/main" id="{F73C4EC3-F8BE-4FBB-8B17-E1EA05473A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69" name="Picture 31">
          <a:extLst>
            <a:ext uri="{FF2B5EF4-FFF2-40B4-BE49-F238E27FC236}">
              <a16:creationId xmlns:a16="http://schemas.microsoft.com/office/drawing/2014/main" id="{DF05D7EF-46CE-4256-B3DC-1CF0336BB7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0" name="Picture 31">
          <a:extLst>
            <a:ext uri="{FF2B5EF4-FFF2-40B4-BE49-F238E27FC236}">
              <a16:creationId xmlns:a16="http://schemas.microsoft.com/office/drawing/2014/main" id="{BFE7A2CE-E4D4-4164-B6EA-B694672294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1" name="Picture 31">
          <a:extLst>
            <a:ext uri="{FF2B5EF4-FFF2-40B4-BE49-F238E27FC236}">
              <a16:creationId xmlns:a16="http://schemas.microsoft.com/office/drawing/2014/main" id="{97F1A65F-AC7E-4420-9E26-A19B356C20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2" name="Picture 31">
          <a:extLst>
            <a:ext uri="{FF2B5EF4-FFF2-40B4-BE49-F238E27FC236}">
              <a16:creationId xmlns:a16="http://schemas.microsoft.com/office/drawing/2014/main" id="{6C266AC4-29DA-49F2-9F11-6F8C955F07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3" name="Picture 31">
          <a:extLst>
            <a:ext uri="{FF2B5EF4-FFF2-40B4-BE49-F238E27FC236}">
              <a16:creationId xmlns:a16="http://schemas.microsoft.com/office/drawing/2014/main" id="{F76C8779-70F2-483A-A555-CA8A094514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4" name="Picture 31">
          <a:extLst>
            <a:ext uri="{FF2B5EF4-FFF2-40B4-BE49-F238E27FC236}">
              <a16:creationId xmlns:a16="http://schemas.microsoft.com/office/drawing/2014/main" id="{5286A44B-5B85-4927-9B50-DFE666FE56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5" name="Picture 31">
          <a:extLst>
            <a:ext uri="{FF2B5EF4-FFF2-40B4-BE49-F238E27FC236}">
              <a16:creationId xmlns:a16="http://schemas.microsoft.com/office/drawing/2014/main" id="{A11E4304-B688-45B0-B003-C6820A0415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6" name="Picture 31">
          <a:extLst>
            <a:ext uri="{FF2B5EF4-FFF2-40B4-BE49-F238E27FC236}">
              <a16:creationId xmlns:a16="http://schemas.microsoft.com/office/drawing/2014/main" id="{FBCD17F2-0C85-4849-A0C1-1A4960F128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7" name="Picture 31">
          <a:extLst>
            <a:ext uri="{FF2B5EF4-FFF2-40B4-BE49-F238E27FC236}">
              <a16:creationId xmlns:a16="http://schemas.microsoft.com/office/drawing/2014/main" id="{42990C43-4321-4BE7-8199-E7FFDA93E4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8" name="Picture 31">
          <a:extLst>
            <a:ext uri="{FF2B5EF4-FFF2-40B4-BE49-F238E27FC236}">
              <a16:creationId xmlns:a16="http://schemas.microsoft.com/office/drawing/2014/main" id="{2FB7A894-4CB3-4226-A2D2-D83A4BD4D3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79" name="Picture 31">
          <a:extLst>
            <a:ext uri="{FF2B5EF4-FFF2-40B4-BE49-F238E27FC236}">
              <a16:creationId xmlns:a16="http://schemas.microsoft.com/office/drawing/2014/main" id="{27D9C61D-FC6F-45FC-980C-3C6E0547B1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0" name="Picture 31">
          <a:extLst>
            <a:ext uri="{FF2B5EF4-FFF2-40B4-BE49-F238E27FC236}">
              <a16:creationId xmlns:a16="http://schemas.microsoft.com/office/drawing/2014/main" id="{1C4319E1-7A7E-4587-A2A9-87AFE0A227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1" name="Picture 31">
          <a:extLst>
            <a:ext uri="{FF2B5EF4-FFF2-40B4-BE49-F238E27FC236}">
              <a16:creationId xmlns:a16="http://schemas.microsoft.com/office/drawing/2014/main" id="{9770FC7E-D450-4065-9A5F-E5E8CCC4A9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2" name="Picture 31">
          <a:extLst>
            <a:ext uri="{FF2B5EF4-FFF2-40B4-BE49-F238E27FC236}">
              <a16:creationId xmlns:a16="http://schemas.microsoft.com/office/drawing/2014/main" id="{71A5AC5E-4664-47DB-9F59-A0560F5907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3" name="Picture 31">
          <a:extLst>
            <a:ext uri="{FF2B5EF4-FFF2-40B4-BE49-F238E27FC236}">
              <a16:creationId xmlns:a16="http://schemas.microsoft.com/office/drawing/2014/main" id="{A875D32D-F9B6-49B3-BEA0-61C248E967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4" name="Picture 31">
          <a:extLst>
            <a:ext uri="{FF2B5EF4-FFF2-40B4-BE49-F238E27FC236}">
              <a16:creationId xmlns:a16="http://schemas.microsoft.com/office/drawing/2014/main" id="{665AC692-6A42-4F2D-95DD-4E92942233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5" name="Picture 31">
          <a:extLst>
            <a:ext uri="{FF2B5EF4-FFF2-40B4-BE49-F238E27FC236}">
              <a16:creationId xmlns:a16="http://schemas.microsoft.com/office/drawing/2014/main" id="{C7CC2CF8-B468-4CAB-928A-7245179535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6" name="Picture 31">
          <a:extLst>
            <a:ext uri="{FF2B5EF4-FFF2-40B4-BE49-F238E27FC236}">
              <a16:creationId xmlns:a16="http://schemas.microsoft.com/office/drawing/2014/main" id="{EFEA0E03-1E9A-4DA4-8C68-09C9CB8328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7" name="Picture 31">
          <a:extLst>
            <a:ext uri="{FF2B5EF4-FFF2-40B4-BE49-F238E27FC236}">
              <a16:creationId xmlns:a16="http://schemas.microsoft.com/office/drawing/2014/main" id="{97E096A4-2D3D-42F6-AD19-C622FE1909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8" name="Picture 31">
          <a:extLst>
            <a:ext uri="{FF2B5EF4-FFF2-40B4-BE49-F238E27FC236}">
              <a16:creationId xmlns:a16="http://schemas.microsoft.com/office/drawing/2014/main" id="{232EF492-F646-4315-952B-E1149D0411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89" name="Picture 31">
          <a:extLst>
            <a:ext uri="{FF2B5EF4-FFF2-40B4-BE49-F238E27FC236}">
              <a16:creationId xmlns:a16="http://schemas.microsoft.com/office/drawing/2014/main" id="{1574837B-6D71-414D-BF1A-7EA34DDD385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0" name="Picture 31">
          <a:extLst>
            <a:ext uri="{FF2B5EF4-FFF2-40B4-BE49-F238E27FC236}">
              <a16:creationId xmlns:a16="http://schemas.microsoft.com/office/drawing/2014/main" id="{89507616-1D88-4CCC-BBD6-74D5D924D3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1" name="Picture 31">
          <a:extLst>
            <a:ext uri="{FF2B5EF4-FFF2-40B4-BE49-F238E27FC236}">
              <a16:creationId xmlns:a16="http://schemas.microsoft.com/office/drawing/2014/main" id="{1EA6D05D-43A6-42AD-B2E3-6045FDCBD7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2" name="Picture 31">
          <a:extLst>
            <a:ext uri="{FF2B5EF4-FFF2-40B4-BE49-F238E27FC236}">
              <a16:creationId xmlns:a16="http://schemas.microsoft.com/office/drawing/2014/main" id="{D5BB5915-2D70-47B1-B4CE-C5301E09EA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3" name="Picture 31">
          <a:extLst>
            <a:ext uri="{FF2B5EF4-FFF2-40B4-BE49-F238E27FC236}">
              <a16:creationId xmlns:a16="http://schemas.microsoft.com/office/drawing/2014/main" id="{C524FDDB-6892-4C55-8B56-A516A7211A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4" name="Picture 31">
          <a:extLst>
            <a:ext uri="{FF2B5EF4-FFF2-40B4-BE49-F238E27FC236}">
              <a16:creationId xmlns:a16="http://schemas.microsoft.com/office/drawing/2014/main" id="{D9AAAB1F-4A9E-4023-9389-483F26436B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5" name="Picture 31">
          <a:extLst>
            <a:ext uri="{FF2B5EF4-FFF2-40B4-BE49-F238E27FC236}">
              <a16:creationId xmlns:a16="http://schemas.microsoft.com/office/drawing/2014/main" id="{203D5D3F-12E4-473A-B1AF-90DDC39895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6" name="Picture 31">
          <a:extLst>
            <a:ext uri="{FF2B5EF4-FFF2-40B4-BE49-F238E27FC236}">
              <a16:creationId xmlns:a16="http://schemas.microsoft.com/office/drawing/2014/main" id="{918F3875-AB69-45BF-A5F2-6ED93162E7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7" name="Picture 31">
          <a:extLst>
            <a:ext uri="{FF2B5EF4-FFF2-40B4-BE49-F238E27FC236}">
              <a16:creationId xmlns:a16="http://schemas.microsoft.com/office/drawing/2014/main" id="{5C39FDB9-0DF4-4458-932F-61611A0D83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8" name="Picture 31">
          <a:extLst>
            <a:ext uri="{FF2B5EF4-FFF2-40B4-BE49-F238E27FC236}">
              <a16:creationId xmlns:a16="http://schemas.microsoft.com/office/drawing/2014/main" id="{EA88CCD5-2CFC-4304-A418-C729052F23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699" name="Picture 31">
          <a:extLst>
            <a:ext uri="{FF2B5EF4-FFF2-40B4-BE49-F238E27FC236}">
              <a16:creationId xmlns:a16="http://schemas.microsoft.com/office/drawing/2014/main" id="{C1FC912A-9685-46AA-9ADB-3B2EFE8A8D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0" name="Picture 31">
          <a:extLst>
            <a:ext uri="{FF2B5EF4-FFF2-40B4-BE49-F238E27FC236}">
              <a16:creationId xmlns:a16="http://schemas.microsoft.com/office/drawing/2014/main" id="{56576E75-76C9-42A6-B865-2496A4E8C7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1" name="Picture 31">
          <a:extLst>
            <a:ext uri="{FF2B5EF4-FFF2-40B4-BE49-F238E27FC236}">
              <a16:creationId xmlns:a16="http://schemas.microsoft.com/office/drawing/2014/main" id="{16FF150C-0595-48E3-8283-5F8D210E39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2" name="Picture 31">
          <a:extLst>
            <a:ext uri="{FF2B5EF4-FFF2-40B4-BE49-F238E27FC236}">
              <a16:creationId xmlns:a16="http://schemas.microsoft.com/office/drawing/2014/main" id="{FCD6465D-DC66-4E95-9500-D855F2A198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3" name="Picture 31">
          <a:extLst>
            <a:ext uri="{FF2B5EF4-FFF2-40B4-BE49-F238E27FC236}">
              <a16:creationId xmlns:a16="http://schemas.microsoft.com/office/drawing/2014/main" id="{BABBE303-FE4C-4631-B03A-518FBA7D0F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4" name="Picture 31">
          <a:extLst>
            <a:ext uri="{FF2B5EF4-FFF2-40B4-BE49-F238E27FC236}">
              <a16:creationId xmlns:a16="http://schemas.microsoft.com/office/drawing/2014/main" id="{9A5D75F4-9BE2-4216-BE6B-1ABF160E21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5" name="Picture 31">
          <a:extLst>
            <a:ext uri="{FF2B5EF4-FFF2-40B4-BE49-F238E27FC236}">
              <a16:creationId xmlns:a16="http://schemas.microsoft.com/office/drawing/2014/main" id="{3A6D4C29-B647-480A-8937-396DEA2A6D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6" name="Picture 31">
          <a:extLst>
            <a:ext uri="{FF2B5EF4-FFF2-40B4-BE49-F238E27FC236}">
              <a16:creationId xmlns:a16="http://schemas.microsoft.com/office/drawing/2014/main" id="{E02C3B22-72D5-4D6A-BFF5-E67CA53B20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7" name="Picture 31">
          <a:extLst>
            <a:ext uri="{FF2B5EF4-FFF2-40B4-BE49-F238E27FC236}">
              <a16:creationId xmlns:a16="http://schemas.microsoft.com/office/drawing/2014/main" id="{6D5D6304-60F4-43E0-9D73-290DFA73CB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8" name="Picture 31">
          <a:extLst>
            <a:ext uri="{FF2B5EF4-FFF2-40B4-BE49-F238E27FC236}">
              <a16:creationId xmlns:a16="http://schemas.microsoft.com/office/drawing/2014/main" id="{66F953FB-73FD-424F-A543-9B5BF57A9A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09" name="Picture 31">
          <a:extLst>
            <a:ext uri="{FF2B5EF4-FFF2-40B4-BE49-F238E27FC236}">
              <a16:creationId xmlns:a16="http://schemas.microsoft.com/office/drawing/2014/main" id="{574486A7-B48E-4AE8-BD04-6F59A88623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0" name="Picture 31">
          <a:extLst>
            <a:ext uri="{FF2B5EF4-FFF2-40B4-BE49-F238E27FC236}">
              <a16:creationId xmlns:a16="http://schemas.microsoft.com/office/drawing/2014/main" id="{FD0D746C-E8A7-4693-A0B8-97799EFA7B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1" name="Picture 31">
          <a:extLst>
            <a:ext uri="{FF2B5EF4-FFF2-40B4-BE49-F238E27FC236}">
              <a16:creationId xmlns:a16="http://schemas.microsoft.com/office/drawing/2014/main" id="{BF760B45-B411-409B-9F32-73CB454676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2" name="Picture 31">
          <a:extLst>
            <a:ext uri="{FF2B5EF4-FFF2-40B4-BE49-F238E27FC236}">
              <a16:creationId xmlns:a16="http://schemas.microsoft.com/office/drawing/2014/main" id="{CD481241-B017-4822-A0E7-684B34ADB5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3" name="Picture 31">
          <a:extLst>
            <a:ext uri="{FF2B5EF4-FFF2-40B4-BE49-F238E27FC236}">
              <a16:creationId xmlns:a16="http://schemas.microsoft.com/office/drawing/2014/main" id="{4760649F-FFD4-4379-B254-3734EFAF22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4" name="Picture 31">
          <a:extLst>
            <a:ext uri="{FF2B5EF4-FFF2-40B4-BE49-F238E27FC236}">
              <a16:creationId xmlns:a16="http://schemas.microsoft.com/office/drawing/2014/main" id="{E32B4E08-052B-422F-9AD0-94DBFDA948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5" name="Picture 31">
          <a:extLst>
            <a:ext uri="{FF2B5EF4-FFF2-40B4-BE49-F238E27FC236}">
              <a16:creationId xmlns:a16="http://schemas.microsoft.com/office/drawing/2014/main" id="{C4E62A57-D00C-4D89-B05A-A0F30C84F3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6" name="Picture 31">
          <a:extLst>
            <a:ext uri="{FF2B5EF4-FFF2-40B4-BE49-F238E27FC236}">
              <a16:creationId xmlns:a16="http://schemas.microsoft.com/office/drawing/2014/main" id="{69671F4D-6163-427F-BF72-F8BD022994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7" name="Picture 31">
          <a:extLst>
            <a:ext uri="{FF2B5EF4-FFF2-40B4-BE49-F238E27FC236}">
              <a16:creationId xmlns:a16="http://schemas.microsoft.com/office/drawing/2014/main" id="{9C638982-9B72-44C2-AC26-6C1C95F4CB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8" name="Picture 31">
          <a:extLst>
            <a:ext uri="{FF2B5EF4-FFF2-40B4-BE49-F238E27FC236}">
              <a16:creationId xmlns:a16="http://schemas.microsoft.com/office/drawing/2014/main" id="{A2BB4710-026C-461D-B8E1-C5B9B6F49E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19" name="Picture 31">
          <a:extLst>
            <a:ext uri="{FF2B5EF4-FFF2-40B4-BE49-F238E27FC236}">
              <a16:creationId xmlns:a16="http://schemas.microsoft.com/office/drawing/2014/main" id="{4517DDF5-4A5B-4AA7-9F02-79FEB445CB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0" name="Picture 31">
          <a:extLst>
            <a:ext uri="{FF2B5EF4-FFF2-40B4-BE49-F238E27FC236}">
              <a16:creationId xmlns:a16="http://schemas.microsoft.com/office/drawing/2014/main" id="{A4DEB2FA-6CCD-4D4A-9160-0188EAB97F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1" name="Picture 31">
          <a:extLst>
            <a:ext uri="{FF2B5EF4-FFF2-40B4-BE49-F238E27FC236}">
              <a16:creationId xmlns:a16="http://schemas.microsoft.com/office/drawing/2014/main" id="{A4B19334-5329-4CBF-A36B-0873C8722E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2" name="Picture 31">
          <a:extLst>
            <a:ext uri="{FF2B5EF4-FFF2-40B4-BE49-F238E27FC236}">
              <a16:creationId xmlns:a16="http://schemas.microsoft.com/office/drawing/2014/main" id="{F529D2DD-F1A3-4597-9CDB-19B0AA5049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3" name="Picture 31">
          <a:extLst>
            <a:ext uri="{FF2B5EF4-FFF2-40B4-BE49-F238E27FC236}">
              <a16:creationId xmlns:a16="http://schemas.microsoft.com/office/drawing/2014/main" id="{38230B9A-B71A-493B-85D9-305288D0D7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4" name="Picture 31">
          <a:extLst>
            <a:ext uri="{FF2B5EF4-FFF2-40B4-BE49-F238E27FC236}">
              <a16:creationId xmlns:a16="http://schemas.microsoft.com/office/drawing/2014/main" id="{7D8B29AF-9136-42E7-955C-7FE253CDD5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5" name="Picture 31">
          <a:extLst>
            <a:ext uri="{FF2B5EF4-FFF2-40B4-BE49-F238E27FC236}">
              <a16:creationId xmlns:a16="http://schemas.microsoft.com/office/drawing/2014/main" id="{FECEE34D-0AB8-4A0C-BDE6-382E013605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6" name="Picture 31">
          <a:extLst>
            <a:ext uri="{FF2B5EF4-FFF2-40B4-BE49-F238E27FC236}">
              <a16:creationId xmlns:a16="http://schemas.microsoft.com/office/drawing/2014/main" id="{25B811C5-2090-44CA-8F94-6130015AA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7" name="Picture 31">
          <a:extLst>
            <a:ext uri="{FF2B5EF4-FFF2-40B4-BE49-F238E27FC236}">
              <a16:creationId xmlns:a16="http://schemas.microsoft.com/office/drawing/2014/main" id="{BD6E9827-5063-486E-9E68-8F712F2D1F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8" name="Picture 31">
          <a:extLst>
            <a:ext uri="{FF2B5EF4-FFF2-40B4-BE49-F238E27FC236}">
              <a16:creationId xmlns:a16="http://schemas.microsoft.com/office/drawing/2014/main" id="{EE6411B6-860E-4899-A46A-DD3611FCB9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29" name="Picture 31">
          <a:extLst>
            <a:ext uri="{FF2B5EF4-FFF2-40B4-BE49-F238E27FC236}">
              <a16:creationId xmlns:a16="http://schemas.microsoft.com/office/drawing/2014/main" id="{8613C739-AE06-4C16-B49C-30FF5EAC5E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0" name="Picture 31">
          <a:extLst>
            <a:ext uri="{FF2B5EF4-FFF2-40B4-BE49-F238E27FC236}">
              <a16:creationId xmlns:a16="http://schemas.microsoft.com/office/drawing/2014/main" id="{D71A0DAF-1D21-4FF3-90A8-82CA4D8F31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1" name="Picture 31">
          <a:extLst>
            <a:ext uri="{FF2B5EF4-FFF2-40B4-BE49-F238E27FC236}">
              <a16:creationId xmlns:a16="http://schemas.microsoft.com/office/drawing/2014/main" id="{9B642F17-2F66-4D25-8261-17CB4AC21B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2" name="Picture 31">
          <a:extLst>
            <a:ext uri="{FF2B5EF4-FFF2-40B4-BE49-F238E27FC236}">
              <a16:creationId xmlns:a16="http://schemas.microsoft.com/office/drawing/2014/main" id="{CED8FA07-833E-4B30-8642-A706E33C5D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3" name="Picture 31">
          <a:extLst>
            <a:ext uri="{FF2B5EF4-FFF2-40B4-BE49-F238E27FC236}">
              <a16:creationId xmlns:a16="http://schemas.microsoft.com/office/drawing/2014/main" id="{B4978144-F480-4A9F-9CFA-632E09E09A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4" name="Picture 31">
          <a:extLst>
            <a:ext uri="{FF2B5EF4-FFF2-40B4-BE49-F238E27FC236}">
              <a16:creationId xmlns:a16="http://schemas.microsoft.com/office/drawing/2014/main" id="{C6930B0C-5873-4478-93E3-C150AD7F8D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5" name="Picture 31">
          <a:extLst>
            <a:ext uri="{FF2B5EF4-FFF2-40B4-BE49-F238E27FC236}">
              <a16:creationId xmlns:a16="http://schemas.microsoft.com/office/drawing/2014/main" id="{6F68AEC7-BD8A-429F-BB26-891A388246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6" name="Picture 31">
          <a:extLst>
            <a:ext uri="{FF2B5EF4-FFF2-40B4-BE49-F238E27FC236}">
              <a16:creationId xmlns:a16="http://schemas.microsoft.com/office/drawing/2014/main" id="{00974183-B0D5-431C-973F-E817C3005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7" name="Picture 31">
          <a:extLst>
            <a:ext uri="{FF2B5EF4-FFF2-40B4-BE49-F238E27FC236}">
              <a16:creationId xmlns:a16="http://schemas.microsoft.com/office/drawing/2014/main" id="{721769B1-D936-4B24-BDA7-C0288754FD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8" name="Picture 31">
          <a:extLst>
            <a:ext uri="{FF2B5EF4-FFF2-40B4-BE49-F238E27FC236}">
              <a16:creationId xmlns:a16="http://schemas.microsoft.com/office/drawing/2014/main" id="{B882D0E7-EB0E-403E-8581-B66617EE20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39" name="Picture 31">
          <a:extLst>
            <a:ext uri="{FF2B5EF4-FFF2-40B4-BE49-F238E27FC236}">
              <a16:creationId xmlns:a16="http://schemas.microsoft.com/office/drawing/2014/main" id="{35507EA7-9E11-4657-86F8-EC7DE62614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0" name="Picture 31">
          <a:extLst>
            <a:ext uri="{FF2B5EF4-FFF2-40B4-BE49-F238E27FC236}">
              <a16:creationId xmlns:a16="http://schemas.microsoft.com/office/drawing/2014/main" id="{1367EEEE-6CDF-44A8-B3A2-5620BFD7CE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1" name="Picture 31">
          <a:extLst>
            <a:ext uri="{FF2B5EF4-FFF2-40B4-BE49-F238E27FC236}">
              <a16:creationId xmlns:a16="http://schemas.microsoft.com/office/drawing/2014/main" id="{07BEAD0B-F347-45D1-A34C-8AAE49B61D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2" name="Picture 31">
          <a:extLst>
            <a:ext uri="{FF2B5EF4-FFF2-40B4-BE49-F238E27FC236}">
              <a16:creationId xmlns:a16="http://schemas.microsoft.com/office/drawing/2014/main" id="{9B1E882C-C5FA-4AE7-A133-8E7022DB7C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3" name="Picture 31">
          <a:extLst>
            <a:ext uri="{FF2B5EF4-FFF2-40B4-BE49-F238E27FC236}">
              <a16:creationId xmlns:a16="http://schemas.microsoft.com/office/drawing/2014/main" id="{E133B137-EB47-4476-AF9E-255B97F260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4" name="Picture 31">
          <a:extLst>
            <a:ext uri="{FF2B5EF4-FFF2-40B4-BE49-F238E27FC236}">
              <a16:creationId xmlns:a16="http://schemas.microsoft.com/office/drawing/2014/main" id="{39C710AE-A749-40D8-87CD-721CF7EBD3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5" name="Picture 31">
          <a:extLst>
            <a:ext uri="{FF2B5EF4-FFF2-40B4-BE49-F238E27FC236}">
              <a16:creationId xmlns:a16="http://schemas.microsoft.com/office/drawing/2014/main" id="{A3DAB46A-E83A-41A1-A439-9DD6313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6" name="Picture 31">
          <a:extLst>
            <a:ext uri="{FF2B5EF4-FFF2-40B4-BE49-F238E27FC236}">
              <a16:creationId xmlns:a16="http://schemas.microsoft.com/office/drawing/2014/main" id="{4CA41959-F521-4DF4-9441-58D6DD99A0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7" name="Picture 31">
          <a:extLst>
            <a:ext uri="{FF2B5EF4-FFF2-40B4-BE49-F238E27FC236}">
              <a16:creationId xmlns:a16="http://schemas.microsoft.com/office/drawing/2014/main" id="{FC5AD86A-9926-45BE-9362-A683362B1C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8" name="Picture 31">
          <a:extLst>
            <a:ext uri="{FF2B5EF4-FFF2-40B4-BE49-F238E27FC236}">
              <a16:creationId xmlns:a16="http://schemas.microsoft.com/office/drawing/2014/main" id="{6EC8B08F-1CBA-46D8-83A8-CBBB3870B4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49" name="Picture 31">
          <a:extLst>
            <a:ext uri="{FF2B5EF4-FFF2-40B4-BE49-F238E27FC236}">
              <a16:creationId xmlns:a16="http://schemas.microsoft.com/office/drawing/2014/main" id="{9023DC75-9528-43C0-9FEA-70496A4CA4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0" name="Picture 31">
          <a:extLst>
            <a:ext uri="{FF2B5EF4-FFF2-40B4-BE49-F238E27FC236}">
              <a16:creationId xmlns:a16="http://schemas.microsoft.com/office/drawing/2014/main" id="{68790296-3558-4880-92F2-4C372D024A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1" name="Picture 31">
          <a:extLst>
            <a:ext uri="{FF2B5EF4-FFF2-40B4-BE49-F238E27FC236}">
              <a16:creationId xmlns:a16="http://schemas.microsoft.com/office/drawing/2014/main" id="{AF801622-0D6F-4E6C-8B0B-6933C5C25E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2" name="Picture 31">
          <a:extLst>
            <a:ext uri="{FF2B5EF4-FFF2-40B4-BE49-F238E27FC236}">
              <a16:creationId xmlns:a16="http://schemas.microsoft.com/office/drawing/2014/main" id="{D3B7C5D9-7C21-45EC-8392-777854520A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3" name="Picture 31">
          <a:extLst>
            <a:ext uri="{FF2B5EF4-FFF2-40B4-BE49-F238E27FC236}">
              <a16:creationId xmlns:a16="http://schemas.microsoft.com/office/drawing/2014/main" id="{616E1994-750A-41E4-B6D1-80953B0EA4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4" name="Picture 31">
          <a:extLst>
            <a:ext uri="{FF2B5EF4-FFF2-40B4-BE49-F238E27FC236}">
              <a16:creationId xmlns:a16="http://schemas.microsoft.com/office/drawing/2014/main" id="{5BD4F4F6-017E-4EDB-86AA-EA6560D7BE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5" name="Picture 31">
          <a:extLst>
            <a:ext uri="{FF2B5EF4-FFF2-40B4-BE49-F238E27FC236}">
              <a16:creationId xmlns:a16="http://schemas.microsoft.com/office/drawing/2014/main" id="{8F3A8C33-FC4C-43CB-8975-4D8AB8242A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6" name="Picture 31">
          <a:extLst>
            <a:ext uri="{FF2B5EF4-FFF2-40B4-BE49-F238E27FC236}">
              <a16:creationId xmlns:a16="http://schemas.microsoft.com/office/drawing/2014/main" id="{6A7136C0-2151-4875-A78A-412D5941B3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7" name="Picture 31">
          <a:extLst>
            <a:ext uri="{FF2B5EF4-FFF2-40B4-BE49-F238E27FC236}">
              <a16:creationId xmlns:a16="http://schemas.microsoft.com/office/drawing/2014/main" id="{087727EC-ECB9-44E6-BC0A-307A121C29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8" name="Picture 31">
          <a:extLst>
            <a:ext uri="{FF2B5EF4-FFF2-40B4-BE49-F238E27FC236}">
              <a16:creationId xmlns:a16="http://schemas.microsoft.com/office/drawing/2014/main" id="{0FB0DEAC-6333-4A04-9698-9A22DEBE6D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59" name="Picture 31">
          <a:extLst>
            <a:ext uri="{FF2B5EF4-FFF2-40B4-BE49-F238E27FC236}">
              <a16:creationId xmlns:a16="http://schemas.microsoft.com/office/drawing/2014/main" id="{C220718A-6D52-4E49-95C2-4D55DDA3B5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0" name="Picture 31">
          <a:extLst>
            <a:ext uri="{FF2B5EF4-FFF2-40B4-BE49-F238E27FC236}">
              <a16:creationId xmlns:a16="http://schemas.microsoft.com/office/drawing/2014/main" id="{4890CBFA-7939-4A0D-B9F8-B5C24B51C0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1" name="Picture 31">
          <a:extLst>
            <a:ext uri="{FF2B5EF4-FFF2-40B4-BE49-F238E27FC236}">
              <a16:creationId xmlns:a16="http://schemas.microsoft.com/office/drawing/2014/main" id="{78C04D49-7407-4201-B73F-BDA11611AD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2" name="Picture 31">
          <a:extLst>
            <a:ext uri="{FF2B5EF4-FFF2-40B4-BE49-F238E27FC236}">
              <a16:creationId xmlns:a16="http://schemas.microsoft.com/office/drawing/2014/main" id="{8448C089-74D1-4869-A906-017DEB6F3D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3" name="Picture 31">
          <a:extLst>
            <a:ext uri="{FF2B5EF4-FFF2-40B4-BE49-F238E27FC236}">
              <a16:creationId xmlns:a16="http://schemas.microsoft.com/office/drawing/2014/main" id="{3D1CFA3C-AC08-462F-AE5B-7C519B8BF1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4" name="Picture 31">
          <a:extLst>
            <a:ext uri="{FF2B5EF4-FFF2-40B4-BE49-F238E27FC236}">
              <a16:creationId xmlns:a16="http://schemas.microsoft.com/office/drawing/2014/main" id="{E62DD81E-0C13-44FB-81B0-DD06F65D51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5" name="Picture 31">
          <a:extLst>
            <a:ext uri="{FF2B5EF4-FFF2-40B4-BE49-F238E27FC236}">
              <a16:creationId xmlns:a16="http://schemas.microsoft.com/office/drawing/2014/main" id="{BDE0F843-960A-4F76-8095-F607441FE3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6" name="Picture 31">
          <a:extLst>
            <a:ext uri="{FF2B5EF4-FFF2-40B4-BE49-F238E27FC236}">
              <a16:creationId xmlns:a16="http://schemas.microsoft.com/office/drawing/2014/main" id="{83CF2611-F5DE-410C-902E-5D03D87D78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7" name="Picture 31">
          <a:extLst>
            <a:ext uri="{FF2B5EF4-FFF2-40B4-BE49-F238E27FC236}">
              <a16:creationId xmlns:a16="http://schemas.microsoft.com/office/drawing/2014/main" id="{F36053B7-340B-4A17-8488-917DD0783E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8" name="Picture 31">
          <a:extLst>
            <a:ext uri="{FF2B5EF4-FFF2-40B4-BE49-F238E27FC236}">
              <a16:creationId xmlns:a16="http://schemas.microsoft.com/office/drawing/2014/main" id="{9F03999B-2037-444C-AF3D-040C350C53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69" name="Picture 31">
          <a:extLst>
            <a:ext uri="{FF2B5EF4-FFF2-40B4-BE49-F238E27FC236}">
              <a16:creationId xmlns:a16="http://schemas.microsoft.com/office/drawing/2014/main" id="{56BBBBC2-9140-4E47-ACF2-59936D675B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0" name="Picture 31">
          <a:extLst>
            <a:ext uri="{FF2B5EF4-FFF2-40B4-BE49-F238E27FC236}">
              <a16:creationId xmlns:a16="http://schemas.microsoft.com/office/drawing/2014/main" id="{45B70A72-6681-4B2D-95AA-D4ABE41B6C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1" name="Picture 31">
          <a:extLst>
            <a:ext uri="{FF2B5EF4-FFF2-40B4-BE49-F238E27FC236}">
              <a16:creationId xmlns:a16="http://schemas.microsoft.com/office/drawing/2014/main" id="{5AD899AF-E0F2-41D2-9487-1D7917D537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2" name="Picture 31">
          <a:extLst>
            <a:ext uri="{FF2B5EF4-FFF2-40B4-BE49-F238E27FC236}">
              <a16:creationId xmlns:a16="http://schemas.microsoft.com/office/drawing/2014/main" id="{960A59C3-911A-4D7A-940F-6414C3265D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3" name="Picture 31">
          <a:extLst>
            <a:ext uri="{FF2B5EF4-FFF2-40B4-BE49-F238E27FC236}">
              <a16:creationId xmlns:a16="http://schemas.microsoft.com/office/drawing/2014/main" id="{673FB5D0-F7A7-4A58-87EC-CB56A6E3AB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4" name="Picture 31">
          <a:extLst>
            <a:ext uri="{FF2B5EF4-FFF2-40B4-BE49-F238E27FC236}">
              <a16:creationId xmlns:a16="http://schemas.microsoft.com/office/drawing/2014/main" id="{7C86210C-1D65-40DD-8DC6-35031EBBF4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5" name="Picture 31">
          <a:extLst>
            <a:ext uri="{FF2B5EF4-FFF2-40B4-BE49-F238E27FC236}">
              <a16:creationId xmlns:a16="http://schemas.microsoft.com/office/drawing/2014/main" id="{511D72DE-027F-4B48-8A59-953076436E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6" name="Picture 31">
          <a:extLst>
            <a:ext uri="{FF2B5EF4-FFF2-40B4-BE49-F238E27FC236}">
              <a16:creationId xmlns:a16="http://schemas.microsoft.com/office/drawing/2014/main" id="{21EE9A5E-09C9-4A5C-B70B-0A366ABCE8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7" name="Picture 31">
          <a:extLst>
            <a:ext uri="{FF2B5EF4-FFF2-40B4-BE49-F238E27FC236}">
              <a16:creationId xmlns:a16="http://schemas.microsoft.com/office/drawing/2014/main" id="{4BD8FB45-C3A1-4036-A98A-F81FB3FAB9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8" name="Picture 31">
          <a:extLst>
            <a:ext uri="{FF2B5EF4-FFF2-40B4-BE49-F238E27FC236}">
              <a16:creationId xmlns:a16="http://schemas.microsoft.com/office/drawing/2014/main" id="{1A6D3451-455D-4E08-903F-2DEE65B425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79" name="Picture 31">
          <a:extLst>
            <a:ext uri="{FF2B5EF4-FFF2-40B4-BE49-F238E27FC236}">
              <a16:creationId xmlns:a16="http://schemas.microsoft.com/office/drawing/2014/main" id="{6541CFA7-B807-40D8-A2B2-FF51643021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0" name="Picture 31">
          <a:extLst>
            <a:ext uri="{FF2B5EF4-FFF2-40B4-BE49-F238E27FC236}">
              <a16:creationId xmlns:a16="http://schemas.microsoft.com/office/drawing/2014/main" id="{FED7DCA1-214A-405F-861C-77DD6D99C4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1" name="Picture 31">
          <a:extLst>
            <a:ext uri="{FF2B5EF4-FFF2-40B4-BE49-F238E27FC236}">
              <a16:creationId xmlns:a16="http://schemas.microsoft.com/office/drawing/2014/main" id="{66F501CE-1FF5-43C9-953C-B958CE585E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2" name="Picture 31">
          <a:extLst>
            <a:ext uri="{FF2B5EF4-FFF2-40B4-BE49-F238E27FC236}">
              <a16:creationId xmlns:a16="http://schemas.microsoft.com/office/drawing/2014/main" id="{82DE404A-0976-4A78-9F27-72F4EC7A25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3" name="Picture 31">
          <a:extLst>
            <a:ext uri="{FF2B5EF4-FFF2-40B4-BE49-F238E27FC236}">
              <a16:creationId xmlns:a16="http://schemas.microsoft.com/office/drawing/2014/main" id="{30338ABC-CC0A-46BF-A95C-FE060B9C370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4" name="Picture 31">
          <a:extLst>
            <a:ext uri="{FF2B5EF4-FFF2-40B4-BE49-F238E27FC236}">
              <a16:creationId xmlns:a16="http://schemas.microsoft.com/office/drawing/2014/main" id="{73E33B61-7D46-4B81-9133-088193C798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5" name="Picture 31">
          <a:extLst>
            <a:ext uri="{FF2B5EF4-FFF2-40B4-BE49-F238E27FC236}">
              <a16:creationId xmlns:a16="http://schemas.microsoft.com/office/drawing/2014/main" id="{C5C3512E-FDFE-49BA-A5F7-172A7C46BC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6" name="Picture 31">
          <a:extLst>
            <a:ext uri="{FF2B5EF4-FFF2-40B4-BE49-F238E27FC236}">
              <a16:creationId xmlns:a16="http://schemas.microsoft.com/office/drawing/2014/main" id="{5C4014CE-914A-4C89-A0D8-A25AD3358C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7" name="Picture 31">
          <a:extLst>
            <a:ext uri="{FF2B5EF4-FFF2-40B4-BE49-F238E27FC236}">
              <a16:creationId xmlns:a16="http://schemas.microsoft.com/office/drawing/2014/main" id="{DC7E124E-6D8B-47AD-BB30-92FB6144F2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8" name="Picture 31">
          <a:extLst>
            <a:ext uri="{FF2B5EF4-FFF2-40B4-BE49-F238E27FC236}">
              <a16:creationId xmlns:a16="http://schemas.microsoft.com/office/drawing/2014/main" id="{3F6EC118-50C2-4301-8767-DEF7506770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89" name="Picture 31">
          <a:extLst>
            <a:ext uri="{FF2B5EF4-FFF2-40B4-BE49-F238E27FC236}">
              <a16:creationId xmlns:a16="http://schemas.microsoft.com/office/drawing/2014/main" id="{DF716D8A-F62C-4229-871D-6A1BB07AF1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0" name="Picture 31">
          <a:extLst>
            <a:ext uri="{FF2B5EF4-FFF2-40B4-BE49-F238E27FC236}">
              <a16:creationId xmlns:a16="http://schemas.microsoft.com/office/drawing/2014/main" id="{16E1B990-DECF-4CBF-A155-EBA8162205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1" name="Picture 31">
          <a:extLst>
            <a:ext uri="{FF2B5EF4-FFF2-40B4-BE49-F238E27FC236}">
              <a16:creationId xmlns:a16="http://schemas.microsoft.com/office/drawing/2014/main" id="{BECACA57-9F1A-475A-AF0E-244911279E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2" name="Picture 31">
          <a:extLst>
            <a:ext uri="{FF2B5EF4-FFF2-40B4-BE49-F238E27FC236}">
              <a16:creationId xmlns:a16="http://schemas.microsoft.com/office/drawing/2014/main" id="{463C925C-1116-4421-ABAB-BC9D42CF20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3" name="Picture 31">
          <a:extLst>
            <a:ext uri="{FF2B5EF4-FFF2-40B4-BE49-F238E27FC236}">
              <a16:creationId xmlns:a16="http://schemas.microsoft.com/office/drawing/2014/main" id="{531D6DE2-774C-47AD-94F2-78CCB9FFCD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4" name="Picture 31">
          <a:extLst>
            <a:ext uri="{FF2B5EF4-FFF2-40B4-BE49-F238E27FC236}">
              <a16:creationId xmlns:a16="http://schemas.microsoft.com/office/drawing/2014/main" id="{D616EAED-0809-4418-8AF5-8EC7E1DD31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5" name="Picture 31">
          <a:extLst>
            <a:ext uri="{FF2B5EF4-FFF2-40B4-BE49-F238E27FC236}">
              <a16:creationId xmlns:a16="http://schemas.microsoft.com/office/drawing/2014/main" id="{A1B325A4-8944-4FF9-84B0-4DBD5918CE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6" name="Picture 31">
          <a:extLst>
            <a:ext uri="{FF2B5EF4-FFF2-40B4-BE49-F238E27FC236}">
              <a16:creationId xmlns:a16="http://schemas.microsoft.com/office/drawing/2014/main" id="{4E0A897E-C47F-419A-88B2-97DD5D70B2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7" name="Picture 31">
          <a:extLst>
            <a:ext uri="{FF2B5EF4-FFF2-40B4-BE49-F238E27FC236}">
              <a16:creationId xmlns:a16="http://schemas.microsoft.com/office/drawing/2014/main" id="{484A592D-0D13-44F6-9939-3948A5B5CB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8" name="Picture 31">
          <a:extLst>
            <a:ext uri="{FF2B5EF4-FFF2-40B4-BE49-F238E27FC236}">
              <a16:creationId xmlns:a16="http://schemas.microsoft.com/office/drawing/2014/main" id="{834B62BE-96D2-4C89-A0E3-F782091913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799" name="Picture 31">
          <a:extLst>
            <a:ext uri="{FF2B5EF4-FFF2-40B4-BE49-F238E27FC236}">
              <a16:creationId xmlns:a16="http://schemas.microsoft.com/office/drawing/2014/main" id="{54151E56-8041-4BF6-9B41-E041D8357F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0" name="Picture 31">
          <a:extLst>
            <a:ext uri="{FF2B5EF4-FFF2-40B4-BE49-F238E27FC236}">
              <a16:creationId xmlns:a16="http://schemas.microsoft.com/office/drawing/2014/main" id="{F6633C7F-D3C2-4F66-A79B-26466AC254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1" name="Picture 31">
          <a:extLst>
            <a:ext uri="{FF2B5EF4-FFF2-40B4-BE49-F238E27FC236}">
              <a16:creationId xmlns:a16="http://schemas.microsoft.com/office/drawing/2014/main" id="{F0D95900-0EC0-4901-9B7B-E219ECBCF4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2" name="Picture 31">
          <a:extLst>
            <a:ext uri="{FF2B5EF4-FFF2-40B4-BE49-F238E27FC236}">
              <a16:creationId xmlns:a16="http://schemas.microsoft.com/office/drawing/2014/main" id="{2AFF2892-C8EF-44B9-BFFF-E0238D8415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3" name="Picture 31">
          <a:extLst>
            <a:ext uri="{FF2B5EF4-FFF2-40B4-BE49-F238E27FC236}">
              <a16:creationId xmlns:a16="http://schemas.microsoft.com/office/drawing/2014/main" id="{D5949B95-FD2A-4FEA-907A-90B55C7A89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4" name="Picture 31">
          <a:extLst>
            <a:ext uri="{FF2B5EF4-FFF2-40B4-BE49-F238E27FC236}">
              <a16:creationId xmlns:a16="http://schemas.microsoft.com/office/drawing/2014/main" id="{EFFB3E82-ECB5-4192-A09E-CE80D5D74B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5" name="Picture 31">
          <a:extLst>
            <a:ext uri="{FF2B5EF4-FFF2-40B4-BE49-F238E27FC236}">
              <a16:creationId xmlns:a16="http://schemas.microsoft.com/office/drawing/2014/main" id="{F9452008-4DE2-4A87-B4F5-2E448AB526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6" name="Picture 31">
          <a:extLst>
            <a:ext uri="{FF2B5EF4-FFF2-40B4-BE49-F238E27FC236}">
              <a16:creationId xmlns:a16="http://schemas.microsoft.com/office/drawing/2014/main" id="{1A37447C-F91D-4A05-B01D-AB063E01F2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7" name="Picture 31">
          <a:extLst>
            <a:ext uri="{FF2B5EF4-FFF2-40B4-BE49-F238E27FC236}">
              <a16:creationId xmlns:a16="http://schemas.microsoft.com/office/drawing/2014/main" id="{8934D720-1CA3-42F3-B07E-5C529B2057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8" name="Picture 31">
          <a:extLst>
            <a:ext uri="{FF2B5EF4-FFF2-40B4-BE49-F238E27FC236}">
              <a16:creationId xmlns:a16="http://schemas.microsoft.com/office/drawing/2014/main" id="{A6E7E452-61A0-46C8-89D6-0C343EEE23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09" name="Picture 31">
          <a:extLst>
            <a:ext uri="{FF2B5EF4-FFF2-40B4-BE49-F238E27FC236}">
              <a16:creationId xmlns:a16="http://schemas.microsoft.com/office/drawing/2014/main" id="{DD5517F7-E1CD-4DF1-A752-CDBB708870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0" name="Picture 31">
          <a:extLst>
            <a:ext uri="{FF2B5EF4-FFF2-40B4-BE49-F238E27FC236}">
              <a16:creationId xmlns:a16="http://schemas.microsoft.com/office/drawing/2014/main" id="{7F4BB56D-3E83-44DC-9CFA-E21EBBE14F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1" name="Picture 31">
          <a:extLst>
            <a:ext uri="{FF2B5EF4-FFF2-40B4-BE49-F238E27FC236}">
              <a16:creationId xmlns:a16="http://schemas.microsoft.com/office/drawing/2014/main" id="{80D72D4A-017B-4EF4-A114-1F0A5BBC19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2" name="Picture 31">
          <a:extLst>
            <a:ext uri="{FF2B5EF4-FFF2-40B4-BE49-F238E27FC236}">
              <a16:creationId xmlns:a16="http://schemas.microsoft.com/office/drawing/2014/main" id="{461BB10F-9518-41CE-8309-67D6BA3C29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3" name="Picture 31">
          <a:extLst>
            <a:ext uri="{FF2B5EF4-FFF2-40B4-BE49-F238E27FC236}">
              <a16:creationId xmlns:a16="http://schemas.microsoft.com/office/drawing/2014/main" id="{075F86F5-23E7-4382-95A7-335A464254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4" name="Picture 31">
          <a:extLst>
            <a:ext uri="{FF2B5EF4-FFF2-40B4-BE49-F238E27FC236}">
              <a16:creationId xmlns:a16="http://schemas.microsoft.com/office/drawing/2014/main" id="{1C1A2FAF-EAA7-45E8-AE00-1F19F6959A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5" name="Picture 31">
          <a:extLst>
            <a:ext uri="{FF2B5EF4-FFF2-40B4-BE49-F238E27FC236}">
              <a16:creationId xmlns:a16="http://schemas.microsoft.com/office/drawing/2014/main" id="{0D56BE7F-607B-4A7C-B46B-724D740086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6" name="Picture 31">
          <a:extLst>
            <a:ext uri="{FF2B5EF4-FFF2-40B4-BE49-F238E27FC236}">
              <a16:creationId xmlns:a16="http://schemas.microsoft.com/office/drawing/2014/main" id="{84393DEE-4A00-4FAB-B4BA-1D87D7A34C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7" name="Picture 31">
          <a:extLst>
            <a:ext uri="{FF2B5EF4-FFF2-40B4-BE49-F238E27FC236}">
              <a16:creationId xmlns:a16="http://schemas.microsoft.com/office/drawing/2014/main" id="{B4A9076F-78BA-4A29-8C56-EDB7A2E753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8" name="Picture 31">
          <a:extLst>
            <a:ext uri="{FF2B5EF4-FFF2-40B4-BE49-F238E27FC236}">
              <a16:creationId xmlns:a16="http://schemas.microsoft.com/office/drawing/2014/main" id="{3FBCB745-803A-42C5-BAF3-2F1AF66703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19" name="Picture 31">
          <a:extLst>
            <a:ext uri="{FF2B5EF4-FFF2-40B4-BE49-F238E27FC236}">
              <a16:creationId xmlns:a16="http://schemas.microsoft.com/office/drawing/2014/main" id="{6480CCD1-1006-483B-95C6-ED04F0DC644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0" name="Picture 31">
          <a:extLst>
            <a:ext uri="{FF2B5EF4-FFF2-40B4-BE49-F238E27FC236}">
              <a16:creationId xmlns:a16="http://schemas.microsoft.com/office/drawing/2014/main" id="{5CAFB868-978A-4CC3-9093-9E894DA8F5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1" name="Picture 31">
          <a:extLst>
            <a:ext uri="{FF2B5EF4-FFF2-40B4-BE49-F238E27FC236}">
              <a16:creationId xmlns:a16="http://schemas.microsoft.com/office/drawing/2014/main" id="{FB9C2D10-E0EF-475F-B628-D5221C3C8E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2" name="Picture 31">
          <a:extLst>
            <a:ext uri="{FF2B5EF4-FFF2-40B4-BE49-F238E27FC236}">
              <a16:creationId xmlns:a16="http://schemas.microsoft.com/office/drawing/2014/main" id="{E3BD9D65-A39F-4B22-BECF-15047FA808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3" name="Picture 31">
          <a:extLst>
            <a:ext uri="{FF2B5EF4-FFF2-40B4-BE49-F238E27FC236}">
              <a16:creationId xmlns:a16="http://schemas.microsoft.com/office/drawing/2014/main" id="{09FED2B8-19C4-4E18-A764-DA5C28B361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4" name="Picture 31">
          <a:extLst>
            <a:ext uri="{FF2B5EF4-FFF2-40B4-BE49-F238E27FC236}">
              <a16:creationId xmlns:a16="http://schemas.microsoft.com/office/drawing/2014/main" id="{A0B219FE-1534-4B6E-9F02-A8F24A5566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5" name="Picture 31">
          <a:extLst>
            <a:ext uri="{FF2B5EF4-FFF2-40B4-BE49-F238E27FC236}">
              <a16:creationId xmlns:a16="http://schemas.microsoft.com/office/drawing/2014/main" id="{14251C49-4FEC-4757-B115-C14651A243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6" name="Picture 31">
          <a:extLst>
            <a:ext uri="{FF2B5EF4-FFF2-40B4-BE49-F238E27FC236}">
              <a16:creationId xmlns:a16="http://schemas.microsoft.com/office/drawing/2014/main" id="{3A8B818C-344D-4EEE-B875-7238331467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7" name="Picture 31">
          <a:extLst>
            <a:ext uri="{FF2B5EF4-FFF2-40B4-BE49-F238E27FC236}">
              <a16:creationId xmlns:a16="http://schemas.microsoft.com/office/drawing/2014/main" id="{2406FBA3-032F-4AA7-B51C-C9B6595D5F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8" name="Picture 31">
          <a:extLst>
            <a:ext uri="{FF2B5EF4-FFF2-40B4-BE49-F238E27FC236}">
              <a16:creationId xmlns:a16="http://schemas.microsoft.com/office/drawing/2014/main" id="{C51F6190-1AA7-4C9C-A625-2A2FBF6626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29" name="Picture 31">
          <a:extLst>
            <a:ext uri="{FF2B5EF4-FFF2-40B4-BE49-F238E27FC236}">
              <a16:creationId xmlns:a16="http://schemas.microsoft.com/office/drawing/2014/main" id="{D85EBD8D-B216-4872-A379-CA2D10BEC1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0" name="Picture 31">
          <a:extLst>
            <a:ext uri="{FF2B5EF4-FFF2-40B4-BE49-F238E27FC236}">
              <a16:creationId xmlns:a16="http://schemas.microsoft.com/office/drawing/2014/main" id="{8630D579-888F-4476-BD03-D3CD53183F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1" name="Picture 31">
          <a:extLst>
            <a:ext uri="{FF2B5EF4-FFF2-40B4-BE49-F238E27FC236}">
              <a16:creationId xmlns:a16="http://schemas.microsoft.com/office/drawing/2014/main" id="{549892AD-B820-4068-8E1E-2731BDF2C3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2" name="Picture 31">
          <a:extLst>
            <a:ext uri="{FF2B5EF4-FFF2-40B4-BE49-F238E27FC236}">
              <a16:creationId xmlns:a16="http://schemas.microsoft.com/office/drawing/2014/main" id="{888079A3-6A10-437C-8982-3039CEED1A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3" name="Picture 31">
          <a:extLst>
            <a:ext uri="{FF2B5EF4-FFF2-40B4-BE49-F238E27FC236}">
              <a16:creationId xmlns:a16="http://schemas.microsoft.com/office/drawing/2014/main" id="{E6D49724-EEEA-4A2F-95C5-36AE2B83BA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4" name="Picture 31">
          <a:extLst>
            <a:ext uri="{FF2B5EF4-FFF2-40B4-BE49-F238E27FC236}">
              <a16:creationId xmlns:a16="http://schemas.microsoft.com/office/drawing/2014/main" id="{0D74D9A7-94D9-4D99-B439-91F3A207B4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5" name="Picture 31">
          <a:extLst>
            <a:ext uri="{FF2B5EF4-FFF2-40B4-BE49-F238E27FC236}">
              <a16:creationId xmlns:a16="http://schemas.microsoft.com/office/drawing/2014/main" id="{97422DCA-5F8E-4F48-8A7A-3C8F8ABC18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6" name="Picture 31">
          <a:extLst>
            <a:ext uri="{FF2B5EF4-FFF2-40B4-BE49-F238E27FC236}">
              <a16:creationId xmlns:a16="http://schemas.microsoft.com/office/drawing/2014/main" id="{B1C652A6-C9BA-4906-B832-76CCB18674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7" name="Picture 31">
          <a:extLst>
            <a:ext uri="{FF2B5EF4-FFF2-40B4-BE49-F238E27FC236}">
              <a16:creationId xmlns:a16="http://schemas.microsoft.com/office/drawing/2014/main" id="{0330EE6F-3773-4549-BFA2-3FA9F5F92E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8" name="Picture 31">
          <a:extLst>
            <a:ext uri="{FF2B5EF4-FFF2-40B4-BE49-F238E27FC236}">
              <a16:creationId xmlns:a16="http://schemas.microsoft.com/office/drawing/2014/main" id="{F636FBBB-8E2E-4EC9-B764-2A9E07824F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39" name="Picture 31">
          <a:extLst>
            <a:ext uri="{FF2B5EF4-FFF2-40B4-BE49-F238E27FC236}">
              <a16:creationId xmlns:a16="http://schemas.microsoft.com/office/drawing/2014/main" id="{C5F6FB10-0CC2-4D08-98A5-332F171CB4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0" name="Picture 31">
          <a:extLst>
            <a:ext uri="{FF2B5EF4-FFF2-40B4-BE49-F238E27FC236}">
              <a16:creationId xmlns:a16="http://schemas.microsoft.com/office/drawing/2014/main" id="{93D9E972-0576-43D6-821B-431A77D4E9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1" name="Picture 31">
          <a:extLst>
            <a:ext uri="{FF2B5EF4-FFF2-40B4-BE49-F238E27FC236}">
              <a16:creationId xmlns:a16="http://schemas.microsoft.com/office/drawing/2014/main" id="{EFE3BD6A-4842-45B7-A975-D23DA4CD5E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2" name="Picture 31">
          <a:extLst>
            <a:ext uri="{FF2B5EF4-FFF2-40B4-BE49-F238E27FC236}">
              <a16:creationId xmlns:a16="http://schemas.microsoft.com/office/drawing/2014/main" id="{B3A34B73-B280-4C21-967B-D404273053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3" name="Picture 31">
          <a:extLst>
            <a:ext uri="{FF2B5EF4-FFF2-40B4-BE49-F238E27FC236}">
              <a16:creationId xmlns:a16="http://schemas.microsoft.com/office/drawing/2014/main" id="{BF065F81-6BFF-45E7-BB50-DDAAD4207A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4" name="Picture 31">
          <a:extLst>
            <a:ext uri="{FF2B5EF4-FFF2-40B4-BE49-F238E27FC236}">
              <a16:creationId xmlns:a16="http://schemas.microsoft.com/office/drawing/2014/main" id="{BFD8E48E-FCF8-41FB-ABBE-A3D6686DC4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5" name="Picture 31">
          <a:extLst>
            <a:ext uri="{FF2B5EF4-FFF2-40B4-BE49-F238E27FC236}">
              <a16:creationId xmlns:a16="http://schemas.microsoft.com/office/drawing/2014/main" id="{DFB4A888-D32D-4E44-82FA-60943BBF42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6" name="Picture 31">
          <a:extLst>
            <a:ext uri="{FF2B5EF4-FFF2-40B4-BE49-F238E27FC236}">
              <a16:creationId xmlns:a16="http://schemas.microsoft.com/office/drawing/2014/main" id="{F763B022-2510-4A9C-A473-2F10E622CE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7" name="Picture 31">
          <a:extLst>
            <a:ext uri="{FF2B5EF4-FFF2-40B4-BE49-F238E27FC236}">
              <a16:creationId xmlns:a16="http://schemas.microsoft.com/office/drawing/2014/main" id="{AD633860-B188-48E5-AFAB-8A474113AC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8" name="Picture 31">
          <a:extLst>
            <a:ext uri="{FF2B5EF4-FFF2-40B4-BE49-F238E27FC236}">
              <a16:creationId xmlns:a16="http://schemas.microsoft.com/office/drawing/2014/main" id="{9129616C-1097-4096-ADBE-FDD792C923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49" name="Picture 31">
          <a:extLst>
            <a:ext uri="{FF2B5EF4-FFF2-40B4-BE49-F238E27FC236}">
              <a16:creationId xmlns:a16="http://schemas.microsoft.com/office/drawing/2014/main" id="{C3A87235-750D-4DAC-8CCE-C16B27D3FC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0" name="Picture 31">
          <a:extLst>
            <a:ext uri="{FF2B5EF4-FFF2-40B4-BE49-F238E27FC236}">
              <a16:creationId xmlns:a16="http://schemas.microsoft.com/office/drawing/2014/main" id="{E5666AA6-D78F-4BA3-A65D-B389678263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1" name="Picture 31">
          <a:extLst>
            <a:ext uri="{FF2B5EF4-FFF2-40B4-BE49-F238E27FC236}">
              <a16:creationId xmlns:a16="http://schemas.microsoft.com/office/drawing/2014/main" id="{43435801-68E9-4C74-8330-1973D5A495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2" name="Picture 31">
          <a:extLst>
            <a:ext uri="{FF2B5EF4-FFF2-40B4-BE49-F238E27FC236}">
              <a16:creationId xmlns:a16="http://schemas.microsoft.com/office/drawing/2014/main" id="{4151B32E-A07E-469E-8865-18AECEACAB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3" name="Picture 31">
          <a:extLst>
            <a:ext uri="{FF2B5EF4-FFF2-40B4-BE49-F238E27FC236}">
              <a16:creationId xmlns:a16="http://schemas.microsoft.com/office/drawing/2014/main" id="{76D8A6A3-07CD-462D-8326-532377F2E7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4" name="Picture 31">
          <a:extLst>
            <a:ext uri="{FF2B5EF4-FFF2-40B4-BE49-F238E27FC236}">
              <a16:creationId xmlns:a16="http://schemas.microsoft.com/office/drawing/2014/main" id="{552776D9-32A1-47EA-BEDC-B3D8EBF7E7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5" name="Picture 31">
          <a:extLst>
            <a:ext uri="{FF2B5EF4-FFF2-40B4-BE49-F238E27FC236}">
              <a16:creationId xmlns:a16="http://schemas.microsoft.com/office/drawing/2014/main" id="{46FA9E9A-09E9-42F0-A873-6DD44F3376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6" name="Picture 31">
          <a:extLst>
            <a:ext uri="{FF2B5EF4-FFF2-40B4-BE49-F238E27FC236}">
              <a16:creationId xmlns:a16="http://schemas.microsoft.com/office/drawing/2014/main" id="{BC18FEFF-EA81-435D-950D-70A01FF876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7" name="Picture 31">
          <a:extLst>
            <a:ext uri="{FF2B5EF4-FFF2-40B4-BE49-F238E27FC236}">
              <a16:creationId xmlns:a16="http://schemas.microsoft.com/office/drawing/2014/main" id="{741FAF1E-A7FF-4A51-8210-72B89E0C7E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8" name="Picture 31">
          <a:extLst>
            <a:ext uri="{FF2B5EF4-FFF2-40B4-BE49-F238E27FC236}">
              <a16:creationId xmlns:a16="http://schemas.microsoft.com/office/drawing/2014/main" id="{BDD7C3AB-BA5A-4223-960A-6932F11745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59" name="Picture 31">
          <a:extLst>
            <a:ext uri="{FF2B5EF4-FFF2-40B4-BE49-F238E27FC236}">
              <a16:creationId xmlns:a16="http://schemas.microsoft.com/office/drawing/2014/main" id="{27053CE3-19D2-4193-81A7-B1D2DB6D16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0" name="Picture 31">
          <a:extLst>
            <a:ext uri="{FF2B5EF4-FFF2-40B4-BE49-F238E27FC236}">
              <a16:creationId xmlns:a16="http://schemas.microsoft.com/office/drawing/2014/main" id="{91FDEEE4-D3AB-45D5-A728-3D97A5E141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1" name="Picture 31">
          <a:extLst>
            <a:ext uri="{FF2B5EF4-FFF2-40B4-BE49-F238E27FC236}">
              <a16:creationId xmlns:a16="http://schemas.microsoft.com/office/drawing/2014/main" id="{19FF0235-8FD0-411D-90B2-EC165A9D1B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2" name="Picture 31">
          <a:extLst>
            <a:ext uri="{FF2B5EF4-FFF2-40B4-BE49-F238E27FC236}">
              <a16:creationId xmlns:a16="http://schemas.microsoft.com/office/drawing/2014/main" id="{3127381A-F23A-4928-8CAB-27F0D59F69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3" name="Picture 31">
          <a:extLst>
            <a:ext uri="{FF2B5EF4-FFF2-40B4-BE49-F238E27FC236}">
              <a16:creationId xmlns:a16="http://schemas.microsoft.com/office/drawing/2014/main" id="{A55893C5-2A1D-4855-9ACC-6F3974318E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4" name="Picture 31">
          <a:extLst>
            <a:ext uri="{FF2B5EF4-FFF2-40B4-BE49-F238E27FC236}">
              <a16:creationId xmlns:a16="http://schemas.microsoft.com/office/drawing/2014/main" id="{931D6DBC-819C-477F-BA72-255708B13F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5" name="Picture 31">
          <a:extLst>
            <a:ext uri="{FF2B5EF4-FFF2-40B4-BE49-F238E27FC236}">
              <a16:creationId xmlns:a16="http://schemas.microsoft.com/office/drawing/2014/main" id="{2DFBCB7C-2716-4C6B-8AE0-5C91C5D4D7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6" name="Picture 31">
          <a:extLst>
            <a:ext uri="{FF2B5EF4-FFF2-40B4-BE49-F238E27FC236}">
              <a16:creationId xmlns:a16="http://schemas.microsoft.com/office/drawing/2014/main" id="{0A890B7F-6BD0-4D16-A784-3F8532F9E6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7" name="Picture 31">
          <a:extLst>
            <a:ext uri="{FF2B5EF4-FFF2-40B4-BE49-F238E27FC236}">
              <a16:creationId xmlns:a16="http://schemas.microsoft.com/office/drawing/2014/main" id="{58A929F9-D297-4D89-8A13-D8F5ACE3D6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8" name="Picture 31">
          <a:extLst>
            <a:ext uri="{FF2B5EF4-FFF2-40B4-BE49-F238E27FC236}">
              <a16:creationId xmlns:a16="http://schemas.microsoft.com/office/drawing/2014/main" id="{B73FD25F-BC3C-407B-99FA-C6EC6940DF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69" name="Picture 31">
          <a:extLst>
            <a:ext uri="{FF2B5EF4-FFF2-40B4-BE49-F238E27FC236}">
              <a16:creationId xmlns:a16="http://schemas.microsoft.com/office/drawing/2014/main" id="{086EF7A5-6A24-4BBD-9E05-F4681AFE10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0" name="Picture 31">
          <a:extLst>
            <a:ext uri="{FF2B5EF4-FFF2-40B4-BE49-F238E27FC236}">
              <a16:creationId xmlns:a16="http://schemas.microsoft.com/office/drawing/2014/main" id="{7D27FCA4-EB53-49A3-A4BF-8DF41A8E2F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1" name="Picture 31">
          <a:extLst>
            <a:ext uri="{FF2B5EF4-FFF2-40B4-BE49-F238E27FC236}">
              <a16:creationId xmlns:a16="http://schemas.microsoft.com/office/drawing/2014/main" id="{0E941EF1-66FF-4ADA-9C08-916FB702D3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2" name="Picture 31">
          <a:extLst>
            <a:ext uri="{FF2B5EF4-FFF2-40B4-BE49-F238E27FC236}">
              <a16:creationId xmlns:a16="http://schemas.microsoft.com/office/drawing/2014/main" id="{A724BEDD-E201-4711-9001-1F8A1D5C3C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3" name="Picture 31">
          <a:extLst>
            <a:ext uri="{FF2B5EF4-FFF2-40B4-BE49-F238E27FC236}">
              <a16:creationId xmlns:a16="http://schemas.microsoft.com/office/drawing/2014/main" id="{8BE9E8D8-B0B3-4F79-8FBF-995610C858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4" name="Picture 31">
          <a:extLst>
            <a:ext uri="{FF2B5EF4-FFF2-40B4-BE49-F238E27FC236}">
              <a16:creationId xmlns:a16="http://schemas.microsoft.com/office/drawing/2014/main" id="{44221085-A05B-48F5-A28C-57278C97A8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5" name="Picture 31">
          <a:extLst>
            <a:ext uri="{FF2B5EF4-FFF2-40B4-BE49-F238E27FC236}">
              <a16:creationId xmlns:a16="http://schemas.microsoft.com/office/drawing/2014/main" id="{F411ED59-5BE2-49F8-B15E-A4056AAC9C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6" name="Picture 31">
          <a:extLst>
            <a:ext uri="{FF2B5EF4-FFF2-40B4-BE49-F238E27FC236}">
              <a16:creationId xmlns:a16="http://schemas.microsoft.com/office/drawing/2014/main" id="{002D52FC-0421-444F-889B-C42136FA0E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7" name="Picture 31">
          <a:extLst>
            <a:ext uri="{FF2B5EF4-FFF2-40B4-BE49-F238E27FC236}">
              <a16:creationId xmlns:a16="http://schemas.microsoft.com/office/drawing/2014/main" id="{2ABA5E99-48C8-4A6A-A8D4-2F037501C9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8" name="Picture 31">
          <a:extLst>
            <a:ext uri="{FF2B5EF4-FFF2-40B4-BE49-F238E27FC236}">
              <a16:creationId xmlns:a16="http://schemas.microsoft.com/office/drawing/2014/main" id="{6B637DD7-A20A-4751-B735-0B8BFE62ED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79" name="Picture 31">
          <a:extLst>
            <a:ext uri="{FF2B5EF4-FFF2-40B4-BE49-F238E27FC236}">
              <a16:creationId xmlns:a16="http://schemas.microsoft.com/office/drawing/2014/main" id="{6391405A-AAFB-49BD-8916-36B491E51F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0" name="Picture 31">
          <a:extLst>
            <a:ext uri="{FF2B5EF4-FFF2-40B4-BE49-F238E27FC236}">
              <a16:creationId xmlns:a16="http://schemas.microsoft.com/office/drawing/2014/main" id="{7507522F-DF78-4100-97BF-C6A46058F0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1" name="Picture 31">
          <a:extLst>
            <a:ext uri="{FF2B5EF4-FFF2-40B4-BE49-F238E27FC236}">
              <a16:creationId xmlns:a16="http://schemas.microsoft.com/office/drawing/2014/main" id="{A2C11DBB-B036-414C-AF05-225FE6EDB1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2" name="Picture 31">
          <a:extLst>
            <a:ext uri="{FF2B5EF4-FFF2-40B4-BE49-F238E27FC236}">
              <a16:creationId xmlns:a16="http://schemas.microsoft.com/office/drawing/2014/main" id="{28FE2ED7-216F-46D7-9C38-1966478D97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3" name="Picture 31">
          <a:extLst>
            <a:ext uri="{FF2B5EF4-FFF2-40B4-BE49-F238E27FC236}">
              <a16:creationId xmlns:a16="http://schemas.microsoft.com/office/drawing/2014/main" id="{CBC19B17-EF20-4CC5-8788-52E5197154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4" name="Picture 31">
          <a:extLst>
            <a:ext uri="{FF2B5EF4-FFF2-40B4-BE49-F238E27FC236}">
              <a16:creationId xmlns:a16="http://schemas.microsoft.com/office/drawing/2014/main" id="{2A6B88A9-FA86-4740-B835-E993DE2253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5" name="Picture 31">
          <a:extLst>
            <a:ext uri="{FF2B5EF4-FFF2-40B4-BE49-F238E27FC236}">
              <a16:creationId xmlns:a16="http://schemas.microsoft.com/office/drawing/2014/main" id="{4690E6AC-DAE2-4F20-AEEC-98801786FA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6" name="Picture 31">
          <a:extLst>
            <a:ext uri="{FF2B5EF4-FFF2-40B4-BE49-F238E27FC236}">
              <a16:creationId xmlns:a16="http://schemas.microsoft.com/office/drawing/2014/main" id="{A8EB2C0E-2B37-44FF-898F-D772F31125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7" name="Picture 31">
          <a:extLst>
            <a:ext uri="{FF2B5EF4-FFF2-40B4-BE49-F238E27FC236}">
              <a16:creationId xmlns:a16="http://schemas.microsoft.com/office/drawing/2014/main" id="{82FBEFBA-1D77-48B2-AD37-F73EFE6D82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8" name="Picture 31">
          <a:extLst>
            <a:ext uri="{FF2B5EF4-FFF2-40B4-BE49-F238E27FC236}">
              <a16:creationId xmlns:a16="http://schemas.microsoft.com/office/drawing/2014/main" id="{5CE66A20-793B-4C44-98E2-EA46648C97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89" name="Picture 31">
          <a:extLst>
            <a:ext uri="{FF2B5EF4-FFF2-40B4-BE49-F238E27FC236}">
              <a16:creationId xmlns:a16="http://schemas.microsoft.com/office/drawing/2014/main" id="{B01D9C39-6D88-44F1-B8C4-807B68F5278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0" name="Picture 31">
          <a:extLst>
            <a:ext uri="{FF2B5EF4-FFF2-40B4-BE49-F238E27FC236}">
              <a16:creationId xmlns:a16="http://schemas.microsoft.com/office/drawing/2014/main" id="{457E4AF2-FFB0-4A66-A200-131F1656FE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1" name="Picture 31">
          <a:extLst>
            <a:ext uri="{FF2B5EF4-FFF2-40B4-BE49-F238E27FC236}">
              <a16:creationId xmlns:a16="http://schemas.microsoft.com/office/drawing/2014/main" id="{EB7674BE-41EA-41FC-B7E9-C2AAAA59C6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2" name="Picture 31">
          <a:extLst>
            <a:ext uri="{FF2B5EF4-FFF2-40B4-BE49-F238E27FC236}">
              <a16:creationId xmlns:a16="http://schemas.microsoft.com/office/drawing/2014/main" id="{83A65A06-A336-43DF-AF12-D13F4CA6D5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3" name="Picture 31">
          <a:extLst>
            <a:ext uri="{FF2B5EF4-FFF2-40B4-BE49-F238E27FC236}">
              <a16:creationId xmlns:a16="http://schemas.microsoft.com/office/drawing/2014/main" id="{62CC3F5D-DDEC-4472-B1C4-170070C509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4" name="Picture 31">
          <a:extLst>
            <a:ext uri="{FF2B5EF4-FFF2-40B4-BE49-F238E27FC236}">
              <a16:creationId xmlns:a16="http://schemas.microsoft.com/office/drawing/2014/main" id="{A1B69494-F75B-4579-94A4-AF37D79A38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5" name="Picture 31">
          <a:extLst>
            <a:ext uri="{FF2B5EF4-FFF2-40B4-BE49-F238E27FC236}">
              <a16:creationId xmlns:a16="http://schemas.microsoft.com/office/drawing/2014/main" id="{EB51332B-64BF-4C64-A8BB-2E36D24C78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6" name="Picture 31">
          <a:extLst>
            <a:ext uri="{FF2B5EF4-FFF2-40B4-BE49-F238E27FC236}">
              <a16:creationId xmlns:a16="http://schemas.microsoft.com/office/drawing/2014/main" id="{6760A874-67F8-4E84-BA6A-26433DB334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7" name="Picture 31">
          <a:extLst>
            <a:ext uri="{FF2B5EF4-FFF2-40B4-BE49-F238E27FC236}">
              <a16:creationId xmlns:a16="http://schemas.microsoft.com/office/drawing/2014/main" id="{37EC0EF2-7BF5-4024-8F62-9BD4B8CECA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8" name="Picture 31">
          <a:extLst>
            <a:ext uri="{FF2B5EF4-FFF2-40B4-BE49-F238E27FC236}">
              <a16:creationId xmlns:a16="http://schemas.microsoft.com/office/drawing/2014/main" id="{C4AB1D8D-E94F-4CBE-8332-3915867782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899" name="Picture 31">
          <a:extLst>
            <a:ext uri="{FF2B5EF4-FFF2-40B4-BE49-F238E27FC236}">
              <a16:creationId xmlns:a16="http://schemas.microsoft.com/office/drawing/2014/main" id="{F7F43F54-D5CB-4FBB-9E5D-90CB25A852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0" name="Picture 31">
          <a:extLst>
            <a:ext uri="{FF2B5EF4-FFF2-40B4-BE49-F238E27FC236}">
              <a16:creationId xmlns:a16="http://schemas.microsoft.com/office/drawing/2014/main" id="{0F0A8C84-2CC1-412E-B727-10563CBC33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1" name="Picture 31">
          <a:extLst>
            <a:ext uri="{FF2B5EF4-FFF2-40B4-BE49-F238E27FC236}">
              <a16:creationId xmlns:a16="http://schemas.microsoft.com/office/drawing/2014/main" id="{5115C762-1FAE-4814-ABB7-16C978F6E8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2" name="Picture 31">
          <a:extLst>
            <a:ext uri="{FF2B5EF4-FFF2-40B4-BE49-F238E27FC236}">
              <a16:creationId xmlns:a16="http://schemas.microsoft.com/office/drawing/2014/main" id="{A0B9D5AD-4B43-4250-A26B-EF2BE0BAEA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3" name="Picture 31">
          <a:extLst>
            <a:ext uri="{FF2B5EF4-FFF2-40B4-BE49-F238E27FC236}">
              <a16:creationId xmlns:a16="http://schemas.microsoft.com/office/drawing/2014/main" id="{3CA11ACE-558A-4BC9-8FB2-35561141C3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4" name="Picture 31">
          <a:extLst>
            <a:ext uri="{FF2B5EF4-FFF2-40B4-BE49-F238E27FC236}">
              <a16:creationId xmlns:a16="http://schemas.microsoft.com/office/drawing/2014/main" id="{49E08A80-819B-4F84-8F8A-2E9B53590D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5" name="Picture 31">
          <a:extLst>
            <a:ext uri="{FF2B5EF4-FFF2-40B4-BE49-F238E27FC236}">
              <a16:creationId xmlns:a16="http://schemas.microsoft.com/office/drawing/2014/main" id="{23CF05C5-FD8E-4561-9E18-6D71CE0443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6" name="Picture 31">
          <a:extLst>
            <a:ext uri="{FF2B5EF4-FFF2-40B4-BE49-F238E27FC236}">
              <a16:creationId xmlns:a16="http://schemas.microsoft.com/office/drawing/2014/main" id="{49562185-6EC2-4B17-9D70-1E748B5A83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7" name="Picture 31">
          <a:extLst>
            <a:ext uri="{FF2B5EF4-FFF2-40B4-BE49-F238E27FC236}">
              <a16:creationId xmlns:a16="http://schemas.microsoft.com/office/drawing/2014/main" id="{A1804481-75DD-47F6-AFBA-4DBCAFA1B9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8" name="Picture 31">
          <a:extLst>
            <a:ext uri="{FF2B5EF4-FFF2-40B4-BE49-F238E27FC236}">
              <a16:creationId xmlns:a16="http://schemas.microsoft.com/office/drawing/2014/main" id="{3E7A07EE-55DA-49AD-99A1-510A9A56E2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09" name="Picture 31">
          <a:extLst>
            <a:ext uri="{FF2B5EF4-FFF2-40B4-BE49-F238E27FC236}">
              <a16:creationId xmlns:a16="http://schemas.microsoft.com/office/drawing/2014/main" id="{D1C5CB49-FDD0-40F5-A7D2-CD45062636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0" name="Picture 31">
          <a:extLst>
            <a:ext uri="{FF2B5EF4-FFF2-40B4-BE49-F238E27FC236}">
              <a16:creationId xmlns:a16="http://schemas.microsoft.com/office/drawing/2014/main" id="{AADB3963-4017-4D40-BB5C-55BABE002E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1" name="Picture 31">
          <a:extLst>
            <a:ext uri="{FF2B5EF4-FFF2-40B4-BE49-F238E27FC236}">
              <a16:creationId xmlns:a16="http://schemas.microsoft.com/office/drawing/2014/main" id="{A6E2A647-3721-4563-94DF-AD899787BD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2" name="Picture 31">
          <a:extLst>
            <a:ext uri="{FF2B5EF4-FFF2-40B4-BE49-F238E27FC236}">
              <a16:creationId xmlns:a16="http://schemas.microsoft.com/office/drawing/2014/main" id="{C1734A3A-165A-468B-A9F9-48602E4461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3" name="Picture 31">
          <a:extLst>
            <a:ext uri="{FF2B5EF4-FFF2-40B4-BE49-F238E27FC236}">
              <a16:creationId xmlns:a16="http://schemas.microsoft.com/office/drawing/2014/main" id="{B317292B-C5D4-46A4-AEB4-D64B0AD0E0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4" name="Picture 31">
          <a:extLst>
            <a:ext uri="{FF2B5EF4-FFF2-40B4-BE49-F238E27FC236}">
              <a16:creationId xmlns:a16="http://schemas.microsoft.com/office/drawing/2014/main" id="{3D749D58-C3ED-4C95-A2F2-FF7A55BC18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5" name="Picture 31">
          <a:extLst>
            <a:ext uri="{FF2B5EF4-FFF2-40B4-BE49-F238E27FC236}">
              <a16:creationId xmlns:a16="http://schemas.microsoft.com/office/drawing/2014/main" id="{C132CB2B-6F43-44A4-B5BF-FA1DBB8087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6" name="Picture 31">
          <a:extLst>
            <a:ext uri="{FF2B5EF4-FFF2-40B4-BE49-F238E27FC236}">
              <a16:creationId xmlns:a16="http://schemas.microsoft.com/office/drawing/2014/main" id="{587A3E33-291D-40AB-89E0-68E8EC26E9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7" name="Picture 31">
          <a:extLst>
            <a:ext uri="{FF2B5EF4-FFF2-40B4-BE49-F238E27FC236}">
              <a16:creationId xmlns:a16="http://schemas.microsoft.com/office/drawing/2014/main" id="{3F3A17E9-A568-4911-BE2F-8E972D1815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8" name="Picture 31">
          <a:extLst>
            <a:ext uri="{FF2B5EF4-FFF2-40B4-BE49-F238E27FC236}">
              <a16:creationId xmlns:a16="http://schemas.microsoft.com/office/drawing/2014/main" id="{50839934-B4EF-4422-A907-AEDED0A1DE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19" name="Picture 31">
          <a:extLst>
            <a:ext uri="{FF2B5EF4-FFF2-40B4-BE49-F238E27FC236}">
              <a16:creationId xmlns:a16="http://schemas.microsoft.com/office/drawing/2014/main" id="{D7130488-6237-4161-B7E4-626A4F4520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20" name="Picture 31">
          <a:extLst>
            <a:ext uri="{FF2B5EF4-FFF2-40B4-BE49-F238E27FC236}">
              <a16:creationId xmlns:a16="http://schemas.microsoft.com/office/drawing/2014/main" id="{8CD97D8F-D867-4748-932E-A19D3A135E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twoCellAnchor editAs="oneCell">
    <xdr:from>
      <xdr:col>2</xdr:col>
      <xdr:colOff>0</xdr:colOff>
      <xdr:row>78</xdr:row>
      <xdr:rowOff>0</xdr:rowOff>
    </xdr:from>
    <xdr:to>
      <xdr:col>2</xdr:col>
      <xdr:colOff>1221</xdr:colOff>
      <xdr:row>78</xdr:row>
      <xdr:rowOff>2994</xdr:rowOff>
    </xdr:to>
    <xdr:pic>
      <xdr:nvPicPr>
        <xdr:cNvPr id="1921" name="Picture 31">
          <a:extLst>
            <a:ext uri="{FF2B5EF4-FFF2-40B4-BE49-F238E27FC236}">
              <a16:creationId xmlns:a16="http://schemas.microsoft.com/office/drawing/2014/main" id="{D3779CF2-B0F6-4470-A88F-06ED5D2B79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04381300"/>
          <a:ext cx="0" cy="9525"/>
        </a:xfrm>
        <a:prstGeom prst="rect">
          <a:avLst/>
        </a:prstGeom>
        <a:noFill/>
        <a:ln w="9525">
          <a:noFill/>
          <a:miter lim="800000"/>
          <a:headEnd/>
          <a:tailEnd/>
        </a:ln>
      </xdr:spPr>
    </xdr:pic>
    <xdr:clientData/>
  </xdr:twoCellAnchor>
  <xdr:oneCellAnchor>
    <xdr:from>
      <xdr:col>2</xdr:col>
      <xdr:colOff>0</xdr:colOff>
      <xdr:row>247</xdr:row>
      <xdr:rowOff>0</xdr:rowOff>
    </xdr:from>
    <xdr:ext cx="0" cy="9525"/>
    <xdr:pic>
      <xdr:nvPicPr>
        <xdr:cNvPr id="1922" name="Picture 31">
          <a:extLst>
            <a:ext uri="{FF2B5EF4-FFF2-40B4-BE49-F238E27FC236}">
              <a16:creationId xmlns:a16="http://schemas.microsoft.com/office/drawing/2014/main" id="{974BCB85-2A96-41F5-91BC-67A304F7F7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3" name="Picture 31">
          <a:extLst>
            <a:ext uri="{FF2B5EF4-FFF2-40B4-BE49-F238E27FC236}">
              <a16:creationId xmlns:a16="http://schemas.microsoft.com/office/drawing/2014/main" id="{8FCA0BB2-580D-4806-B8D4-88CA0E6DEB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4" name="Picture 31">
          <a:extLst>
            <a:ext uri="{FF2B5EF4-FFF2-40B4-BE49-F238E27FC236}">
              <a16:creationId xmlns:a16="http://schemas.microsoft.com/office/drawing/2014/main" id="{78F72682-D7E4-4E4F-82A6-6F99DDCD39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5" name="Picture 31">
          <a:extLst>
            <a:ext uri="{FF2B5EF4-FFF2-40B4-BE49-F238E27FC236}">
              <a16:creationId xmlns:a16="http://schemas.microsoft.com/office/drawing/2014/main" id="{E88EF511-8D34-4BA1-B41C-2AB17B6D2B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6" name="Picture 31">
          <a:extLst>
            <a:ext uri="{FF2B5EF4-FFF2-40B4-BE49-F238E27FC236}">
              <a16:creationId xmlns:a16="http://schemas.microsoft.com/office/drawing/2014/main" id="{FD8DF363-937F-4F86-8B66-6A9454B79C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7" name="Picture 31">
          <a:extLst>
            <a:ext uri="{FF2B5EF4-FFF2-40B4-BE49-F238E27FC236}">
              <a16:creationId xmlns:a16="http://schemas.microsoft.com/office/drawing/2014/main" id="{A06621AC-F763-41C8-B3E7-7EE2DEA508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8" name="Picture 31">
          <a:extLst>
            <a:ext uri="{FF2B5EF4-FFF2-40B4-BE49-F238E27FC236}">
              <a16:creationId xmlns:a16="http://schemas.microsoft.com/office/drawing/2014/main" id="{3D80FED4-5FF2-4545-886B-A636DEAC93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29" name="Picture 31">
          <a:extLst>
            <a:ext uri="{FF2B5EF4-FFF2-40B4-BE49-F238E27FC236}">
              <a16:creationId xmlns:a16="http://schemas.microsoft.com/office/drawing/2014/main" id="{10033231-7E36-4771-9137-BA7312BC86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0" name="Picture 31">
          <a:extLst>
            <a:ext uri="{FF2B5EF4-FFF2-40B4-BE49-F238E27FC236}">
              <a16:creationId xmlns:a16="http://schemas.microsoft.com/office/drawing/2014/main" id="{ACA9C400-C74C-448B-9617-F8FD0133FE2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1" name="Picture 31">
          <a:extLst>
            <a:ext uri="{FF2B5EF4-FFF2-40B4-BE49-F238E27FC236}">
              <a16:creationId xmlns:a16="http://schemas.microsoft.com/office/drawing/2014/main" id="{E19ED4C9-2BAB-4809-9E42-BEE306545F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2" name="Picture 31">
          <a:extLst>
            <a:ext uri="{FF2B5EF4-FFF2-40B4-BE49-F238E27FC236}">
              <a16:creationId xmlns:a16="http://schemas.microsoft.com/office/drawing/2014/main" id="{22B9D30E-D226-4425-8E4C-24936AA627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3" name="Picture 31">
          <a:extLst>
            <a:ext uri="{FF2B5EF4-FFF2-40B4-BE49-F238E27FC236}">
              <a16:creationId xmlns:a16="http://schemas.microsoft.com/office/drawing/2014/main" id="{AFF8213A-6652-4F06-9EEE-528673156A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4" name="Picture 31">
          <a:extLst>
            <a:ext uri="{FF2B5EF4-FFF2-40B4-BE49-F238E27FC236}">
              <a16:creationId xmlns:a16="http://schemas.microsoft.com/office/drawing/2014/main" id="{D08667E0-82E7-4A5D-A0AF-A3EB8CBDF5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5" name="Picture 31">
          <a:extLst>
            <a:ext uri="{FF2B5EF4-FFF2-40B4-BE49-F238E27FC236}">
              <a16:creationId xmlns:a16="http://schemas.microsoft.com/office/drawing/2014/main" id="{305F6350-C92A-40E4-9AD9-71FBE297BB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6" name="Picture 31">
          <a:extLst>
            <a:ext uri="{FF2B5EF4-FFF2-40B4-BE49-F238E27FC236}">
              <a16:creationId xmlns:a16="http://schemas.microsoft.com/office/drawing/2014/main" id="{03BE2125-B404-48C2-9C4F-EC6E3CD359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7" name="Picture 31">
          <a:extLst>
            <a:ext uri="{FF2B5EF4-FFF2-40B4-BE49-F238E27FC236}">
              <a16:creationId xmlns:a16="http://schemas.microsoft.com/office/drawing/2014/main" id="{092CB9A5-B80A-48BE-9243-E35878F453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8" name="Picture 31">
          <a:extLst>
            <a:ext uri="{FF2B5EF4-FFF2-40B4-BE49-F238E27FC236}">
              <a16:creationId xmlns:a16="http://schemas.microsoft.com/office/drawing/2014/main" id="{3ED654A0-C0BC-4250-BA68-2782C385C3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39" name="Picture 31">
          <a:extLst>
            <a:ext uri="{FF2B5EF4-FFF2-40B4-BE49-F238E27FC236}">
              <a16:creationId xmlns:a16="http://schemas.microsoft.com/office/drawing/2014/main" id="{9CC6A724-8599-42D2-903E-4BD68168AF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0" name="Picture 31">
          <a:extLst>
            <a:ext uri="{FF2B5EF4-FFF2-40B4-BE49-F238E27FC236}">
              <a16:creationId xmlns:a16="http://schemas.microsoft.com/office/drawing/2014/main" id="{65E25FB2-31F8-41D5-AF2B-C618533597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1" name="Picture 31">
          <a:extLst>
            <a:ext uri="{FF2B5EF4-FFF2-40B4-BE49-F238E27FC236}">
              <a16:creationId xmlns:a16="http://schemas.microsoft.com/office/drawing/2014/main" id="{B984BEB2-B512-4A3E-8783-BF9C1F6E12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2" name="Picture 31">
          <a:extLst>
            <a:ext uri="{FF2B5EF4-FFF2-40B4-BE49-F238E27FC236}">
              <a16:creationId xmlns:a16="http://schemas.microsoft.com/office/drawing/2014/main" id="{33691A77-BE9D-41B5-95DD-8C7B4A698C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3" name="Picture 31">
          <a:extLst>
            <a:ext uri="{FF2B5EF4-FFF2-40B4-BE49-F238E27FC236}">
              <a16:creationId xmlns:a16="http://schemas.microsoft.com/office/drawing/2014/main" id="{BCFE38BB-2A86-497A-BC81-E439C521F5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4" name="Picture 31">
          <a:extLst>
            <a:ext uri="{FF2B5EF4-FFF2-40B4-BE49-F238E27FC236}">
              <a16:creationId xmlns:a16="http://schemas.microsoft.com/office/drawing/2014/main" id="{CDBE9A7C-93E1-4DEE-8A14-B21ECE3096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5" name="Picture 31">
          <a:extLst>
            <a:ext uri="{FF2B5EF4-FFF2-40B4-BE49-F238E27FC236}">
              <a16:creationId xmlns:a16="http://schemas.microsoft.com/office/drawing/2014/main" id="{63879830-C714-4B0C-843D-80D7B94BD3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6" name="Picture 31">
          <a:extLst>
            <a:ext uri="{FF2B5EF4-FFF2-40B4-BE49-F238E27FC236}">
              <a16:creationId xmlns:a16="http://schemas.microsoft.com/office/drawing/2014/main" id="{312D3A9F-2D6B-4F1C-B93A-207E703EFF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7" name="Picture 31">
          <a:extLst>
            <a:ext uri="{FF2B5EF4-FFF2-40B4-BE49-F238E27FC236}">
              <a16:creationId xmlns:a16="http://schemas.microsoft.com/office/drawing/2014/main" id="{D9B633B1-053B-4121-9E8B-3C32CE2E3B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8" name="Picture 31">
          <a:extLst>
            <a:ext uri="{FF2B5EF4-FFF2-40B4-BE49-F238E27FC236}">
              <a16:creationId xmlns:a16="http://schemas.microsoft.com/office/drawing/2014/main" id="{1F8C835C-6946-4918-AB6F-474DC03302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49" name="Picture 31">
          <a:extLst>
            <a:ext uri="{FF2B5EF4-FFF2-40B4-BE49-F238E27FC236}">
              <a16:creationId xmlns:a16="http://schemas.microsoft.com/office/drawing/2014/main" id="{A24CF1DC-BFDB-4138-981B-E4DD520AB95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0" name="Picture 31">
          <a:extLst>
            <a:ext uri="{FF2B5EF4-FFF2-40B4-BE49-F238E27FC236}">
              <a16:creationId xmlns:a16="http://schemas.microsoft.com/office/drawing/2014/main" id="{BE829107-6A90-4C51-9FED-446514CF0D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1" name="Picture 31">
          <a:extLst>
            <a:ext uri="{FF2B5EF4-FFF2-40B4-BE49-F238E27FC236}">
              <a16:creationId xmlns:a16="http://schemas.microsoft.com/office/drawing/2014/main" id="{498E3B8E-D2B6-4A12-AC04-78E9D86900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2" name="Picture 31">
          <a:extLst>
            <a:ext uri="{FF2B5EF4-FFF2-40B4-BE49-F238E27FC236}">
              <a16:creationId xmlns:a16="http://schemas.microsoft.com/office/drawing/2014/main" id="{B7CA2D8F-7717-4D86-B77D-3C1D9A90D7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3" name="Picture 31">
          <a:extLst>
            <a:ext uri="{FF2B5EF4-FFF2-40B4-BE49-F238E27FC236}">
              <a16:creationId xmlns:a16="http://schemas.microsoft.com/office/drawing/2014/main" id="{80E885B1-C5F0-49C8-9E41-5990B94B45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4" name="Picture 31">
          <a:extLst>
            <a:ext uri="{FF2B5EF4-FFF2-40B4-BE49-F238E27FC236}">
              <a16:creationId xmlns:a16="http://schemas.microsoft.com/office/drawing/2014/main" id="{5B2B8BFE-A276-4E60-A650-9C7B994C34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5" name="Picture 31">
          <a:extLst>
            <a:ext uri="{FF2B5EF4-FFF2-40B4-BE49-F238E27FC236}">
              <a16:creationId xmlns:a16="http://schemas.microsoft.com/office/drawing/2014/main" id="{E4C95B76-02EF-4425-B97F-6BA4C092E6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6" name="Picture 31">
          <a:extLst>
            <a:ext uri="{FF2B5EF4-FFF2-40B4-BE49-F238E27FC236}">
              <a16:creationId xmlns:a16="http://schemas.microsoft.com/office/drawing/2014/main" id="{374483E8-A7F2-40B3-9340-8B8950A906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7" name="Picture 31">
          <a:extLst>
            <a:ext uri="{FF2B5EF4-FFF2-40B4-BE49-F238E27FC236}">
              <a16:creationId xmlns:a16="http://schemas.microsoft.com/office/drawing/2014/main" id="{C5274CD7-2CA2-40EC-AC45-87FBF224B8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8" name="Picture 31">
          <a:extLst>
            <a:ext uri="{FF2B5EF4-FFF2-40B4-BE49-F238E27FC236}">
              <a16:creationId xmlns:a16="http://schemas.microsoft.com/office/drawing/2014/main" id="{DF4EBC22-F42B-4774-9A5C-813AB0EF798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59" name="Picture 31">
          <a:extLst>
            <a:ext uri="{FF2B5EF4-FFF2-40B4-BE49-F238E27FC236}">
              <a16:creationId xmlns:a16="http://schemas.microsoft.com/office/drawing/2014/main" id="{0B3E633A-204C-4A3F-A572-8D89563C4E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0" name="Picture 31">
          <a:extLst>
            <a:ext uri="{FF2B5EF4-FFF2-40B4-BE49-F238E27FC236}">
              <a16:creationId xmlns:a16="http://schemas.microsoft.com/office/drawing/2014/main" id="{AC9DF4F9-BDFB-4A4E-8CB5-50ACF35F2A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1" name="Picture 31">
          <a:extLst>
            <a:ext uri="{FF2B5EF4-FFF2-40B4-BE49-F238E27FC236}">
              <a16:creationId xmlns:a16="http://schemas.microsoft.com/office/drawing/2014/main" id="{2C4925C6-FA4E-4ED7-8689-C8A0691218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2" name="Picture 31">
          <a:extLst>
            <a:ext uri="{FF2B5EF4-FFF2-40B4-BE49-F238E27FC236}">
              <a16:creationId xmlns:a16="http://schemas.microsoft.com/office/drawing/2014/main" id="{CEE941FB-1145-4769-95A0-0FD4B53A1B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3" name="Picture 31">
          <a:extLst>
            <a:ext uri="{FF2B5EF4-FFF2-40B4-BE49-F238E27FC236}">
              <a16:creationId xmlns:a16="http://schemas.microsoft.com/office/drawing/2014/main" id="{79C5E851-698F-496D-9D9E-5D9574CF91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4" name="Picture 31">
          <a:extLst>
            <a:ext uri="{FF2B5EF4-FFF2-40B4-BE49-F238E27FC236}">
              <a16:creationId xmlns:a16="http://schemas.microsoft.com/office/drawing/2014/main" id="{A297BA32-979E-496A-B623-91A01F1391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5" name="Picture 31">
          <a:extLst>
            <a:ext uri="{FF2B5EF4-FFF2-40B4-BE49-F238E27FC236}">
              <a16:creationId xmlns:a16="http://schemas.microsoft.com/office/drawing/2014/main" id="{24BC7AE5-E843-477C-95F3-3D779028EA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6" name="Picture 31">
          <a:extLst>
            <a:ext uri="{FF2B5EF4-FFF2-40B4-BE49-F238E27FC236}">
              <a16:creationId xmlns:a16="http://schemas.microsoft.com/office/drawing/2014/main" id="{A26FD66D-8BEE-453E-9311-242C8281D3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7" name="Picture 31">
          <a:extLst>
            <a:ext uri="{FF2B5EF4-FFF2-40B4-BE49-F238E27FC236}">
              <a16:creationId xmlns:a16="http://schemas.microsoft.com/office/drawing/2014/main" id="{50765F54-76D4-4D94-9F85-AD0A1C101B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8" name="Picture 31">
          <a:extLst>
            <a:ext uri="{FF2B5EF4-FFF2-40B4-BE49-F238E27FC236}">
              <a16:creationId xmlns:a16="http://schemas.microsoft.com/office/drawing/2014/main" id="{ADAE51F9-7D05-407B-AD51-1F0BEA869C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69" name="Picture 31">
          <a:extLst>
            <a:ext uri="{FF2B5EF4-FFF2-40B4-BE49-F238E27FC236}">
              <a16:creationId xmlns:a16="http://schemas.microsoft.com/office/drawing/2014/main" id="{5D219C43-5816-4C64-B352-AB6CB39D21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0" name="Picture 31">
          <a:extLst>
            <a:ext uri="{FF2B5EF4-FFF2-40B4-BE49-F238E27FC236}">
              <a16:creationId xmlns:a16="http://schemas.microsoft.com/office/drawing/2014/main" id="{C4650799-7C1B-437F-ADF4-E38A6AC5D8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1" name="Picture 31">
          <a:extLst>
            <a:ext uri="{FF2B5EF4-FFF2-40B4-BE49-F238E27FC236}">
              <a16:creationId xmlns:a16="http://schemas.microsoft.com/office/drawing/2014/main" id="{7284CDDC-52D1-47E1-AA95-A778D17A67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2" name="Picture 31">
          <a:extLst>
            <a:ext uri="{FF2B5EF4-FFF2-40B4-BE49-F238E27FC236}">
              <a16:creationId xmlns:a16="http://schemas.microsoft.com/office/drawing/2014/main" id="{48295965-F429-453E-8D8C-CA3D489F1E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3" name="Picture 31">
          <a:extLst>
            <a:ext uri="{FF2B5EF4-FFF2-40B4-BE49-F238E27FC236}">
              <a16:creationId xmlns:a16="http://schemas.microsoft.com/office/drawing/2014/main" id="{688E6F25-4E50-490E-AA89-620B6485C1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4" name="Picture 31">
          <a:extLst>
            <a:ext uri="{FF2B5EF4-FFF2-40B4-BE49-F238E27FC236}">
              <a16:creationId xmlns:a16="http://schemas.microsoft.com/office/drawing/2014/main" id="{797FD855-68AD-4EBF-B868-7B7976551B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5" name="Picture 31">
          <a:extLst>
            <a:ext uri="{FF2B5EF4-FFF2-40B4-BE49-F238E27FC236}">
              <a16:creationId xmlns:a16="http://schemas.microsoft.com/office/drawing/2014/main" id="{F954C2CD-42F1-407D-9578-3100B9034C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6" name="Picture 31">
          <a:extLst>
            <a:ext uri="{FF2B5EF4-FFF2-40B4-BE49-F238E27FC236}">
              <a16:creationId xmlns:a16="http://schemas.microsoft.com/office/drawing/2014/main" id="{7AC479E1-A9B0-4036-A0FF-48C2336074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7" name="Picture 31">
          <a:extLst>
            <a:ext uri="{FF2B5EF4-FFF2-40B4-BE49-F238E27FC236}">
              <a16:creationId xmlns:a16="http://schemas.microsoft.com/office/drawing/2014/main" id="{7279A661-E8C3-4CEF-B920-9FCD7C8D4B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8" name="Picture 31">
          <a:extLst>
            <a:ext uri="{FF2B5EF4-FFF2-40B4-BE49-F238E27FC236}">
              <a16:creationId xmlns:a16="http://schemas.microsoft.com/office/drawing/2014/main" id="{B7144551-2B7F-4374-A0A5-565EB265DF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79" name="Picture 31">
          <a:extLst>
            <a:ext uri="{FF2B5EF4-FFF2-40B4-BE49-F238E27FC236}">
              <a16:creationId xmlns:a16="http://schemas.microsoft.com/office/drawing/2014/main" id="{2C901E8A-3AE8-44F6-9256-AF97362BC6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0" name="Picture 31">
          <a:extLst>
            <a:ext uri="{FF2B5EF4-FFF2-40B4-BE49-F238E27FC236}">
              <a16:creationId xmlns:a16="http://schemas.microsoft.com/office/drawing/2014/main" id="{D373D719-97ED-4E46-BF85-DE1CE14DF3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1" name="Picture 31">
          <a:extLst>
            <a:ext uri="{FF2B5EF4-FFF2-40B4-BE49-F238E27FC236}">
              <a16:creationId xmlns:a16="http://schemas.microsoft.com/office/drawing/2014/main" id="{2CE9F85E-9909-46A4-927C-4435C293DB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2" name="Picture 31">
          <a:extLst>
            <a:ext uri="{FF2B5EF4-FFF2-40B4-BE49-F238E27FC236}">
              <a16:creationId xmlns:a16="http://schemas.microsoft.com/office/drawing/2014/main" id="{131426E9-90BC-460A-AFDC-B1E79D79BF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3" name="Picture 31">
          <a:extLst>
            <a:ext uri="{FF2B5EF4-FFF2-40B4-BE49-F238E27FC236}">
              <a16:creationId xmlns:a16="http://schemas.microsoft.com/office/drawing/2014/main" id="{CE3A8751-1443-40C6-9B89-4CCA226EA9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4" name="Picture 31">
          <a:extLst>
            <a:ext uri="{FF2B5EF4-FFF2-40B4-BE49-F238E27FC236}">
              <a16:creationId xmlns:a16="http://schemas.microsoft.com/office/drawing/2014/main" id="{EA9A1E8B-1313-496E-BD7B-D38937E580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5" name="Picture 31">
          <a:extLst>
            <a:ext uri="{FF2B5EF4-FFF2-40B4-BE49-F238E27FC236}">
              <a16:creationId xmlns:a16="http://schemas.microsoft.com/office/drawing/2014/main" id="{76B63C70-117E-45BD-84C8-DE48D886BB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6" name="Picture 31">
          <a:extLst>
            <a:ext uri="{FF2B5EF4-FFF2-40B4-BE49-F238E27FC236}">
              <a16:creationId xmlns:a16="http://schemas.microsoft.com/office/drawing/2014/main" id="{B6990CD0-7BBC-4932-8152-6CDF0A635A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7" name="Picture 31">
          <a:extLst>
            <a:ext uri="{FF2B5EF4-FFF2-40B4-BE49-F238E27FC236}">
              <a16:creationId xmlns:a16="http://schemas.microsoft.com/office/drawing/2014/main" id="{9B08899E-14DA-4811-A89B-BF4CCB93EC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8" name="Picture 31">
          <a:extLst>
            <a:ext uri="{FF2B5EF4-FFF2-40B4-BE49-F238E27FC236}">
              <a16:creationId xmlns:a16="http://schemas.microsoft.com/office/drawing/2014/main" id="{68023F98-23F8-4C75-AA20-9A03BCC581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89" name="Picture 31">
          <a:extLst>
            <a:ext uri="{FF2B5EF4-FFF2-40B4-BE49-F238E27FC236}">
              <a16:creationId xmlns:a16="http://schemas.microsoft.com/office/drawing/2014/main" id="{513F5E59-CD34-4EE1-AEF8-E091395ABF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0" name="Picture 31">
          <a:extLst>
            <a:ext uri="{FF2B5EF4-FFF2-40B4-BE49-F238E27FC236}">
              <a16:creationId xmlns:a16="http://schemas.microsoft.com/office/drawing/2014/main" id="{D5FC1D9C-1E92-4D18-B666-F53674D989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1" name="Picture 31">
          <a:extLst>
            <a:ext uri="{FF2B5EF4-FFF2-40B4-BE49-F238E27FC236}">
              <a16:creationId xmlns:a16="http://schemas.microsoft.com/office/drawing/2014/main" id="{52D48A01-F762-4249-8C5A-D308C1902B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2" name="Picture 31">
          <a:extLst>
            <a:ext uri="{FF2B5EF4-FFF2-40B4-BE49-F238E27FC236}">
              <a16:creationId xmlns:a16="http://schemas.microsoft.com/office/drawing/2014/main" id="{02255D58-26B5-4B72-86DE-A26D3131B7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3" name="Picture 31">
          <a:extLst>
            <a:ext uri="{FF2B5EF4-FFF2-40B4-BE49-F238E27FC236}">
              <a16:creationId xmlns:a16="http://schemas.microsoft.com/office/drawing/2014/main" id="{813F3AE3-B0BD-4A10-BD18-E1751BF2E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4" name="Picture 31">
          <a:extLst>
            <a:ext uri="{FF2B5EF4-FFF2-40B4-BE49-F238E27FC236}">
              <a16:creationId xmlns:a16="http://schemas.microsoft.com/office/drawing/2014/main" id="{F45428A1-11C1-4AC7-8EB1-F737B43313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5" name="Picture 31">
          <a:extLst>
            <a:ext uri="{FF2B5EF4-FFF2-40B4-BE49-F238E27FC236}">
              <a16:creationId xmlns:a16="http://schemas.microsoft.com/office/drawing/2014/main" id="{12AD54E8-D867-4FDA-977C-C714CDA41C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6" name="Picture 31">
          <a:extLst>
            <a:ext uri="{FF2B5EF4-FFF2-40B4-BE49-F238E27FC236}">
              <a16:creationId xmlns:a16="http://schemas.microsoft.com/office/drawing/2014/main" id="{126C8C8B-4C04-4A3F-99A1-C880206593B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7" name="Picture 31">
          <a:extLst>
            <a:ext uri="{FF2B5EF4-FFF2-40B4-BE49-F238E27FC236}">
              <a16:creationId xmlns:a16="http://schemas.microsoft.com/office/drawing/2014/main" id="{A6CA61D2-46DC-4BFA-A9CE-FC9D75B1DB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8" name="Picture 31">
          <a:extLst>
            <a:ext uri="{FF2B5EF4-FFF2-40B4-BE49-F238E27FC236}">
              <a16:creationId xmlns:a16="http://schemas.microsoft.com/office/drawing/2014/main" id="{E7A551F6-B425-48D1-A69B-145C651FF5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1999" name="Picture 31">
          <a:extLst>
            <a:ext uri="{FF2B5EF4-FFF2-40B4-BE49-F238E27FC236}">
              <a16:creationId xmlns:a16="http://schemas.microsoft.com/office/drawing/2014/main" id="{38EA09B6-E239-4B10-B852-99112528A2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0" name="Picture 31">
          <a:extLst>
            <a:ext uri="{FF2B5EF4-FFF2-40B4-BE49-F238E27FC236}">
              <a16:creationId xmlns:a16="http://schemas.microsoft.com/office/drawing/2014/main" id="{0EABBBAC-74DA-4A23-9271-ABFCE737C8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1" name="Picture 31">
          <a:extLst>
            <a:ext uri="{FF2B5EF4-FFF2-40B4-BE49-F238E27FC236}">
              <a16:creationId xmlns:a16="http://schemas.microsoft.com/office/drawing/2014/main" id="{7325A92F-244F-4E82-B6DF-59FFDB7100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2" name="Picture 31">
          <a:extLst>
            <a:ext uri="{FF2B5EF4-FFF2-40B4-BE49-F238E27FC236}">
              <a16:creationId xmlns:a16="http://schemas.microsoft.com/office/drawing/2014/main" id="{ED90C671-9F2C-4121-8F5A-B8C4A6502D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3" name="Picture 31">
          <a:extLst>
            <a:ext uri="{FF2B5EF4-FFF2-40B4-BE49-F238E27FC236}">
              <a16:creationId xmlns:a16="http://schemas.microsoft.com/office/drawing/2014/main" id="{ACFFE8F2-0B25-4263-8230-9024046417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4" name="Picture 31">
          <a:extLst>
            <a:ext uri="{FF2B5EF4-FFF2-40B4-BE49-F238E27FC236}">
              <a16:creationId xmlns:a16="http://schemas.microsoft.com/office/drawing/2014/main" id="{25583CF1-F0EC-4327-83FA-E0CC7E16A9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5" name="Picture 31">
          <a:extLst>
            <a:ext uri="{FF2B5EF4-FFF2-40B4-BE49-F238E27FC236}">
              <a16:creationId xmlns:a16="http://schemas.microsoft.com/office/drawing/2014/main" id="{2F07454A-A093-4943-93E9-736F41BAC3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6" name="Picture 31">
          <a:extLst>
            <a:ext uri="{FF2B5EF4-FFF2-40B4-BE49-F238E27FC236}">
              <a16:creationId xmlns:a16="http://schemas.microsoft.com/office/drawing/2014/main" id="{33A14B6C-E2B7-455A-B419-B5BD63EFD5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7" name="Picture 31">
          <a:extLst>
            <a:ext uri="{FF2B5EF4-FFF2-40B4-BE49-F238E27FC236}">
              <a16:creationId xmlns:a16="http://schemas.microsoft.com/office/drawing/2014/main" id="{494818C4-1DB3-4167-9460-2AC8AD230B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8" name="Picture 31">
          <a:extLst>
            <a:ext uri="{FF2B5EF4-FFF2-40B4-BE49-F238E27FC236}">
              <a16:creationId xmlns:a16="http://schemas.microsoft.com/office/drawing/2014/main" id="{50B38FAB-7CB4-4091-8584-8948AFE664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09" name="Picture 31">
          <a:extLst>
            <a:ext uri="{FF2B5EF4-FFF2-40B4-BE49-F238E27FC236}">
              <a16:creationId xmlns:a16="http://schemas.microsoft.com/office/drawing/2014/main" id="{D511BC27-6A16-4821-9C25-A759DD94D5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0" name="Picture 31">
          <a:extLst>
            <a:ext uri="{FF2B5EF4-FFF2-40B4-BE49-F238E27FC236}">
              <a16:creationId xmlns:a16="http://schemas.microsoft.com/office/drawing/2014/main" id="{EE2624C0-408D-4D33-AA4C-824BC5C052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1" name="Picture 31">
          <a:extLst>
            <a:ext uri="{FF2B5EF4-FFF2-40B4-BE49-F238E27FC236}">
              <a16:creationId xmlns:a16="http://schemas.microsoft.com/office/drawing/2014/main" id="{4B5E27B4-28FF-4B5A-9A63-94D7182F6C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2" name="Picture 31">
          <a:extLst>
            <a:ext uri="{FF2B5EF4-FFF2-40B4-BE49-F238E27FC236}">
              <a16:creationId xmlns:a16="http://schemas.microsoft.com/office/drawing/2014/main" id="{45EC318D-FBD7-4D1F-9850-BD70E25D83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3" name="Picture 31">
          <a:extLst>
            <a:ext uri="{FF2B5EF4-FFF2-40B4-BE49-F238E27FC236}">
              <a16:creationId xmlns:a16="http://schemas.microsoft.com/office/drawing/2014/main" id="{BBC08224-1567-45AB-9886-A6E080138D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4" name="Picture 31">
          <a:extLst>
            <a:ext uri="{FF2B5EF4-FFF2-40B4-BE49-F238E27FC236}">
              <a16:creationId xmlns:a16="http://schemas.microsoft.com/office/drawing/2014/main" id="{68B82184-1C2C-429C-A57D-16E39794BC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5" name="Picture 31">
          <a:extLst>
            <a:ext uri="{FF2B5EF4-FFF2-40B4-BE49-F238E27FC236}">
              <a16:creationId xmlns:a16="http://schemas.microsoft.com/office/drawing/2014/main" id="{3FBF9A04-5AC1-4356-9414-A55C80ED43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6" name="Picture 31">
          <a:extLst>
            <a:ext uri="{FF2B5EF4-FFF2-40B4-BE49-F238E27FC236}">
              <a16:creationId xmlns:a16="http://schemas.microsoft.com/office/drawing/2014/main" id="{3382BD6C-6277-4678-B0A6-13F7ED0366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7" name="Picture 31">
          <a:extLst>
            <a:ext uri="{FF2B5EF4-FFF2-40B4-BE49-F238E27FC236}">
              <a16:creationId xmlns:a16="http://schemas.microsoft.com/office/drawing/2014/main" id="{AC391EB9-9A55-4E6E-B0DB-1B1AF091E8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8" name="Picture 31">
          <a:extLst>
            <a:ext uri="{FF2B5EF4-FFF2-40B4-BE49-F238E27FC236}">
              <a16:creationId xmlns:a16="http://schemas.microsoft.com/office/drawing/2014/main" id="{59FEB6AA-7C42-4752-8FD2-7FC588BA1A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19" name="Picture 31">
          <a:extLst>
            <a:ext uri="{FF2B5EF4-FFF2-40B4-BE49-F238E27FC236}">
              <a16:creationId xmlns:a16="http://schemas.microsoft.com/office/drawing/2014/main" id="{DD3BB1FE-7FA6-43A9-BEB0-8D9270206C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0" name="Picture 31">
          <a:extLst>
            <a:ext uri="{FF2B5EF4-FFF2-40B4-BE49-F238E27FC236}">
              <a16:creationId xmlns:a16="http://schemas.microsoft.com/office/drawing/2014/main" id="{84DEA306-B196-4A18-83E7-53616FB324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1" name="Picture 31">
          <a:extLst>
            <a:ext uri="{FF2B5EF4-FFF2-40B4-BE49-F238E27FC236}">
              <a16:creationId xmlns:a16="http://schemas.microsoft.com/office/drawing/2014/main" id="{4911BA0B-8CFB-4316-973B-EC97DE4286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2" name="Picture 31">
          <a:extLst>
            <a:ext uri="{FF2B5EF4-FFF2-40B4-BE49-F238E27FC236}">
              <a16:creationId xmlns:a16="http://schemas.microsoft.com/office/drawing/2014/main" id="{34C9E965-63DE-47E3-BAD7-19DED49C35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3" name="Picture 31">
          <a:extLst>
            <a:ext uri="{FF2B5EF4-FFF2-40B4-BE49-F238E27FC236}">
              <a16:creationId xmlns:a16="http://schemas.microsoft.com/office/drawing/2014/main" id="{1DF50075-F419-41BC-B945-342CE2280F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4" name="Picture 31">
          <a:extLst>
            <a:ext uri="{FF2B5EF4-FFF2-40B4-BE49-F238E27FC236}">
              <a16:creationId xmlns:a16="http://schemas.microsoft.com/office/drawing/2014/main" id="{85A207ED-E5D1-4470-9A76-5E5DD61A75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5" name="Picture 31">
          <a:extLst>
            <a:ext uri="{FF2B5EF4-FFF2-40B4-BE49-F238E27FC236}">
              <a16:creationId xmlns:a16="http://schemas.microsoft.com/office/drawing/2014/main" id="{DC91BA27-2EF5-4F78-BEB4-D838C926DC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6" name="Picture 31">
          <a:extLst>
            <a:ext uri="{FF2B5EF4-FFF2-40B4-BE49-F238E27FC236}">
              <a16:creationId xmlns:a16="http://schemas.microsoft.com/office/drawing/2014/main" id="{5974445E-AA2C-436F-A5EA-A85F6D1070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7" name="Picture 31">
          <a:extLst>
            <a:ext uri="{FF2B5EF4-FFF2-40B4-BE49-F238E27FC236}">
              <a16:creationId xmlns:a16="http://schemas.microsoft.com/office/drawing/2014/main" id="{60576C14-9842-4C51-873A-16D15A1E5F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8" name="Picture 31">
          <a:extLst>
            <a:ext uri="{FF2B5EF4-FFF2-40B4-BE49-F238E27FC236}">
              <a16:creationId xmlns:a16="http://schemas.microsoft.com/office/drawing/2014/main" id="{D5808F09-200C-47CD-9D6B-165340D246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29" name="Picture 31">
          <a:extLst>
            <a:ext uri="{FF2B5EF4-FFF2-40B4-BE49-F238E27FC236}">
              <a16:creationId xmlns:a16="http://schemas.microsoft.com/office/drawing/2014/main" id="{5960F509-9D6C-44D6-9B1D-E0E4FC6C34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0" name="Picture 31">
          <a:extLst>
            <a:ext uri="{FF2B5EF4-FFF2-40B4-BE49-F238E27FC236}">
              <a16:creationId xmlns:a16="http://schemas.microsoft.com/office/drawing/2014/main" id="{67F52854-F8E6-472B-AE1A-A872378500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1" name="Picture 31">
          <a:extLst>
            <a:ext uri="{FF2B5EF4-FFF2-40B4-BE49-F238E27FC236}">
              <a16:creationId xmlns:a16="http://schemas.microsoft.com/office/drawing/2014/main" id="{BE1137D7-4ACC-4093-B0E8-2F40284AFE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2" name="Picture 31">
          <a:extLst>
            <a:ext uri="{FF2B5EF4-FFF2-40B4-BE49-F238E27FC236}">
              <a16:creationId xmlns:a16="http://schemas.microsoft.com/office/drawing/2014/main" id="{5CD0158F-DBC1-436F-986C-90F538C2DA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3" name="Picture 31">
          <a:extLst>
            <a:ext uri="{FF2B5EF4-FFF2-40B4-BE49-F238E27FC236}">
              <a16:creationId xmlns:a16="http://schemas.microsoft.com/office/drawing/2014/main" id="{E9A487A0-582A-4E52-A618-C5442B6F93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4" name="Picture 31">
          <a:extLst>
            <a:ext uri="{FF2B5EF4-FFF2-40B4-BE49-F238E27FC236}">
              <a16:creationId xmlns:a16="http://schemas.microsoft.com/office/drawing/2014/main" id="{1305441B-4746-4DE2-8889-D447EDE150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5" name="Picture 31">
          <a:extLst>
            <a:ext uri="{FF2B5EF4-FFF2-40B4-BE49-F238E27FC236}">
              <a16:creationId xmlns:a16="http://schemas.microsoft.com/office/drawing/2014/main" id="{6DBBFAE1-5B3E-432B-9F12-CCFFD63E5C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6" name="Picture 31">
          <a:extLst>
            <a:ext uri="{FF2B5EF4-FFF2-40B4-BE49-F238E27FC236}">
              <a16:creationId xmlns:a16="http://schemas.microsoft.com/office/drawing/2014/main" id="{E3306E25-1A68-4140-998D-FCCA289475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7" name="Picture 31">
          <a:extLst>
            <a:ext uri="{FF2B5EF4-FFF2-40B4-BE49-F238E27FC236}">
              <a16:creationId xmlns:a16="http://schemas.microsoft.com/office/drawing/2014/main" id="{F994B7B7-741F-43C6-9993-630C1FED40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8" name="Picture 31">
          <a:extLst>
            <a:ext uri="{FF2B5EF4-FFF2-40B4-BE49-F238E27FC236}">
              <a16:creationId xmlns:a16="http://schemas.microsoft.com/office/drawing/2014/main" id="{A345FB01-A790-4B69-9B64-84B3AC9386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39" name="Picture 31">
          <a:extLst>
            <a:ext uri="{FF2B5EF4-FFF2-40B4-BE49-F238E27FC236}">
              <a16:creationId xmlns:a16="http://schemas.microsoft.com/office/drawing/2014/main" id="{0D7CE93F-8EC8-440A-8BD4-EA152A023D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0" name="Picture 31">
          <a:extLst>
            <a:ext uri="{FF2B5EF4-FFF2-40B4-BE49-F238E27FC236}">
              <a16:creationId xmlns:a16="http://schemas.microsoft.com/office/drawing/2014/main" id="{C0137902-EF14-4EA6-B88B-D2C16C4134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1" name="Picture 31">
          <a:extLst>
            <a:ext uri="{FF2B5EF4-FFF2-40B4-BE49-F238E27FC236}">
              <a16:creationId xmlns:a16="http://schemas.microsoft.com/office/drawing/2014/main" id="{7A98D2E9-A920-4E41-AB56-03A1F846CB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2" name="Picture 31">
          <a:extLst>
            <a:ext uri="{FF2B5EF4-FFF2-40B4-BE49-F238E27FC236}">
              <a16:creationId xmlns:a16="http://schemas.microsoft.com/office/drawing/2014/main" id="{02F6CF73-5E53-4049-857A-909DC9B990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3" name="Picture 31">
          <a:extLst>
            <a:ext uri="{FF2B5EF4-FFF2-40B4-BE49-F238E27FC236}">
              <a16:creationId xmlns:a16="http://schemas.microsoft.com/office/drawing/2014/main" id="{8835565B-E3B0-40DF-826F-832524E1FB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4" name="Picture 31">
          <a:extLst>
            <a:ext uri="{FF2B5EF4-FFF2-40B4-BE49-F238E27FC236}">
              <a16:creationId xmlns:a16="http://schemas.microsoft.com/office/drawing/2014/main" id="{D1562913-26E9-4A74-BF1C-3946E59681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5" name="Picture 31">
          <a:extLst>
            <a:ext uri="{FF2B5EF4-FFF2-40B4-BE49-F238E27FC236}">
              <a16:creationId xmlns:a16="http://schemas.microsoft.com/office/drawing/2014/main" id="{D4BF16B2-BB5B-4874-9F19-5DF760BA5F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6" name="Picture 31">
          <a:extLst>
            <a:ext uri="{FF2B5EF4-FFF2-40B4-BE49-F238E27FC236}">
              <a16:creationId xmlns:a16="http://schemas.microsoft.com/office/drawing/2014/main" id="{D3226762-39B2-4E63-8496-65C255EEBB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7" name="Picture 31">
          <a:extLst>
            <a:ext uri="{FF2B5EF4-FFF2-40B4-BE49-F238E27FC236}">
              <a16:creationId xmlns:a16="http://schemas.microsoft.com/office/drawing/2014/main" id="{5FC78D0F-8125-4BFD-A563-211336ECDA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8" name="Picture 31">
          <a:extLst>
            <a:ext uri="{FF2B5EF4-FFF2-40B4-BE49-F238E27FC236}">
              <a16:creationId xmlns:a16="http://schemas.microsoft.com/office/drawing/2014/main" id="{F9C94649-5F46-43C2-B873-FDE3B1E7B5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49" name="Picture 31">
          <a:extLst>
            <a:ext uri="{FF2B5EF4-FFF2-40B4-BE49-F238E27FC236}">
              <a16:creationId xmlns:a16="http://schemas.microsoft.com/office/drawing/2014/main" id="{2FCF1958-B16C-4EAC-A835-84E0C824EA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0" name="Picture 31">
          <a:extLst>
            <a:ext uri="{FF2B5EF4-FFF2-40B4-BE49-F238E27FC236}">
              <a16:creationId xmlns:a16="http://schemas.microsoft.com/office/drawing/2014/main" id="{A489D89A-AC31-4732-A4AB-911FD4797B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1" name="Picture 31">
          <a:extLst>
            <a:ext uri="{FF2B5EF4-FFF2-40B4-BE49-F238E27FC236}">
              <a16:creationId xmlns:a16="http://schemas.microsoft.com/office/drawing/2014/main" id="{689EAB46-C8DE-4AAB-B673-7E2C00E504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2" name="Picture 31">
          <a:extLst>
            <a:ext uri="{FF2B5EF4-FFF2-40B4-BE49-F238E27FC236}">
              <a16:creationId xmlns:a16="http://schemas.microsoft.com/office/drawing/2014/main" id="{4F527760-1CBD-4FD1-8623-F4BD694A42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3" name="Picture 31">
          <a:extLst>
            <a:ext uri="{FF2B5EF4-FFF2-40B4-BE49-F238E27FC236}">
              <a16:creationId xmlns:a16="http://schemas.microsoft.com/office/drawing/2014/main" id="{BD3E77A6-1993-47CF-A890-545E5FE888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4" name="Picture 31">
          <a:extLst>
            <a:ext uri="{FF2B5EF4-FFF2-40B4-BE49-F238E27FC236}">
              <a16:creationId xmlns:a16="http://schemas.microsoft.com/office/drawing/2014/main" id="{6663CB2C-BC19-4244-BD76-B68668D322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5" name="Picture 31">
          <a:extLst>
            <a:ext uri="{FF2B5EF4-FFF2-40B4-BE49-F238E27FC236}">
              <a16:creationId xmlns:a16="http://schemas.microsoft.com/office/drawing/2014/main" id="{E3A9A2A2-1499-4CA9-8C3F-570102D391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6" name="Picture 31">
          <a:extLst>
            <a:ext uri="{FF2B5EF4-FFF2-40B4-BE49-F238E27FC236}">
              <a16:creationId xmlns:a16="http://schemas.microsoft.com/office/drawing/2014/main" id="{2F8356EC-5D21-43A9-AD89-D4FBF1D5E9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7" name="Picture 31">
          <a:extLst>
            <a:ext uri="{FF2B5EF4-FFF2-40B4-BE49-F238E27FC236}">
              <a16:creationId xmlns:a16="http://schemas.microsoft.com/office/drawing/2014/main" id="{3DDEBC31-B3C7-4E96-8F5B-9561D89ABD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8" name="Picture 31">
          <a:extLst>
            <a:ext uri="{FF2B5EF4-FFF2-40B4-BE49-F238E27FC236}">
              <a16:creationId xmlns:a16="http://schemas.microsoft.com/office/drawing/2014/main" id="{04FCB857-C356-4561-B718-63A298AD50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59" name="Picture 31">
          <a:extLst>
            <a:ext uri="{FF2B5EF4-FFF2-40B4-BE49-F238E27FC236}">
              <a16:creationId xmlns:a16="http://schemas.microsoft.com/office/drawing/2014/main" id="{C88A47DE-EB2D-4C50-B1AA-62C3BDB1A0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0" name="Picture 31">
          <a:extLst>
            <a:ext uri="{FF2B5EF4-FFF2-40B4-BE49-F238E27FC236}">
              <a16:creationId xmlns:a16="http://schemas.microsoft.com/office/drawing/2014/main" id="{9913311D-4A0C-438F-A162-FF77BB59F5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1" name="Picture 31">
          <a:extLst>
            <a:ext uri="{FF2B5EF4-FFF2-40B4-BE49-F238E27FC236}">
              <a16:creationId xmlns:a16="http://schemas.microsoft.com/office/drawing/2014/main" id="{1177B96E-4471-45C4-861C-7D3D2316AC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2" name="Picture 31">
          <a:extLst>
            <a:ext uri="{FF2B5EF4-FFF2-40B4-BE49-F238E27FC236}">
              <a16:creationId xmlns:a16="http://schemas.microsoft.com/office/drawing/2014/main" id="{564ED1EE-2370-413D-89AE-33FCEEDF68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3" name="Picture 31">
          <a:extLst>
            <a:ext uri="{FF2B5EF4-FFF2-40B4-BE49-F238E27FC236}">
              <a16:creationId xmlns:a16="http://schemas.microsoft.com/office/drawing/2014/main" id="{0889EC98-129D-4170-99AE-4C509EAD15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4" name="Picture 31">
          <a:extLst>
            <a:ext uri="{FF2B5EF4-FFF2-40B4-BE49-F238E27FC236}">
              <a16:creationId xmlns:a16="http://schemas.microsoft.com/office/drawing/2014/main" id="{ECFB82C6-13D9-47A8-B0BA-0B528E76BA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5" name="Picture 31">
          <a:extLst>
            <a:ext uri="{FF2B5EF4-FFF2-40B4-BE49-F238E27FC236}">
              <a16:creationId xmlns:a16="http://schemas.microsoft.com/office/drawing/2014/main" id="{2C0BB88D-A200-4A94-97F7-EA7FCE0CBA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6" name="Picture 31">
          <a:extLst>
            <a:ext uri="{FF2B5EF4-FFF2-40B4-BE49-F238E27FC236}">
              <a16:creationId xmlns:a16="http://schemas.microsoft.com/office/drawing/2014/main" id="{503F6FDC-4379-4925-B3C3-457C186521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7" name="Picture 31">
          <a:extLst>
            <a:ext uri="{FF2B5EF4-FFF2-40B4-BE49-F238E27FC236}">
              <a16:creationId xmlns:a16="http://schemas.microsoft.com/office/drawing/2014/main" id="{ACED8F2F-746F-46F3-AF6C-D09585553C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8" name="Picture 31">
          <a:extLst>
            <a:ext uri="{FF2B5EF4-FFF2-40B4-BE49-F238E27FC236}">
              <a16:creationId xmlns:a16="http://schemas.microsoft.com/office/drawing/2014/main" id="{A1415CF5-44B1-4FA5-B7D7-1D8474616D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69" name="Picture 31">
          <a:extLst>
            <a:ext uri="{FF2B5EF4-FFF2-40B4-BE49-F238E27FC236}">
              <a16:creationId xmlns:a16="http://schemas.microsoft.com/office/drawing/2014/main" id="{E9F81F83-885F-4FE3-B999-F4FE71B9ACD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0" name="Picture 31">
          <a:extLst>
            <a:ext uri="{FF2B5EF4-FFF2-40B4-BE49-F238E27FC236}">
              <a16:creationId xmlns:a16="http://schemas.microsoft.com/office/drawing/2014/main" id="{F49A1FCC-FD45-4F8B-B392-7582E5923A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1" name="Picture 31">
          <a:extLst>
            <a:ext uri="{FF2B5EF4-FFF2-40B4-BE49-F238E27FC236}">
              <a16:creationId xmlns:a16="http://schemas.microsoft.com/office/drawing/2014/main" id="{76672F23-04BD-4397-92CA-72ED569023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2" name="Picture 31">
          <a:extLst>
            <a:ext uri="{FF2B5EF4-FFF2-40B4-BE49-F238E27FC236}">
              <a16:creationId xmlns:a16="http://schemas.microsoft.com/office/drawing/2014/main" id="{962ADF0A-5942-43C6-A2B8-4388A94481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3" name="Picture 31">
          <a:extLst>
            <a:ext uri="{FF2B5EF4-FFF2-40B4-BE49-F238E27FC236}">
              <a16:creationId xmlns:a16="http://schemas.microsoft.com/office/drawing/2014/main" id="{630E7B31-DC87-4BE2-8EA2-8BF535E083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4" name="Picture 31">
          <a:extLst>
            <a:ext uri="{FF2B5EF4-FFF2-40B4-BE49-F238E27FC236}">
              <a16:creationId xmlns:a16="http://schemas.microsoft.com/office/drawing/2014/main" id="{9A3A5665-6820-4E70-808A-0C52AEEE69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5" name="Picture 31">
          <a:extLst>
            <a:ext uri="{FF2B5EF4-FFF2-40B4-BE49-F238E27FC236}">
              <a16:creationId xmlns:a16="http://schemas.microsoft.com/office/drawing/2014/main" id="{2BDC578E-FDA2-4051-99B0-4A32CB6F7F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6" name="Picture 31">
          <a:extLst>
            <a:ext uri="{FF2B5EF4-FFF2-40B4-BE49-F238E27FC236}">
              <a16:creationId xmlns:a16="http://schemas.microsoft.com/office/drawing/2014/main" id="{8E90E50B-93AE-46D3-B39D-C64ACF437B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7" name="Picture 31">
          <a:extLst>
            <a:ext uri="{FF2B5EF4-FFF2-40B4-BE49-F238E27FC236}">
              <a16:creationId xmlns:a16="http://schemas.microsoft.com/office/drawing/2014/main" id="{5E516558-5054-4282-A01D-45A336A60F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8" name="Picture 31">
          <a:extLst>
            <a:ext uri="{FF2B5EF4-FFF2-40B4-BE49-F238E27FC236}">
              <a16:creationId xmlns:a16="http://schemas.microsoft.com/office/drawing/2014/main" id="{EF40C427-1F25-4406-B1F6-1C0CA1D62B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79" name="Picture 31">
          <a:extLst>
            <a:ext uri="{FF2B5EF4-FFF2-40B4-BE49-F238E27FC236}">
              <a16:creationId xmlns:a16="http://schemas.microsoft.com/office/drawing/2014/main" id="{44739C0F-B55E-4D0D-B636-943CA666D3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0" name="Picture 31">
          <a:extLst>
            <a:ext uri="{FF2B5EF4-FFF2-40B4-BE49-F238E27FC236}">
              <a16:creationId xmlns:a16="http://schemas.microsoft.com/office/drawing/2014/main" id="{CEF4E055-3A30-42B5-B654-2E1D7E599C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1" name="Picture 31">
          <a:extLst>
            <a:ext uri="{FF2B5EF4-FFF2-40B4-BE49-F238E27FC236}">
              <a16:creationId xmlns:a16="http://schemas.microsoft.com/office/drawing/2014/main" id="{5805F097-C6E2-40AF-A1EC-3CDFDD8DD8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2" name="Picture 31">
          <a:extLst>
            <a:ext uri="{FF2B5EF4-FFF2-40B4-BE49-F238E27FC236}">
              <a16:creationId xmlns:a16="http://schemas.microsoft.com/office/drawing/2014/main" id="{CA184500-1F5A-4A12-BFFB-B8916A0E9C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3" name="Picture 31">
          <a:extLst>
            <a:ext uri="{FF2B5EF4-FFF2-40B4-BE49-F238E27FC236}">
              <a16:creationId xmlns:a16="http://schemas.microsoft.com/office/drawing/2014/main" id="{A528DE52-9ED2-4B35-B380-C5583EE7B1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4" name="Picture 31">
          <a:extLst>
            <a:ext uri="{FF2B5EF4-FFF2-40B4-BE49-F238E27FC236}">
              <a16:creationId xmlns:a16="http://schemas.microsoft.com/office/drawing/2014/main" id="{0179F50F-6640-4A6B-8B27-98BACE3F1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5" name="Picture 31">
          <a:extLst>
            <a:ext uri="{FF2B5EF4-FFF2-40B4-BE49-F238E27FC236}">
              <a16:creationId xmlns:a16="http://schemas.microsoft.com/office/drawing/2014/main" id="{7A2763EC-E565-4722-82B9-24F2B03875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6" name="Picture 31">
          <a:extLst>
            <a:ext uri="{FF2B5EF4-FFF2-40B4-BE49-F238E27FC236}">
              <a16:creationId xmlns:a16="http://schemas.microsoft.com/office/drawing/2014/main" id="{4D37B89E-BEDC-4458-ACA0-AF5678AD1B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7" name="Picture 31">
          <a:extLst>
            <a:ext uri="{FF2B5EF4-FFF2-40B4-BE49-F238E27FC236}">
              <a16:creationId xmlns:a16="http://schemas.microsoft.com/office/drawing/2014/main" id="{B5752425-CF49-4688-B79C-A96F8BDB7D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8" name="Picture 31">
          <a:extLst>
            <a:ext uri="{FF2B5EF4-FFF2-40B4-BE49-F238E27FC236}">
              <a16:creationId xmlns:a16="http://schemas.microsoft.com/office/drawing/2014/main" id="{D0EC700D-4C87-4F4F-874B-48C25F135C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89" name="Picture 31">
          <a:extLst>
            <a:ext uri="{FF2B5EF4-FFF2-40B4-BE49-F238E27FC236}">
              <a16:creationId xmlns:a16="http://schemas.microsoft.com/office/drawing/2014/main" id="{413A45D6-891E-4D0D-851C-2FC8921687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0" name="Picture 31">
          <a:extLst>
            <a:ext uri="{FF2B5EF4-FFF2-40B4-BE49-F238E27FC236}">
              <a16:creationId xmlns:a16="http://schemas.microsoft.com/office/drawing/2014/main" id="{3A621D09-F4FD-4847-B284-F68A47C0DB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1" name="Picture 31">
          <a:extLst>
            <a:ext uri="{FF2B5EF4-FFF2-40B4-BE49-F238E27FC236}">
              <a16:creationId xmlns:a16="http://schemas.microsoft.com/office/drawing/2014/main" id="{A26396D5-4EF0-49CA-A74F-AB517108D6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2" name="Picture 31">
          <a:extLst>
            <a:ext uri="{FF2B5EF4-FFF2-40B4-BE49-F238E27FC236}">
              <a16:creationId xmlns:a16="http://schemas.microsoft.com/office/drawing/2014/main" id="{8D38B954-F807-45AE-A773-E6FA8A24FC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3" name="Picture 31">
          <a:extLst>
            <a:ext uri="{FF2B5EF4-FFF2-40B4-BE49-F238E27FC236}">
              <a16:creationId xmlns:a16="http://schemas.microsoft.com/office/drawing/2014/main" id="{3C112853-3601-470A-8E4E-810045DB2F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4" name="Picture 31">
          <a:extLst>
            <a:ext uri="{FF2B5EF4-FFF2-40B4-BE49-F238E27FC236}">
              <a16:creationId xmlns:a16="http://schemas.microsoft.com/office/drawing/2014/main" id="{4942AD60-181E-4FCE-A79E-0D4D4D1674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5" name="Picture 31">
          <a:extLst>
            <a:ext uri="{FF2B5EF4-FFF2-40B4-BE49-F238E27FC236}">
              <a16:creationId xmlns:a16="http://schemas.microsoft.com/office/drawing/2014/main" id="{CEAE50CD-1540-4C8D-9F6A-48E6D4C172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6" name="Picture 31">
          <a:extLst>
            <a:ext uri="{FF2B5EF4-FFF2-40B4-BE49-F238E27FC236}">
              <a16:creationId xmlns:a16="http://schemas.microsoft.com/office/drawing/2014/main" id="{97C6C7E8-03D4-4E07-8589-BDC3D99B5A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7" name="Picture 31">
          <a:extLst>
            <a:ext uri="{FF2B5EF4-FFF2-40B4-BE49-F238E27FC236}">
              <a16:creationId xmlns:a16="http://schemas.microsoft.com/office/drawing/2014/main" id="{3A020939-C825-49C0-8991-F279343E84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8" name="Picture 31">
          <a:extLst>
            <a:ext uri="{FF2B5EF4-FFF2-40B4-BE49-F238E27FC236}">
              <a16:creationId xmlns:a16="http://schemas.microsoft.com/office/drawing/2014/main" id="{D9760044-D750-44B3-82DF-49FE2502C6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099" name="Picture 31">
          <a:extLst>
            <a:ext uri="{FF2B5EF4-FFF2-40B4-BE49-F238E27FC236}">
              <a16:creationId xmlns:a16="http://schemas.microsoft.com/office/drawing/2014/main" id="{9E174A18-13B1-42C4-BE0E-BCEB1AEB99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0" name="Picture 31">
          <a:extLst>
            <a:ext uri="{FF2B5EF4-FFF2-40B4-BE49-F238E27FC236}">
              <a16:creationId xmlns:a16="http://schemas.microsoft.com/office/drawing/2014/main" id="{F039CF19-9BCC-44A8-90B5-154C791471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1" name="Picture 31">
          <a:extLst>
            <a:ext uri="{FF2B5EF4-FFF2-40B4-BE49-F238E27FC236}">
              <a16:creationId xmlns:a16="http://schemas.microsoft.com/office/drawing/2014/main" id="{B743C20A-AA3C-4CAB-BEAA-C7F7715633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2" name="Picture 31">
          <a:extLst>
            <a:ext uri="{FF2B5EF4-FFF2-40B4-BE49-F238E27FC236}">
              <a16:creationId xmlns:a16="http://schemas.microsoft.com/office/drawing/2014/main" id="{38005DA4-B383-4223-8D6D-95F2C7D203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3" name="Picture 31">
          <a:extLst>
            <a:ext uri="{FF2B5EF4-FFF2-40B4-BE49-F238E27FC236}">
              <a16:creationId xmlns:a16="http://schemas.microsoft.com/office/drawing/2014/main" id="{720210F3-E833-4D39-B595-638399A9A6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4" name="Picture 31">
          <a:extLst>
            <a:ext uri="{FF2B5EF4-FFF2-40B4-BE49-F238E27FC236}">
              <a16:creationId xmlns:a16="http://schemas.microsoft.com/office/drawing/2014/main" id="{F78EBE67-DEA9-49EC-B938-073EB9ED62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5" name="Picture 31">
          <a:extLst>
            <a:ext uri="{FF2B5EF4-FFF2-40B4-BE49-F238E27FC236}">
              <a16:creationId xmlns:a16="http://schemas.microsoft.com/office/drawing/2014/main" id="{5A8B7355-CAC4-42DC-B669-102C998BDB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6" name="Picture 31">
          <a:extLst>
            <a:ext uri="{FF2B5EF4-FFF2-40B4-BE49-F238E27FC236}">
              <a16:creationId xmlns:a16="http://schemas.microsoft.com/office/drawing/2014/main" id="{3058CC5E-77ED-4FE1-92A9-23E1CACC37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7" name="Picture 31">
          <a:extLst>
            <a:ext uri="{FF2B5EF4-FFF2-40B4-BE49-F238E27FC236}">
              <a16:creationId xmlns:a16="http://schemas.microsoft.com/office/drawing/2014/main" id="{3E7C6DA4-5F4C-4A30-8ED6-4D9A453863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8" name="Picture 31">
          <a:extLst>
            <a:ext uri="{FF2B5EF4-FFF2-40B4-BE49-F238E27FC236}">
              <a16:creationId xmlns:a16="http://schemas.microsoft.com/office/drawing/2014/main" id="{D1BF78AF-1530-4DFA-B300-17F9BAE29C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09" name="Picture 31">
          <a:extLst>
            <a:ext uri="{FF2B5EF4-FFF2-40B4-BE49-F238E27FC236}">
              <a16:creationId xmlns:a16="http://schemas.microsoft.com/office/drawing/2014/main" id="{92E59631-DF6C-4804-8C4D-D5A43960AB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0" name="Picture 31">
          <a:extLst>
            <a:ext uri="{FF2B5EF4-FFF2-40B4-BE49-F238E27FC236}">
              <a16:creationId xmlns:a16="http://schemas.microsoft.com/office/drawing/2014/main" id="{8F7920DC-A691-4B31-B170-F94CECE9D2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1" name="Picture 31">
          <a:extLst>
            <a:ext uri="{FF2B5EF4-FFF2-40B4-BE49-F238E27FC236}">
              <a16:creationId xmlns:a16="http://schemas.microsoft.com/office/drawing/2014/main" id="{996FDD16-F913-4B35-B44F-D5AD9AC23F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2" name="Picture 31">
          <a:extLst>
            <a:ext uri="{FF2B5EF4-FFF2-40B4-BE49-F238E27FC236}">
              <a16:creationId xmlns:a16="http://schemas.microsoft.com/office/drawing/2014/main" id="{C5E76B42-92C9-4B2D-9D32-3165BE36A9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3" name="Picture 31">
          <a:extLst>
            <a:ext uri="{FF2B5EF4-FFF2-40B4-BE49-F238E27FC236}">
              <a16:creationId xmlns:a16="http://schemas.microsoft.com/office/drawing/2014/main" id="{295AFCE9-79F1-447D-B1BB-F851230345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4" name="Picture 31">
          <a:extLst>
            <a:ext uri="{FF2B5EF4-FFF2-40B4-BE49-F238E27FC236}">
              <a16:creationId xmlns:a16="http://schemas.microsoft.com/office/drawing/2014/main" id="{712D53E3-7801-4A3D-93FF-1EA2FB9114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5" name="Picture 31">
          <a:extLst>
            <a:ext uri="{FF2B5EF4-FFF2-40B4-BE49-F238E27FC236}">
              <a16:creationId xmlns:a16="http://schemas.microsoft.com/office/drawing/2014/main" id="{516E3138-36E2-48D1-84A7-C6DA5EB76A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6" name="Picture 31">
          <a:extLst>
            <a:ext uri="{FF2B5EF4-FFF2-40B4-BE49-F238E27FC236}">
              <a16:creationId xmlns:a16="http://schemas.microsoft.com/office/drawing/2014/main" id="{F5AE1CC8-E774-469A-A547-CDEB3035A9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7" name="Picture 31">
          <a:extLst>
            <a:ext uri="{FF2B5EF4-FFF2-40B4-BE49-F238E27FC236}">
              <a16:creationId xmlns:a16="http://schemas.microsoft.com/office/drawing/2014/main" id="{10A1F3D8-33E9-4466-9963-E39D40D273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8" name="Picture 31">
          <a:extLst>
            <a:ext uri="{FF2B5EF4-FFF2-40B4-BE49-F238E27FC236}">
              <a16:creationId xmlns:a16="http://schemas.microsoft.com/office/drawing/2014/main" id="{8715D365-C1F7-4AE5-994D-A02AB52387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19" name="Picture 31">
          <a:extLst>
            <a:ext uri="{FF2B5EF4-FFF2-40B4-BE49-F238E27FC236}">
              <a16:creationId xmlns:a16="http://schemas.microsoft.com/office/drawing/2014/main" id="{4FFA4324-3A1D-4128-B888-2D09CBC9816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0" name="Picture 31">
          <a:extLst>
            <a:ext uri="{FF2B5EF4-FFF2-40B4-BE49-F238E27FC236}">
              <a16:creationId xmlns:a16="http://schemas.microsoft.com/office/drawing/2014/main" id="{CFE4F549-7484-4AA0-BC63-EBFC7D1971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1" name="Picture 31">
          <a:extLst>
            <a:ext uri="{FF2B5EF4-FFF2-40B4-BE49-F238E27FC236}">
              <a16:creationId xmlns:a16="http://schemas.microsoft.com/office/drawing/2014/main" id="{5F380755-75AB-4439-8ED2-0958E26626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2" name="Picture 31">
          <a:extLst>
            <a:ext uri="{FF2B5EF4-FFF2-40B4-BE49-F238E27FC236}">
              <a16:creationId xmlns:a16="http://schemas.microsoft.com/office/drawing/2014/main" id="{5DCFD0D6-CAE6-485B-8F28-8E19353BC4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3" name="Picture 31">
          <a:extLst>
            <a:ext uri="{FF2B5EF4-FFF2-40B4-BE49-F238E27FC236}">
              <a16:creationId xmlns:a16="http://schemas.microsoft.com/office/drawing/2014/main" id="{6D4B58BC-C506-44AA-BA01-E9947CFBEF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4" name="Picture 31">
          <a:extLst>
            <a:ext uri="{FF2B5EF4-FFF2-40B4-BE49-F238E27FC236}">
              <a16:creationId xmlns:a16="http://schemas.microsoft.com/office/drawing/2014/main" id="{1E1025FA-C5B6-4F10-92BA-8D73606838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5" name="Picture 31">
          <a:extLst>
            <a:ext uri="{FF2B5EF4-FFF2-40B4-BE49-F238E27FC236}">
              <a16:creationId xmlns:a16="http://schemas.microsoft.com/office/drawing/2014/main" id="{8F34402A-DC60-4B2C-93D5-B59AAEE8B2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6" name="Picture 31">
          <a:extLst>
            <a:ext uri="{FF2B5EF4-FFF2-40B4-BE49-F238E27FC236}">
              <a16:creationId xmlns:a16="http://schemas.microsoft.com/office/drawing/2014/main" id="{B88F8A91-F743-4B31-B905-0322E79579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7" name="Picture 31">
          <a:extLst>
            <a:ext uri="{FF2B5EF4-FFF2-40B4-BE49-F238E27FC236}">
              <a16:creationId xmlns:a16="http://schemas.microsoft.com/office/drawing/2014/main" id="{E8DFCB57-692E-4D62-BAA7-D9156BF3BC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8" name="Picture 31">
          <a:extLst>
            <a:ext uri="{FF2B5EF4-FFF2-40B4-BE49-F238E27FC236}">
              <a16:creationId xmlns:a16="http://schemas.microsoft.com/office/drawing/2014/main" id="{C1880750-AF12-4C73-875E-4F94BA81865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29" name="Picture 31">
          <a:extLst>
            <a:ext uri="{FF2B5EF4-FFF2-40B4-BE49-F238E27FC236}">
              <a16:creationId xmlns:a16="http://schemas.microsoft.com/office/drawing/2014/main" id="{783C4EB1-EA4C-4EA5-BCAE-C3FC6A68DB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0" name="Picture 31">
          <a:extLst>
            <a:ext uri="{FF2B5EF4-FFF2-40B4-BE49-F238E27FC236}">
              <a16:creationId xmlns:a16="http://schemas.microsoft.com/office/drawing/2014/main" id="{17D86D04-865F-43E8-BCF2-45A20A2A53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1" name="Picture 31">
          <a:extLst>
            <a:ext uri="{FF2B5EF4-FFF2-40B4-BE49-F238E27FC236}">
              <a16:creationId xmlns:a16="http://schemas.microsoft.com/office/drawing/2014/main" id="{760272E4-405C-484C-B455-BD9609FAA6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2" name="Picture 31">
          <a:extLst>
            <a:ext uri="{FF2B5EF4-FFF2-40B4-BE49-F238E27FC236}">
              <a16:creationId xmlns:a16="http://schemas.microsoft.com/office/drawing/2014/main" id="{1739CD20-B6C9-4A69-9F6F-0619155FF1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3" name="Picture 31">
          <a:extLst>
            <a:ext uri="{FF2B5EF4-FFF2-40B4-BE49-F238E27FC236}">
              <a16:creationId xmlns:a16="http://schemas.microsoft.com/office/drawing/2014/main" id="{7366FE1B-9F92-435A-A4B0-8DF406FEF4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4" name="Picture 31">
          <a:extLst>
            <a:ext uri="{FF2B5EF4-FFF2-40B4-BE49-F238E27FC236}">
              <a16:creationId xmlns:a16="http://schemas.microsoft.com/office/drawing/2014/main" id="{D366A60F-8F27-45FB-8742-A8BEDDA649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5" name="Picture 31">
          <a:extLst>
            <a:ext uri="{FF2B5EF4-FFF2-40B4-BE49-F238E27FC236}">
              <a16:creationId xmlns:a16="http://schemas.microsoft.com/office/drawing/2014/main" id="{6F264F5D-3106-48F7-AB7E-BB152529C7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6" name="Picture 31">
          <a:extLst>
            <a:ext uri="{FF2B5EF4-FFF2-40B4-BE49-F238E27FC236}">
              <a16:creationId xmlns:a16="http://schemas.microsoft.com/office/drawing/2014/main" id="{ED4F7FAF-38E6-43C1-B052-C96FC6DFCA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7" name="Picture 31">
          <a:extLst>
            <a:ext uri="{FF2B5EF4-FFF2-40B4-BE49-F238E27FC236}">
              <a16:creationId xmlns:a16="http://schemas.microsoft.com/office/drawing/2014/main" id="{F6AFD09A-3F9C-4DB7-B18E-0184B0AC7F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8" name="Picture 31">
          <a:extLst>
            <a:ext uri="{FF2B5EF4-FFF2-40B4-BE49-F238E27FC236}">
              <a16:creationId xmlns:a16="http://schemas.microsoft.com/office/drawing/2014/main" id="{BDF383B8-BD49-4E5B-8AD5-3DC1FAD34B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39" name="Picture 31">
          <a:extLst>
            <a:ext uri="{FF2B5EF4-FFF2-40B4-BE49-F238E27FC236}">
              <a16:creationId xmlns:a16="http://schemas.microsoft.com/office/drawing/2014/main" id="{6B0A7686-A72A-48B8-84A5-8547B5BEBF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0" name="Picture 31">
          <a:extLst>
            <a:ext uri="{FF2B5EF4-FFF2-40B4-BE49-F238E27FC236}">
              <a16:creationId xmlns:a16="http://schemas.microsoft.com/office/drawing/2014/main" id="{C3BCD8A2-E787-4E72-A27C-022856F778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1" name="Picture 31">
          <a:extLst>
            <a:ext uri="{FF2B5EF4-FFF2-40B4-BE49-F238E27FC236}">
              <a16:creationId xmlns:a16="http://schemas.microsoft.com/office/drawing/2014/main" id="{632790B0-93BC-4143-BC26-3E144102E6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2" name="Picture 31">
          <a:extLst>
            <a:ext uri="{FF2B5EF4-FFF2-40B4-BE49-F238E27FC236}">
              <a16:creationId xmlns:a16="http://schemas.microsoft.com/office/drawing/2014/main" id="{7E01C0FC-BBFF-4A6F-BAC2-0E58B84B47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3" name="Picture 31">
          <a:extLst>
            <a:ext uri="{FF2B5EF4-FFF2-40B4-BE49-F238E27FC236}">
              <a16:creationId xmlns:a16="http://schemas.microsoft.com/office/drawing/2014/main" id="{9626337D-F6BE-4B0B-AD93-8D2DA98EA0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4" name="Picture 31">
          <a:extLst>
            <a:ext uri="{FF2B5EF4-FFF2-40B4-BE49-F238E27FC236}">
              <a16:creationId xmlns:a16="http://schemas.microsoft.com/office/drawing/2014/main" id="{B1422552-8E1F-46A4-ADFD-32B934B50C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5" name="Picture 31">
          <a:extLst>
            <a:ext uri="{FF2B5EF4-FFF2-40B4-BE49-F238E27FC236}">
              <a16:creationId xmlns:a16="http://schemas.microsoft.com/office/drawing/2014/main" id="{462BF4C7-B05B-4B9D-9834-9F2C3BE2F4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6" name="Picture 31">
          <a:extLst>
            <a:ext uri="{FF2B5EF4-FFF2-40B4-BE49-F238E27FC236}">
              <a16:creationId xmlns:a16="http://schemas.microsoft.com/office/drawing/2014/main" id="{ED1361A2-CC80-4032-B9BB-A92FBBADEC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7" name="Picture 31">
          <a:extLst>
            <a:ext uri="{FF2B5EF4-FFF2-40B4-BE49-F238E27FC236}">
              <a16:creationId xmlns:a16="http://schemas.microsoft.com/office/drawing/2014/main" id="{3BD66602-F6B1-46B8-89F8-A153800DBE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8" name="Picture 31">
          <a:extLst>
            <a:ext uri="{FF2B5EF4-FFF2-40B4-BE49-F238E27FC236}">
              <a16:creationId xmlns:a16="http://schemas.microsoft.com/office/drawing/2014/main" id="{A9CA7106-3712-4BFA-AF95-51D66E3B10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49" name="Picture 31">
          <a:extLst>
            <a:ext uri="{FF2B5EF4-FFF2-40B4-BE49-F238E27FC236}">
              <a16:creationId xmlns:a16="http://schemas.microsoft.com/office/drawing/2014/main" id="{F33F8E26-0669-4EF8-A0CE-9254451C23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0" name="Picture 31">
          <a:extLst>
            <a:ext uri="{FF2B5EF4-FFF2-40B4-BE49-F238E27FC236}">
              <a16:creationId xmlns:a16="http://schemas.microsoft.com/office/drawing/2014/main" id="{E38AF196-5B2E-440A-98B1-91F31FF34D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1" name="Picture 31">
          <a:extLst>
            <a:ext uri="{FF2B5EF4-FFF2-40B4-BE49-F238E27FC236}">
              <a16:creationId xmlns:a16="http://schemas.microsoft.com/office/drawing/2014/main" id="{65105BF9-25A2-4882-A894-0281ED27F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2" name="Picture 31">
          <a:extLst>
            <a:ext uri="{FF2B5EF4-FFF2-40B4-BE49-F238E27FC236}">
              <a16:creationId xmlns:a16="http://schemas.microsoft.com/office/drawing/2014/main" id="{FCA218BE-BB52-4AAB-A515-B92B56FBB4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3" name="Picture 31">
          <a:extLst>
            <a:ext uri="{FF2B5EF4-FFF2-40B4-BE49-F238E27FC236}">
              <a16:creationId xmlns:a16="http://schemas.microsoft.com/office/drawing/2014/main" id="{FDF7B61D-4AAA-4AB9-A813-C86E3E72DF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4" name="Picture 31">
          <a:extLst>
            <a:ext uri="{FF2B5EF4-FFF2-40B4-BE49-F238E27FC236}">
              <a16:creationId xmlns:a16="http://schemas.microsoft.com/office/drawing/2014/main" id="{B845606C-2284-42F6-AEFC-9BB6841749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5" name="Picture 31">
          <a:extLst>
            <a:ext uri="{FF2B5EF4-FFF2-40B4-BE49-F238E27FC236}">
              <a16:creationId xmlns:a16="http://schemas.microsoft.com/office/drawing/2014/main" id="{8FE98B4D-8EF2-46D4-B239-878D03B94E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6" name="Picture 31">
          <a:extLst>
            <a:ext uri="{FF2B5EF4-FFF2-40B4-BE49-F238E27FC236}">
              <a16:creationId xmlns:a16="http://schemas.microsoft.com/office/drawing/2014/main" id="{20C2CA9E-92B1-4EFC-A2D0-F3F17E7CDF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7" name="Picture 31">
          <a:extLst>
            <a:ext uri="{FF2B5EF4-FFF2-40B4-BE49-F238E27FC236}">
              <a16:creationId xmlns:a16="http://schemas.microsoft.com/office/drawing/2014/main" id="{108D51DE-2B1D-4C0B-B84E-B9E3E492AE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8" name="Picture 31">
          <a:extLst>
            <a:ext uri="{FF2B5EF4-FFF2-40B4-BE49-F238E27FC236}">
              <a16:creationId xmlns:a16="http://schemas.microsoft.com/office/drawing/2014/main" id="{73D2A86D-DDBC-4FD5-9C7D-5C2AD06FCE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59" name="Picture 31">
          <a:extLst>
            <a:ext uri="{FF2B5EF4-FFF2-40B4-BE49-F238E27FC236}">
              <a16:creationId xmlns:a16="http://schemas.microsoft.com/office/drawing/2014/main" id="{7CAEB9AC-8CF3-4553-AB73-15DA93651F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0" name="Picture 31">
          <a:extLst>
            <a:ext uri="{FF2B5EF4-FFF2-40B4-BE49-F238E27FC236}">
              <a16:creationId xmlns:a16="http://schemas.microsoft.com/office/drawing/2014/main" id="{2414EC1A-9EDD-4BBF-A226-FBE432E6DE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1" name="Picture 31">
          <a:extLst>
            <a:ext uri="{FF2B5EF4-FFF2-40B4-BE49-F238E27FC236}">
              <a16:creationId xmlns:a16="http://schemas.microsoft.com/office/drawing/2014/main" id="{7D115C21-9B43-4387-BDDC-DA4F25C979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2" name="Picture 31">
          <a:extLst>
            <a:ext uri="{FF2B5EF4-FFF2-40B4-BE49-F238E27FC236}">
              <a16:creationId xmlns:a16="http://schemas.microsoft.com/office/drawing/2014/main" id="{26DDBA15-19F0-4872-8179-26F704458F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3" name="Picture 31">
          <a:extLst>
            <a:ext uri="{FF2B5EF4-FFF2-40B4-BE49-F238E27FC236}">
              <a16:creationId xmlns:a16="http://schemas.microsoft.com/office/drawing/2014/main" id="{89F97A11-F49D-4B67-BFDB-BB6B1E7930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4" name="Picture 31">
          <a:extLst>
            <a:ext uri="{FF2B5EF4-FFF2-40B4-BE49-F238E27FC236}">
              <a16:creationId xmlns:a16="http://schemas.microsoft.com/office/drawing/2014/main" id="{CF2E8B27-2DCF-437E-9A50-6C324240AB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5" name="Picture 31">
          <a:extLst>
            <a:ext uri="{FF2B5EF4-FFF2-40B4-BE49-F238E27FC236}">
              <a16:creationId xmlns:a16="http://schemas.microsoft.com/office/drawing/2014/main" id="{A3AA7FED-0D1E-4862-B82E-6B41EC393C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6" name="Picture 31">
          <a:extLst>
            <a:ext uri="{FF2B5EF4-FFF2-40B4-BE49-F238E27FC236}">
              <a16:creationId xmlns:a16="http://schemas.microsoft.com/office/drawing/2014/main" id="{AFF32CCB-AC39-4729-A923-D55B6D9991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7" name="Picture 31">
          <a:extLst>
            <a:ext uri="{FF2B5EF4-FFF2-40B4-BE49-F238E27FC236}">
              <a16:creationId xmlns:a16="http://schemas.microsoft.com/office/drawing/2014/main" id="{F397834A-9FED-4322-B13E-8324EF7CEF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8" name="Picture 31">
          <a:extLst>
            <a:ext uri="{FF2B5EF4-FFF2-40B4-BE49-F238E27FC236}">
              <a16:creationId xmlns:a16="http://schemas.microsoft.com/office/drawing/2014/main" id="{D2B5B47F-28FB-421E-9D44-3469A1F0AE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69" name="Picture 31">
          <a:extLst>
            <a:ext uri="{FF2B5EF4-FFF2-40B4-BE49-F238E27FC236}">
              <a16:creationId xmlns:a16="http://schemas.microsoft.com/office/drawing/2014/main" id="{648C5079-2662-4227-8CBE-1AD8D72263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0" name="Picture 31">
          <a:extLst>
            <a:ext uri="{FF2B5EF4-FFF2-40B4-BE49-F238E27FC236}">
              <a16:creationId xmlns:a16="http://schemas.microsoft.com/office/drawing/2014/main" id="{B3580CC7-E239-4641-9F8D-E2C5A1FA07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1" name="Picture 31">
          <a:extLst>
            <a:ext uri="{FF2B5EF4-FFF2-40B4-BE49-F238E27FC236}">
              <a16:creationId xmlns:a16="http://schemas.microsoft.com/office/drawing/2014/main" id="{285D83A7-2E7F-4D31-AD3F-A4969B99BC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2" name="Picture 31">
          <a:extLst>
            <a:ext uri="{FF2B5EF4-FFF2-40B4-BE49-F238E27FC236}">
              <a16:creationId xmlns:a16="http://schemas.microsoft.com/office/drawing/2014/main" id="{99D7609A-6EFB-4562-A839-E22B54015E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3" name="Picture 31">
          <a:extLst>
            <a:ext uri="{FF2B5EF4-FFF2-40B4-BE49-F238E27FC236}">
              <a16:creationId xmlns:a16="http://schemas.microsoft.com/office/drawing/2014/main" id="{BC6307B5-5A8C-4674-A441-9B71B0433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4" name="Picture 31">
          <a:extLst>
            <a:ext uri="{FF2B5EF4-FFF2-40B4-BE49-F238E27FC236}">
              <a16:creationId xmlns:a16="http://schemas.microsoft.com/office/drawing/2014/main" id="{5F360A47-48FC-4D7F-A6DC-58EE401273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5" name="Picture 31">
          <a:extLst>
            <a:ext uri="{FF2B5EF4-FFF2-40B4-BE49-F238E27FC236}">
              <a16:creationId xmlns:a16="http://schemas.microsoft.com/office/drawing/2014/main" id="{D0C439FC-4876-47D9-B870-69E7CABA42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6" name="Picture 31">
          <a:extLst>
            <a:ext uri="{FF2B5EF4-FFF2-40B4-BE49-F238E27FC236}">
              <a16:creationId xmlns:a16="http://schemas.microsoft.com/office/drawing/2014/main" id="{B9B80513-278F-409E-84FB-0269F06AB9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7" name="Picture 31">
          <a:extLst>
            <a:ext uri="{FF2B5EF4-FFF2-40B4-BE49-F238E27FC236}">
              <a16:creationId xmlns:a16="http://schemas.microsoft.com/office/drawing/2014/main" id="{E0364049-3E2F-47D5-A617-4275F06F13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8" name="Picture 31">
          <a:extLst>
            <a:ext uri="{FF2B5EF4-FFF2-40B4-BE49-F238E27FC236}">
              <a16:creationId xmlns:a16="http://schemas.microsoft.com/office/drawing/2014/main" id="{09219A07-7E83-44C4-AB78-E01F009ABD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79" name="Picture 31">
          <a:extLst>
            <a:ext uri="{FF2B5EF4-FFF2-40B4-BE49-F238E27FC236}">
              <a16:creationId xmlns:a16="http://schemas.microsoft.com/office/drawing/2014/main" id="{46056C15-E953-49ED-B875-6B28A7A8971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0" name="Picture 31">
          <a:extLst>
            <a:ext uri="{FF2B5EF4-FFF2-40B4-BE49-F238E27FC236}">
              <a16:creationId xmlns:a16="http://schemas.microsoft.com/office/drawing/2014/main" id="{1284B1E5-73B7-4EAA-89FE-257795AFD5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1" name="Picture 31">
          <a:extLst>
            <a:ext uri="{FF2B5EF4-FFF2-40B4-BE49-F238E27FC236}">
              <a16:creationId xmlns:a16="http://schemas.microsoft.com/office/drawing/2014/main" id="{60155BEA-68EF-46EF-9053-23FC418315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2" name="Picture 31">
          <a:extLst>
            <a:ext uri="{FF2B5EF4-FFF2-40B4-BE49-F238E27FC236}">
              <a16:creationId xmlns:a16="http://schemas.microsoft.com/office/drawing/2014/main" id="{A57A61AD-C338-4842-ACA7-9B97C05F7F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3" name="Picture 31">
          <a:extLst>
            <a:ext uri="{FF2B5EF4-FFF2-40B4-BE49-F238E27FC236}">
              <a16:creationId xmlns:a16="http://schemas.microsoft.com/office/drawing/2014/main" id="{388982FA-9F17-46E7-BC82-C4BA57788B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4" name="Picture 31">
          <a:extLst>
            <a:ext uri="{FF2B5EF4-FFF2-40B4-BE49-F238E27FC236}">
              <a16:creationId xmlns:a16="http://schemas.microsoft.com/office/drawing/2014/main" id="{F8163588-EBEE-44AF-B93B-1AC583D0DD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5" name="Picture 31">
          <a:extLst>
            <a:ext uri="{FF2B5EF4-FFF2-40B4-BE49-F238E27FC236}">
              <a16:creationId xmlns:a16="http://schemas.microsoft.com/office/drawing/2014/main" id="{EC60105B-8C5F-4139-9E1C-F14373A4DE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6" name="Picture 31">
          <a:extLst>
            <a:ext uri="{FF2B5EF4-FFF2-40B4-BE49-F238E27FC236}">
              <a16:creationId xmlns:a16="http://schemas.microsoft.com/office/drawing/2014/main" id="{7C749CC3-4668-4E64-BCEC-D52D67C030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7" name="Picture 31">
          <a:extLst>
            <a:ext uri="{FF2B5EF4-FFF2-40B4-BE49-F238E27FC236}">
              <a16:creationId xmlns:a16="http://schemas.microsoft.com/office/drawing/2014/main" id="{E030A88D-5F9B-4ADB-8067-1D496268D1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8" name="Picture 31">
          <a:extLst>
            <a:ext uri="{FF2B5EF4-FFF2-40B4-BE49-F238E27FC236}">
              <a16:creationId xmlns:a16="http://schemas.microsoft.com/office/drawing/2014/main" id="{378289CD-F7EE-4111-8F13-C2C93627A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89" name="Picture 31">
          <a:extLst>
            <a:ext uri="{FF2B5EF4-FFF2-40B4-BE49-F238E27FC236}">
              <a16:creationId xmlns:a16="http://schemas.microsoft.com/office/drawing/2014/main" id="{2EA62A26-38DA-4A05-A40F-0E0BEE4E1D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0" name="Picture 31">
          <a:extLst>
            <a:ext uri="{FF2B5EF4-FFF2-40B4-BE49-F238E27FC236}">
              <a16:creationId xmlns:a16="http://schemas.microsoft.com/office/drawing/2014/main" id="{39A320E6-B439-47B5-B328-35AD01B7BF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1" name="Picture 31">
          <a:extLst>
            <a:ext uri="{FF2B5EF4-FFF2-40B4-BE49-F238E27FC236}">
              <a16:creationId xmlns:a16="http://schemas.microsoft.com/office/drawing/2014/main" id="{79598784-4C9D-42E4-9802-E42470368DE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2" name="Picture 31">
          <a:extLst>
            <a:ext uri="{FF2B5EF4-FFF2-40B4-BE49-F238E27FC236}">
              <a16:creationId xmlns:a16="http://schemas.microsoft.com/office/drawing/2014/main" id="{EAC78FC6-D3FB-458E-A54B-22102527D1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3" name="Picture 31">
          <a:extLst>
            <a:ext uri="{FF2B5EF4-FFF2-40B4-BE49-F238E27FC236}">
              <a16:creationId xmlns:a16="http://schemas.microsoft.com/office/drawing/2014/main" id="{EE080396-6E97-44C9-A29A-69D939BDB7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4" name="Picture 31">
          <a:extLst>
            <a:ext uri="{FF2B5EF4-FFF2-40B4-BE49-F238E27FC236}">
              <a16:creationId xmlns:a16="http://schemas.microsoft.com/office/drawing/2014/main" id="{553725A9-A3C8-4E8A-97F7-C8270B3A95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5" name="Picture 31">
          <a:extLst>
            <a:ext uri="{FF2B5EF4-FFF2-40B4-BE49-F238E27FC236}">
              <a16:creationId xmlns:a16="http://schemas.microsoft.com/office/drawing/2014/main" id="{C79EE813-9FB4-4376-B0A9-E7C375CA10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6" name="Picture 31">
          <a:extLst>
            <a:ext uri="{FF2B5EF4-FFF2-40B4-BE49-F238E27FC236}">
              <a16:creationId xmlns:a16="http://schemas.microsoft.com/office/drawing/2014/main" id="{5D96F1C2-A7D3-45AA-9967-D24C5B7CB3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7" name="Picture 31">
          <a:extLst>
            <a:ext uri="{FF2B5EF4-FFF2-40B4-BE49-F238E27FC236}">
              <a16:creationId xmlns:a16="http://schemas.microsoft.com/office/drawing/2014/main" id="{2A5E5AE3-D94F-471D-A6B1-23B848166E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8" name="Picture 31">
          <a:extLst>
            <a:ext uri="{FF2B5EF4-FFF2-40B4-BE49-F238E27FC236}">
              <a16:creationId xmlns:a16="http://schemas.microsoft.com/office/drawing/2014/main" id="{49132F83-C02D-4FC5-9FDE-32DCE1866B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199" name="Picture 31">
          <a:extLst>
            <a:ext uri="{FF2B5EF4-FFF2-40B4-BE49-F238E27FC236}">
              <a16:creationId xmlns:a16="http://schemas.microsoft.com/office/drawing/2014/main" id="{B006C606-CD93-4773-8E10-E17D8A03CD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0" name="Picture 31">
          <a:extLst>
            <a:ext uri="{FF2B5EF4-FFF2-40B4-BE49-F238E27FC236}">
              <a16:creationId xmlns:a16="http://schemas.microsoft.com/office/drawing/2014/main" id="{9FDB2787-558F-4522-AC7A-32AB43BC8B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1" name="Picture 31">
          <a:extLst>
            <a:ext uri="{FF2B5EF4-FFF2-40B4-BE49-F238E27FC236}">
              <a16:creationId xmlns:a16="http://schemas.microsoft.com/office/drawing/2014/main" id="{57BD3284-4495-488B-B74D-5BAED319ED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2" name="Picture 31">
          <a:extLst>
            <a:ext uri="{FF2B5EF4-FFF2-40B4-BE49-F238E27FC236}">
              <a16:creationId xmlns:a16="http://schemas.microsoft.com/office/drawing/2014/main" id="{C8EFCC37-A937-400A-BE2F-0423C37BAF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3" name="Picture 31">
          <a:extLst>
            <a:ext uri="{FF2B5EF4-FFF2-40B4-BE49-F238E27FC236}">
              <a16:creationId xmlns:a16="http://schemas.microsoft.com/office/drawing/2014/main" id="{FEB6DDB4-74D9-412A-B52E-01686F0672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4" name="Picture 31">
          <a:extLst>
            <a:ext uri="{FF2B5EF4-FFF2-40B4-BE49-F238E27FC236}">
              <a16:creationId xmlns:a16="http://schemas.microsoft.com/office/drawing/2014/main" id="{21002A8B-6623-49E6-8C79-BA94F1D74B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5" name="Picture 31">
          <a:extLst>
            <a:ext uri="{FF2B5EF4-FFF2-40B4-BE49-F238E27FC236}">
              <a16:creationId xmlns:a16="http://schemas.microsoft.com/office/drawing/2014/main" id="{B7796E81-16CB-4CF9-8E5A-389FB66227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6" name="Picture 31">
          <a:extLst>
            <a:ext uri="{FF2B5EF4-FFF2-40B4-BE49-F238E27FC236}">
              <a16:creationId xmlns:a16="http://schemas.microsoft.com/office/drawing/2014/main" id="{D6665D6C-22EC-477A-9442-0FC85157EE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7" name="Picture 31">
          <a:extLst>
            <a:ext uri="{FF2B5EF4-FFF2-40B4-BE49-F238E27FC236}">
              <a16:creationId xmlns:a16="http://schemas.microsoft.com/office/drawing/2014/main" id="{942D58F4-94FD-44B0-9397-CEA4D18E38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8" name="Picture 31">
          <a:extLst>
            <a:ext uri="{FF2B5EF4-FFF2-40B4-BE49-F238E27FC236}">
              <a16:creationId xmlns:a16="http://schemas.microsoft.com/office/drawing/2014/main" id="{D4ACD62D-C5A9-4348-BBE5-942175AC35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09" name="Picture 31">
          <a:extLst>
            <a:ext uri="{FF2B5EF4-FFF2-40B4-BE49-F238E27FC236}">
              <a16:creationId xmlns:a16="http://schemas.microsoft.com/office/drawing/2014/main" id="{442BE0E8-4437-4648-B7B8-22A2BFC40E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0" name="Picture 31">
          <a:extLst>
            <a:ext uri="{FF2B5EF4-FFF2-40B4-BE49-F238E27FC236}">
              <a16:creationId xmlns:a16="http://schemas.microsoft.com/office/drawing/2014/main" id="{3957EA9B-8193-4585-A99C-7E5BC6D257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1" name="Picture 31">
          <a:extLst>
            <a:ext uri="{FF2B5EF4-FFF2-40B4-BE49-F238E27FC236}">
              <a16:creationId xmlns:a16="http://schemas.microsoft.com/office/drawing/2014/main" id="{FD0C8C8E-432C-4B74-BE08-68E4FCFCCF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2" name="Picture 31">
          <a:extLst>
            <a:ext uri="{FF2B5EF4-FFF2-40B4-BE49-F238E27FC236}">
              <a16:creationId xmlns:a16="http://schemas.microsoft.com/office/drawing/2014/main" id="{E4ECC5D7-30DF-4C51-9360-762F365B3F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3" name="Picture 31">
          <a:extLst>
            <a:ext uri="{FF2B5EF4-FFF2-40B4-BE49-F238E27FC236}">
              <a16:creationId xmlns:a16="http://schemas.microsoft.com/office/drawing/2014/main" id="{27BE35FC-A129-473D-A023-E583A87386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4" name="Picture 31">
          <a:extLst>
            <a:ext uri="{FF2B5EF4-FFF2-40B4-BE49-F238E27FC236}">
              <a16:creationId xmlns:a16="http://schemas.microsoft.com/office/drawing/2014/main" id="{860805D7-06B2-4501-9A87-1D23C84829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5" name="Picture 31">
          <a:extLst>
            <a:ext uri="{FF2B5EF4-FFF2-40B4-BE49-F238E27FC236}">
              <a16:creationId xmlns:a16="http://schemas.microsoft.com/office/drawing/2014/main" id="{93516745-661C-4922-90DA-929C1C1F09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6" name="Picture 31">
          <a:extLst>
            <a:ext uri="{FF2B5EF4-FFF2-40B4-BE49-F238E27FC236}">
              <a16:creationId xmlns:a16="http://schemas.microsoft.com/office/drawing/2014/main" id="{45E44DCD-D2A6-46A7-BCC9-0E696EF386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7" name="Picture 31">
          <a:extLst>
            <a:ext uri="{FF2B5EF4-FFF2-40B4-BE49-F238E27FC236}">
              <a16:creationId xmlns:a16="http://schemas.microsoft.com/office/drawing/2014/main" id="{48F4E322-376A-4656-8FFE-4115112612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8" name="Picture 31">
          <a:extLst>
            <a:ext uri="{FF2B5EF4-FFF2-40B4-BE49-F238E27FC236}">
              <a16:creationId xmlns:a16="http://schemas.microsoft.com/office/drawing/2014/main" id="{72749BA1-F9E4-4361-9043-5B43EAB19F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19" name="Picture 31">
          <a:extLst>
            <a:ext uri="{FF2B5EF4-FFF2-40B4-BE49-F238E27FC236}">
              <a16:creationId xmlns:a16="http://schemas.microsoft.com/office/drawing/2014/main" id="{505DD3E2-43D7-4EEE-A0AC-CC32E4DF3E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0" name="Picture 31">
          <a:extLst>
            <a:ext uri="{FF2B5EF4-FFF2-40B4-BE49-F238E27FC236}">
              <a16:creationId xmlns:a16="http://schemas.microsoft.com/office/drawing/2014/main" id="{8B2443C5-B44F-4579-8FF6-EFA79BF3FE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1" name="Picture 31">
          <a:extLst>
            <a:ext uri="{FF2B5EF4-FFF2-40B4-BE49-F238E27FC236}">
              <a16:creationId xmlns:a16="http://schemas.microsoft.com/office/drawing/2014/main" id="{3E1D3864-232A-49C3-A922-22769DAE9B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2" name="Picture 31">
          <a:extLst>
            <a:ext uri="{FF2B5EF4-FFF2-40B4-BE49-F238E27FC236}">
              <a16:creationId xmlns:a16="http://schemas.microsoft.com/office/drawing/2014/main" id="{353D83AF-3D88-45D0-B39C-1821F978E7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3" name="Picture 31">
          <a:extLst>
            <a:ext uri="{FF2B5EF4-FFF2-40B4-BE49-F238E27FC236}">
              <a16:creationId xmlns:a16="http://schemas.microsoft.com/office/drawing/2014/main" id="{A68B1D2F-1520-40B7-827F-9AF5F69E7A0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4" name="Picture 31">
          <a:extLst>
            <a:ext uri="{FF2B5EF4-FFF2-40B4-BE49-F238E27FC236}">
              <a16:creationId xmlns:a16="http://schemas.microsoft.com/office/drawing/2014/main" id="{1A8A3756-067B-49C6-A912-80D4899D59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5" name="Picture 31">
          <a:extLst>
            <a:ext uri="{FF2B5EF4-FFF2-40B4-BE49-F238E27FC236}">
              <a16:creationId xmlns:a16="http://schemas.microsoft.com/office/drawing/2014/main" id="{82AFF659-F240-4DC9-BD69-0FB4520B1E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6" name="Picture 31">
          <a:extLst>
            <a:ext uri="{FF2B5EF4-FFF2-40B4-BE49-F238E27FC236}">
              <a16:creationId xmlns:a16="http://schemas.microsoft.com/office/drawing/2014/main" id="{B3A86995-EFD8-4DFF-B13B-28DA2148E1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7" name="Picture 31">
          <a:extLst>
            <a:ext uri="{FF2B5EF4-FFF2-40B4-BE49-F238E27FC236}">
              <a16:creationId xmlns:a16="http://schemas.microsoft.com/office/drawing/2014/main" id="{E2E943B2-F2EE-4610-A523-84B24D1A9F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8" name="Picture 31">
          <a:extLst>
            <a:ext uri="{FF2B5EF4-FFF2-40B4-BE49-F238E27FC236}">
              <a16:creationId xmlns:a16="http://schemas.microsoft.com/office/drawing/2014/main" id="{D87B418A-3307-47DA-A78B-35221ACB14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29" name="Picture 31">
          <a:extLst>
            <a:ext uri="{FF2B5EF4-FFF2-40B4-BE49-F238E27FC236}">
              <a16:creationId xmlns:a16="http://schemas.microsoft.com/office/drawing/2014/main" id="{415F2C27-D947-4DEB-A513-EE898152A6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0" name="Picture 31">
          <a:extLst>
            <a:ext uri="{FF2B5EF4-FFF2-40B4-BE49-F238E27FC236}">
              <a16:creationId xmlns:a16="http://schemas.microsoft.com/office/drawing/2014/main" id="{9ABAB909-95ED-42E4-ABF1-11A443AE03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1" name="Picture 31">
          <a:extLst>
            <a:ext uri="{FF2B5EF4-FFF2-40B4-BE49-F238E27FC236}">
              <a16:creationId xmlns:a16="http://schemas.microsoft.com/office/drawing/2014/main" id="{606DA68D-CBBC-41EF-8E61-F6D33E2923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2" name="Picture 31">
          <a:extLst>
            <a:ext uri="{FF2B5EF4-FFF2-40B4-BE49-F238E27FC236}">
              <a16:creationId xmlns:a16="http://schemas.microsoft.com/office/drawing/2014/main" id="{D05B9211-CA83-44E8-83A6-6D94A91FA1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3" name="Picture 31">
          <a:extLst>
            <a:ext uri="{FF2B5EF4-FFF2-40B4-BE49-F238E27FC236}">
              <a16:creationId xmlns:a16="http://schemas.microsoft.com/office/drawing/2014/main" id="{91D7E33D-5FA8-4224-A510-77EDD85BE7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4" name="Picture 31">
          <a:extLst>
            <a:ext uri="{FF2B5EF4-FFF2-40B4-BE49-F238E27FC236}">
              <a16:creationId xmlns:a16="http://schemas.microsoft.com/office/drawing/2014/main" id="{CE61E3D5-F6F3-42C7-BC38-841D4D209E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5" name="Picture 31">
          <a:extLst>
            <a:ext uri="{FF2B5EF4-FFF2-40B4-BE49-F238E27FC236}">
              <a16:creationId xmlns:a16="http://schemas.microsoft.com/office/drawing/2014/main" id="{C5C51549-4D4A-40AE-965E-C4AF8BB4B5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6" name="Picture 31">
          <a:extLst>
            <a:ext uri="{FF2B5EF4-FFF2-40B4-BE49-F238E27FC236}">
              <a16:creationId xmlns:a16="http://schemas.microsoft.com/office/drawing/2014/main" id="{E41F1EF7-88FF-45CD-8F9B-4AC55E18B5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7" name="Picture 31">
          <a:extLst>
            <a:ext uri="{FF2B5EF4-FFF2-40B4-BE49-F238E27FC236}">
              <a16:creationId xmlns:a16="http://schemas.microsoft.com/office/drawing/2014/main" id="{9F6E3EEB-D818-46B7-BE67-A4E4098D6D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8" name="Picture 31">
          <a:extLst>
            <a:ext uri="{FF2B5EF4-FFF2-40B4-BE49-F238E27FC236}">
              <a16:creationId xmlns:a16="http://schemas.microsoft.com/office/drawing/2014/main" id="{FCC32A52-2F25-4513-AC7E-530CC258DC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39" name="Picture 31">
          <a:extLst>
            <a:ext uri="{FF2B5EF4-FFF2-40B4-BE49-F238E27FC236}">
              <a16:creationId xmlns:a16="http://schemas.microsoft.com/office/drawing/2014/main" id="{A5B05B8D-A4C7-464A-B3A9-C45D67B0D4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0" name="Picture 31">
          <a:extLst>
            <a:ext uri="{FF2B5EF4-FFF2-40B4-BE49-F238E27FC236}">
              <a16:creationId xmlns:a16="http://schemas.microsoft.com/office/drawing/2014/main" id="{96B2E460-EE3D-4595-B79D-2DBCC4A824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1" name="Picture 31">
          <a:extLst>
            <a:ext uri="{FF2B5EF4-FFF2-40B4-BE49-F238E27FC236}">
              <a16:creationId xmlns:a16="http://schemas.microsoft.com/office/drawing/2014/main" id="{7D93D078-5655-460F-BAB5-3675A0FF10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2" name="Picture 31">
          <a:extLst>
            <a:ext uri="{FF2B5EF4-FFF2-40B4-BE49-F238E27FC236}">
              <a16:creationId xmlns:a16="http://schemas.microsoft.com/office/drawing/2014/main" id="{1A9746FE-421E-44DD-8DAC-0A497A6527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3" name="Picture 31">
          <a:extLst>
            <a:ext uri="{FF2B5EF4-FFF2-40B4-BE49-F238E27FC236}">
              <a16:creationId xmlns:a16="http://schemas.microsoft.com/office/drawing/2014/main" id="{0027A01B-CFF0-4A8A-8D1C-8407058529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4" name="Picture 31">
          <a:extLst>
            <a:ext uri="{FF2B5EF4-FFF2-40B4-BE49-F238E27FC236}">
              <a16:creationId xmlns:a16="http://schemas.microsoft.com/office/drawing/2014/main" id="{469A0B4C-BA85-4CA7-9F5D-DB5C25D2AC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5" name="Picture 31">
          <a:extLst>
            <a:ext uri="{FF2B5EF4-FFF2-40B4-BE49-F238E27FC236}">
              <a16:creationId xmlns:a16="http://schemas.microsoft.com/office/drawing/2014/main" id="{27E7800B-0558-49E0-9346-CA0EEE5F11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6" name="Picture 31">
          <a:extLst>
            <a:ext uri="{FF2B5EF4-FFF2-40B4-BE49-F238E27FC236}">
              <a16:creationId xmlns:a16="http://schemas.microsoft.com/office/drawing/2014/main" id="{51571BAC-AF91-491A-88AA-DE10237C94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7" name="Picture 31">
          <a:extLst>
            <a:ext uri="{FF2B5EF4-FFF2-40B4-BE49-F238E27FC236}">
              <a16:creationId xmlns:a16="http://schemas.microsoft.com/office/drawing/2014/main" id="{B6ED5E82-E775-4C94-94A1-7BDF53896C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8" name="Picture 31">
          <a:extLst>
            <a:ext uri="{FF2B5EF4-FFF2-40B4-BE49-F238E27FC236}">
              <a16:creationId xmlns:a16="http://schemas.microsoft.com/office/drawing/2014/main" id="{EE4BD243-3D68-4F01-9BEC-32840B6DDE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49" name="Picture 31">
          <a:extLst>
            <a:ext uri="{FF2B5EF4-FFF2-40B4-BE49-F238E27FC236}">
              <a16:creationId xmlns:a16="http://schemas.microsoft.com/office/drawing/2014/main" id="{3A8E3BC6-A2ED-424B-BBFF-21378BE28E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0" name="Picture 31">
          <a:extLst>
            <a:ext uri="{FF2B5EF4-FFF2-40B4-BE49-F238E27FC236}">
              <a16:creationId xmlns:a16="http://schemas.microsoft.com/office/drawing/2014/main" id="{7DF02378-7FA7-42FF-96B5-31D9BF984D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1" name="Picture 31">
          <a:extLst>
            <a:ext uri="{FF2B5EF4-FFF2-40B4-BE49-F238E27FC236}">
              <a16:creationId xmlns:a16="http://schemas.microsoft.com/office/drawing/2014/main" id="{65015A6A-D556-4518-A3C4-906EF2C58F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2" name="Picture 31">
          <a:extLst>
            <a:ext uri="{FF2B5EF4-FFF2-40B4-BE49-F238E27FC236}">
              <a16:creationId xmlns:a16="http://schemas.microsoft.com/office/drawing/2014/main" id="{2F9F9E4C-352E-4415-886C-FB12C0F1C8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3" name="Picture 31">
          <a:extLst>
            <a:ext uri="{FF2B5EF4-FFF2-40B4-BE49-F238E27FC236}">
              <a16:creationId xmlns:a16="http://schemas.microsoft.com/office/drawing/2014/main" id="{53179714-97CF-4D79-B010-E57D28CF41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4" name="Picture 31">
          <a:extLst>
            <a:ext uri="{FF2B5EF4-FFF2-40B4-BE49-F238E27FC236}">
              <a16:creationId xmlns:a16="http://schemas.microsoft.com/office/drawing/2014/main" id="{C8DA5271-41BD-4E35-B422-3706E863E2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5" name="Picture 31">
          <a:extLst>
            <a:ext uri="{FF2B5EF4-FFF2-40B4-BE49-F238E27FC236}">
              <a16:creationId xmlns:a16="http://schemas.microsoft.com/office/drawing/2014/main" id="{4999D3F8-79FB-49C0-B091-4A26F4BB07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6" name="Picture 31">
          <a:extLst>
            <a:ext uri="{FF2B5EF4-FFF2-40B4-BE49-F238E27FC236}">
              <a16:creationId xmlns:a16="http://schemas.microsoft.com/office/drawing/2014/main" id="{FB2410C3-BAFA-4843-B939-316F755BF0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7" name="Picture 31">
          <a:extLst>
            <a:ext uri="{FF2B5EF4-FFF2-40B4-BE49-F238E27FC236}">
              <a16:creationId xmlns:a16="http://schemas.microsoft.com/office/drawing/2014/main" id="{6E8C36BA-C3F5-49FB-8FD9-4BE9566D14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8" name="Picture 31">
          <a:extLst>
            <a:ext uri="{FF2B5EF4-FFF2-40B4-BE49-F238E27FC236}">
              <a16:creationId xmlns:a16="http://schemas.microsoft.com/office/drawing/2014/main" id="{8B106E8D-0CE1-409B-A3C8-46E3C57EBC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59" name="Picture 31">
          <a:extLst>
            <a:ext uri="{FF2B5EF4-FFF2-40B4-BE49-F238E27FC236}">
              <a16:creationId xmlns:a16="http://schemas.microsoft.com/office/drawing/2014/main" id="{7B69AE13-2A55-48C9-8B22-FC5F99A8A4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0" name="Picture 31">
          <a:extLst>
            <a:ext uri="{FF2B5EF4-FFF2-40B4-BE49-F238E27FC236}">
              <a16:creationId xmlns:a16="http://schemas.microsoft.com/office/drawing/2014/main" id="{06516743-5213-41FE-814C-6B495532BE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1" name="Picture 31">
          <a:extLst>
            <a:ext uri="{FF2B5EF4-FFF2-40B4-BE49-F238E27FC236}">
              <a16:creationId xmlns:a16="http://schemas.microsoft.com/office/drawing/2014/main" id="{40FCC147-0C86-49E2-9CC4-02CB25ED03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2" name="Picture 31">
          <a:extLst>
            <a:ext uri="{FF2B5EF4-FFF2-40B4-BE49-F238E27FC236}">
              <a16:creationId xmlns:a16="http://schemas.microsoft.com/office/drawing/2014/main" id="{B81ADC1C-0AA3-45E1-BDD5-27639F7669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3" name="Picture 31">
          <a:extLst>
            <a:ext uri="{FF2B5EF4-FFF2-40B4-BE49-F238E27FC236}">
              <a16:creationId xmlns:a16="http://schemas.microsoft.com/office/drawing/2014/main" id="{24CF5536-18C1-4C42-989C-297F4316A6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4" name="Picture 31">
          <a:extLst>
            <a:ext uri="{FF2B5EF4-FFF2-40B4-BE49-F238E27FC236}">
              <a16:creationId xmlns:a16="http://schemas.microsoft.com/office/drawing/2014/main" id="{1C6F68B5-2DC1-4C9B-B2A7-91A0EBAB87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5" name="Picture 31">
          <a:extLst>
            <a:ext uri="{FF2B5EF4-FFF2-40B4-BE49-F238E27FC236}">
              <a16:creationId xmlns:a16="http://schemas.microsoft.com/office/drawing/2014/main" id="{66F31EE5-B9E3-46C8-B0AC-1956750A3F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6" name="Picture 31">
          <a:extLst>
            <a:ext uri="{FF2B5EF4-FFF2-40B4-BE49-F238E27FC236}">
              <a16:creationId xmlns:a16="http://schemas.microsoft.com/office/drawing/2014/main" id="{8EA070D0-DD50-4C97-85F2-B6CBE12B77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7" name="Picture 31">
          <a:extLst>
            <a:ext uri="{FF2B5EF4-FFF2-40B4-BE49-F238E27FC236}">
              <a16:creationId xmlns:a16="http://schemas.microsoft.com/office/drawing/2014/main" id="{57EC6A94-8415-4672-82F2-912732022C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8" name="Picture 31">
          <a:extLst>
            <a:ext uri="{FF2B5EF4-FFF2-40B4-BE49-F238E27FC236}">
              <a16:creationId xmlns:a16="http://schemas.microsoft.com/office/drawing/2014/main" id="{416E934D-5F0F-4542-AD4D-C2C4DB111B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69" name="Picture 31">
          <a:extLst>
            <a:ext uri="{FF2B5EF4-FFF2-40B4-BE49-F238E27FC236}">
              <a16:creationId xmlns:a16="http://schemas.microsoft.com/office/drawing/2014/main" id="{616C821B-EFD1-4483-8DBE-2536AF3676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0" name="Picture 31">
          <a:extLst>
            <a:ext uri="{FF2B5EF4-FFF2-40B4-BE49-F238E27FC236}">
              <a16:creationId xmlns:a16="http://schemas.microsoft.com/office/drawing/2014/main" id="{3646ED93-C3AA-4170-91AB-93452EF4D4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1" name="Picture 31">
          <a:extLst>
            <a:ext uri="{FF2B5EF4-FFF2-40B4-BE49-F238E27FC236}">
              <a16:creationId xmlns:a16="http://schemas.microsoft.com/office/drawing/2014/main" id="{60AB37C3-1DB1-4FE2-BF7D-A627C26416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2" name="Picture 31">
          <a:extLst>
            <a:ext uri="{FF2B5EF4-FFF2-40B4-BE49-F238E27FC236}">
              <a16:creationId xmlns:a16="http://schemas.microsoft.com/office/drawing/2014/main" id="{31F9EF15-82E4-460E-9385-9CCDCEA9C5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3" name="Picture 31">
          <a:extLst>
            <a:ext uri="{FF2B5EF4-FFF2-40B4-BE49-F238E27FC236}">
              <a16:creationId xmlns:a16="http://schemas.microsoft.com/office/drawing/2014/main" id="{1A7FF2FB-2CBB-4BE3-98DB-EA1DFF2728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4" name="Picture 31">
          <a:extLst>
            <a:ext uri="{FF2B5EF4-FFF2-40B4-BE49-F238E27FC236}">
              <a16:creationId xmlns:a16="http://schemas.microsoft.com/office/drawing/2014/main" id="{21E32D34-52FE-4ADF-8BAF-E94363A64B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5" name="Picture 31">
          <a:extLst>
            <a:ext uri="{FF2B5EF4-FFF2-40B4-BE49-F238E27FC236}">
              <a16:creationId xmlns:a16="http://schemas.microsoft.com/office/drawing/2014/main" id="{F50C3CED-74A1-42A7-A891-C39168AF82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6" name="Picture 31">
          <a:extLst>
            <a:ext uri="{FF2B5EF4-FFF2-40B4-BE49-F238E27FC236}">
              <a16:creationId xmlns:a16="http://schemas.microsoft.com/office/drawing/2014/main" id="{142C94CD-8212-49AD-A949-27AF4B756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7" name="Picture 31">
          <a:extLst>
            <a:ext uri="{FF2B5EF4-FFF2-40B4-BE49-F238E27FC236}">
              <a16:creationId xmlns:a16="http://schemas.microsoft.com/office/drawing/2014/main" id="{40D1AD31-7562-4ADA-B009-2B2B0F92D4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8" name="Picture 31">
          <a:extLst>
            <a:ext uri="{FF2B5EF4-FFF2-40B4-BE49-F238E27FC236}">
              <a16:creationId xmlns:a16="http://schemas.microsoft.com/office/drawing/2014/main" id="{3335D7E4-CE0A-4478-8E56-CE8A6F2CD9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79" name="Picture 31">
          <a:extLst>
            <a:ext uri="{FF2B5EF4-FFF2-40B4-BE49-F238E27FC236}">
              <a16:creationId xmlns:a16="http://schemas.microsoft.com/office/drawing/2014/main" id="{EDCBF751-D199-4790-9FA6-61A354335E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0" name="Picture 31">
          <a:extLst>
            <a:ext uri="{FF2B5EF4-FFF2-40B4-BE49-F238E27FC236}">
              <a16:creationId xmlns:a16="http://schemas.microsoft.com/office/drawing/2014/main" id="{592A728D-502C-4B3E-B3AC-696FD130ED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1" name="Picture 31">
          <a:extLst>
            <a:ext uri="{FF2B5EF4-FFF2-40B4-BE49-F238E27FC236}">
              <a16:creationId xmlns:a16="http://schemas.microsoft.com/office/drawing/2014/main" id="{2FA8663C-46D8-4F50-90A9-96ECBC7E49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2" name="Picture 31">
          <a:extLst>
            <a:ext uri="{FF2B5EF4-FFF2-40B4-BE49-F238E27FC236}">
              <a16:creationId xmlns:a16="http://schemas.microsoft.com/office/drawing/2014/main" id="{D4C902DE-CC60-4F9A-970B-FA4A83F72D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3" name="Picture 31">
          <a:extLst>
            <a:ext uri="{FF2B5EF4-FFF2-40B4-BE49-F238E27FC236}">
              <a16:creationId xmlns:a16="http://schemas.microsoft.com/office/drawing/2014/main" id="{85B3AEF2-9879-4A4E-88B7-2D18A91647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4" name="Picture 31">
          <a:extLst>
            <a:ext uri="{FF2B5EF4-FFF2-40B4-BE49-F238E27FC236}">
              <a16:creationId xmlns:a16="http://schemas.microsoft.com/office/drawing/2014/main" id="{6F5C7D39-253E-4B6E-9C9C-E679809F90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5" name="Picture 31">
          <a:extLst>
            <a:ext uri="{FF2B5EF4-FFF2-40B4-BE49-F238E27FC236}">
              <a16:creationId xmlns:a16="http://schemas.microsoft.com/office/drawing/2014/main" id="{B6CF715A-79D6-427A-B2D7-49B92BBCAE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6" name="Picture 31">
          <a:extLst>
            <a:ext uri="{FF2B5EF4-FFF2-40B4-BE49-F238E27FC236}">
              <a16:creationId xmlns:a16="http://schemas.microsoft.com/office/drawing/2014/main" id="{3B082460-4D3A-491F-80C8-E8EEB39592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7" name="Picture 31">
          <a:extLst>
            <a:ext uri="{FF2B5EF4-FFF2-40B4-BE49-F238E27FC236}">
              <a16:creationId xmlns:a16="http://schemas.microsoft.com/office/drawing/2014/main" id="{E3EA8C09-979D-4FF2-BDD1-6EC282899C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8" name="Picture 31">
          <a:extLst>
            <a:ext uri="{FF2B5EF4-FFF2-40B4-BE49-F238E27FC236}">
              <a16:creationId xmlns:a16="http://schemas.microsoft.com/office/drawing/2014/main" id="{ED10E0FA-D39D-48CE-BEEA-AF7483AEE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89" name="Picture 31">
          <a:extLst>
            <a:ext uri="{FF2B5EF4-FFF2-40B4-BE49-F238E27FC236}">
              <a16:creationId xmlns:a16="http://schemas.microsoft.com/office/drawing/2014/main" id="{E0FE6A55-A288-4555-8266-6C290B03EF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0" name="Picture 31">
          <a:extLst>
            <a:ext uri="{FF2B5EF4-FFF2-40B4-BE49-F238E27FC236}">
              <a16:creationId xmlns:a16="http://schemas.microsoft.com/office/drawing/2014/main" id="{30D64396-6699-403E-B013-95598A7F50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1" name="Picture 31">
          <a:extLst>
            <a:ext uri="{FF2B5EF4-FFF2-40B4-BE49-F238E27FC236}">
              <a16:creationId xmlns:a16="http://schemas.microsoft.com/office/drawing/2014/main" id="{8C3F0174-D4BE-4FDA-A251-A30F2393AC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2" name="Picture 31">
          <a:extLst>
            <a:ext uri="{FF2B5EF4-FFF2-40B4-BE49-F238E27FC236}">
              <a16:creationId xmlns:a16="http://schemas.microsoft.com/office/drawing/2014/main" id="{AF467FEF-1DCF-4751-AA06-2AA2CB5EC9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3" name="Picture 31">
          <a:extLst>
            <a:ext uri="{FF2B5EF4-FFF2-40B4-BE49-F238E27FC236}">
              <a16:creationId xmlns:a16="http://schemas.microsoft.com/office/drawing/2014/main" id="{F8AF0174-C578-4439-9508-900E6413B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4" name="Picture 31">
          <a:extLst>
            <a:ext uri="{FF2B5EF4-FFF2-40B4-BE49-F238E27FC236}">
              <a16:creationId xmlns:a16="http://schemas.microsoft.com/office/drawing/2014/main" id="{0F051697-51EE-4A30-9880-95010023C0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5" name="Picture 31">
          <a:extLst>
            <a:ext uri="{FF2B5EF4-FFF2-40B4-BE49-F238E27FC236}">
              <a16:creationId xmlns:a16="http://schemas.microsoft.com/office/drawing/2014/main" id="{1EE9603F-4C88-4DE8-A45C-DB8102E6E9D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6" name="Picture 31">
          <a:extLst>
            <a:ext uri="{FF2B5EF4-FFF2-40B4-BE49-F238E27FC236}">
              <a16:creationId xmlns:a16="http://schemas.microsoft.com/office/drawing/2014/main" id="{1DDA0C9E-4A59-4CDA-B181-9DEC335D07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7" name="Picture 31">
          <a:extLst>
            <a:ext uri="{FF2B5EF4-FFF2-40B4-BE49-F238E27FC236}">
              <a16:creationId xmlns:a16="http://schemas.microsoft.com/office/drawing/2014/main" id="{E7549114-6F86-4121-8DC0-D85BAA2B24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8" name="Picture 31">
          <a:extLst>
            <a:ext uri="{FF2B5EF4-FFF2-40B4-BE49-F238E27FC236}">
              <a16:creationId xmlns:a16="http://schemas.microsoft.com/office/drawing/2014/main" id="{99CF2AC0-F7F7-4D4A-8298-E8B11B5091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299" name="Picture 31">
          <a:extLst>
            <a:ext uri="{FF2B5EF4-FFF2-40B4-BE49-F238E27FC236}">
              <a16:creationId xmlns:a16="http://schemas.microsoft.com/office/drawing/2014/main" id="{4F55F344-F51A-466E-9D63-95B988D1A8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0" name="Picture 31">
          <a:extLst>
            <a:ext uri="{FF2B5EF4-FFF2-40B4-BE49-F238E27FC236}">
              <a16:creationId xmlns:a16="http://schemas.microsoft.com/office/drawing/2014/main" id="{D270AD1F-151A-47A4-85B9-057900A523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1" name="Picture 31">
          <a:extLst>
            <a:ext uri="{FF2B5EF4-FFF2-40B4-BE49-F238E27FC236}">
              <a16:creationId xmlns:a16="http://schemas.microsoft.com/office/drawing/2014/main" id="{3EEDC006-989F-4C74-8DFE-E1B92F755B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2" name="Picture 31">
          <a:extLst>
            <a:ext uri="{FF2B5EF4-FFF2-40B4-BE49-F238E27FC236}">
              <a16:creationId xmlns:a16="http://schemas.microsoft.com/office/drawing/2014/main" id="{4AA4EB86-B19C-4747-9C16-459B5A3F06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3" name="Picture 31">
          <a:extLst>
            <a:ext uri="{FF2B5EF4-FFF2-40B4-BE49-F238E27FC236}">
              <a16:creationId xmlns:a16="http://schemas.microsoft.com/office/drawing/2014/main" id="{8B596BB4-AAB6-425D-88D0-CA874C4FC0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4" name="Picture 31">
          <a:extLst>
            <a:ext uri="{FF2B5EF4-FFF2-40B4-BE49-F238E27FC236}">
              <a16:creationId xmlns:a16="http://schemas.microsoft.com/office/drawing/2014/main" id="{26696CF8-AAFF-4282-BD8B-157FAB5B41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5" name="Picture 31">
          <a:extLst>
            <a:ext uri="{FF2B5EF4-FFF2-40B4-BE49-F238E27FC236}">
              <a16:creationId xmlns:a16="http://schemas.microsoft.com/office/drawing/2014/main" id="{FE93A95D-799A-46D5-BB1E-5DA959FBD3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6" name="Picture 31">
          <a:extLst>
            <a:ext uri="{FF2B5EF4-FFF2-40B4-BE49-F238E27FC236}">
              <a16:creationId xmlns:a16="http://schemas.microsoft.com/office/drawing/2014/main" id="{894D9E3D-FF64-4A25-9153-0850531C17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7" name="Picture 31">
          <a:extLst>
            <a:ext uri="{FF2B5EF4-FFF2-40B4-BE49-F238E27FC236}">
              <a16:creationId xmlns:a16="http://schemas.microsoft.com/office/drawing/2014/main" id="{D450D4F9-EB27-4457-A52B-7059601642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8" name="Picture 31">
          <a:extLst>
            <a:ext uri="{FF2B5EF4-FFF2-40B4-BE49-F238E27FC236}">
              <a16:creationId xmlns:a16="http://schemas.microsoft.com/office/drawing/2014/main" id="{E711BBEA-1D3F-4F27-A4E8-369A11C004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09" name="Picture 31">
          <a:extLst>
            <a:ext uri="{FF2B5EF4-FFF2-40B4-BE49-F238E27FC236}">
              <a16:creationId xmlns:a16="http://schemas.microsoft.com/office/drawing/2014/main" id="{A56239D6-BCC4-45B8-8ED1-A6FBB7905A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0" name="Picture 31">
          <a:extLst>
            <a:ext uri="{FF2B5EF4-FFF2-40B4-BE49-F238E27FC236}">
              <a16:creationId xmlns:a16="http://schemas.microsoft.com/office/drawing/2014/main" id="{F24BD1EE-6859-4DC5-8E4A-64CBADFC0D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1" name="Picture 31">
          <a:extLst>
            <a:ext uri="{FF2B5EF4-FFF2-40B4-BE49-F238E27FC236}">
              <a16:creationId xmlns:a16="http://schemas.microsoft.com/office/drawing/2014/main" id="{3C534A9C-4279-4869-B438-66871C7450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2" name="Picture 31">
          <a:extLst>
            <a:ext uri="{FF2B5EF4-FFF2-40B4-BE49-F238E27FC236}">
              <a16:creationId xmlns:a16="http://schemas.microsoft.com/office/drawing/2014/main" id="{FC072336-6419-4BB6-B459-8FDF8D830F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3" name="Picture 31">
          <a:extLst>
            <a:ext uri="{FF2B5EF4-FFF2-40B4-BE49-F238E27FC236}">
              <a16:creationId xmlns:a16="http://schemas.microsoft.com/office/drawing/2014/main" id="{4F1A1984-D2E0-4899-9B74-3427E6FAB0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4" name="Picture 31">
          <a:extLst>
            <a:ext uri="{FF2B5EF4-FFF2-40B4-BE49-F238E27FC236}">
              <a16:creationId xmlns:a16="http://schemas.microsoft.com/office/drawing/2014/main" id="{B49B3B38-39C7-4D56-B12F-210426F08B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5" name="Picture 31">
          <a:extLst>
            <a:ext uri="{FF2B5EF4-FFF2-40B4-BE49-F238E27FC236}">
              <a16:creationId xmlns:a16="http://schemas.microsoft.com/office/drawing/2014/main" id="{8C18E107-EB43-49BD-9585-97D16D4356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6" name="Picture 31">
          <a:extLst>
            <a:ext uri="{FF2B5EF4-FFF2-40B4-BE49-F238E27FC236}">
              <a16:creationId xmlns:a16="http://schemas.microsoft.com/office/drawing/2014/main" id="{6C71750F-2AFA-43F7-B5FE-1816DA5767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7" name="Picture 31">
          <a:extLst>
            <a:ext uri="{FF2B5EF4-FFF2-40B4-BE49-F238E27FC236}">
              <a16:creationId xmlns:a16="http://schemas.microsoft.com/office/drawing/2014/main" id="{61D4AE4B-4EB4-4BA0-850F-5B9C0ED7CA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8" name="Picture 31">
          <a:extLst>
            <a:ext uri="{FF2B5EF4-FFF2-40B4-BE49-F238E27FC236}">
              <a16:creationId xmlns:a16="http://schemas.microsoft.com/office/drawing/2014/main" id="{CD07BCF2-E580-4070-871E-B44EA846F0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19" name="Picture 31">
          <a:extLst>
            <a:ext uri="{FF2B5EF4-FFF2-40B4-BE49-F238E27FC236}">
              <a16:creationId xmlns:a16="http://schemas.microsoft.com/office/drawing/2014/main" id="{8B2D5C4B-1FE3-47BF-9493-2222AB6D25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0" name="Picture 31">
          <a:extLst>
            <a:ext uri="{FF2B5EF4-FFF2-40B4-BE49-F238E27FC236}">
              <a16:creationId xmlns:a16="http://schemas.microsoft.com/office/drawing/2014/main" id="{B75A380C-EE57-4855-8037-575D0E111F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1" name="Picture 31">
          <a:extLst>
            <a:ext uri="{FF2B5EF4-FFF2-40B4-BE49-F238E27FC236}">
              <a16:creationId xmlns:a16="http://schemas.microsoft.com/office/drawing/2014/main" id="{7CE4564B-80A2-49F2-865D-732CCC91C8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2" name="Picture 31">
          <a:extLst>
            <a:ext uri="{FF2B5EF4-FFF2-40B4-BE49-F238E27FC236}">
              <a16:creationId xmlns:a16="http://schemas.microsoft.com/office/drawing/2014/main" id="{48C86DC1-37A4-434B-A2CE-F7F84A8F37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3" name="Picture 31">
          <a:extLst>
            <a:ext uri="{FF2B5EF4-FFF2-40B4-BE49-F238E27FC236}">
              <a16:creationId xmlns:a16="http://schemas.microsoft.com/office/drawing/2014/main" id="{936CC7B3-F590-4401-9DA2-F845972D09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4" name="Picture 31">
          <a:extLst>
            <a:ext uri="{FF2B5EF4-FFF2-40B4-BE49-F238E27FC236}">
              <a16:creationId xmlns:a16="http://schemas.microsoft.com/office/drawing/2014/main" id="{1A289934-24CD-4E93-A3E5-60EA094745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5" name="Picture 31">
          <a:extLst>
            <a:ext uri="{FF2B5EF4-FFF2-40B4-BE49-F238E27FC236}">
              <a16:creationId xmlns:a16="http://schemas.microsoft.com/office/drawing/2014/main" id="{5A44621F-2C02-417F-8284-1F8236958A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6" name="Picture 31">
          <a:extLst>
            <a:ext uri="{FF2B5EF4-FFF2-40B4-BE49-F238E27FC236}">
              <a16:creationId xmlns:a16="http://schemas.microsoft.com/office/drawing/2014/main" id="{B285C5E1-CDA8-4CC4-848C-A110916125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7" name="Picture 31">
          <a:extLst>
            <a:ext uri="{FF2B5EF4-FFF2-40B4-BE49-F238E27FC236}">
              <a16:creationId xmlns:a16="http://schemas.microsoft.com/office/drawing/2014/main" id="{B6A363D4-4B20-4CC1-85FB-D6DD7AF2E1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8" name="Picture 31">
          <a:extLst>
            <a:ext uri="{FF2B5EF4-FFF2-40B4-BE49-F238E27FC236}">
              <a16:creationId xmlns:a16="http://schemas.microsoft.com/office/drawing/2014/main" id="{5A9B750A-93D6-4B4E-8CB0-7E5BBE31C6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29" name="Picture 31">
          <a:extLst>
            <a:ext uri="{FF2B5EF4-FFF2-40B4-BE49-F238E27FC236}">
              <a16:creationId xmlns:a16="http://schemas.microsoft.com/office/drawing/2014/main" id="{2F95974B-BAA2-463E-B9D5-389429D436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0" name="Picture 31">
          <a:extLst>
            <a:ext uri="{FF2B5EF4-FFF2-40B4-BE49-F238E27FC236}">
              <a16:creationId xmlns:a16="http://schemas.microsoft.com/office/drawing/2014/main" id="{00749F67-FE56-4FB6-977D-982A50F9D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1" name="Picture 31">
          <a:extLst>
            <a:ext uri="{FF2B5EF4-FFF2-40B4-BE49-F238E27FC236}">
              <a16:creationId xmlns:a16="http://schemas.microsoft.com/office/drawing/2014/main" id="{85821AFD-8E34-4CA0-8F06-3828B0C524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2" name="Picture 31">
          <a:extLst>
            <a:ext uri="{FF2B5EF4-FFF2-40B4-BE49-F238E27FC236}">
              <a16:creationId xmlns:a16="http://schemas.microsoft.com/office/drawing/2014/main" id="{952D6BBD-148E-43E4-A085-E24B56F62D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3" name="Picture 31">
          <a:extLst>
            <a:ext uri="{FF2B5EF4-FFF2-40B4-BE49-F238E27FC236}">
              <a16:creationId xmlns:a16="http://schemas.microsoft.com/office/drawing/2014/main" id="{CF7F0D1F-BAEF-4B17-9E0D-2EF6D20AFC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4" name="Picture 31">
          <a:extLst>
            <a:ext uri="{FF2B5EF4-FFF2-40B4-BE49-F238E27FC236}">
              <a16:creationId xmlns:a16="http://schemas.microsoft.com/office/drawing/2014/main" id="{33A70CD3-54A7-4EC2-B6F9-F4F4376877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5" name="Picture 31">
          <a:extLst>
            <a:ext uri="{FF2B5EF4-FFF2-40B4-BE49-F238E27FC236}">
              <a16:creationId xmlns:a16="http://schemas.microsoft.com/office/drawing/2014/main" id="{04E39411-4DA3-411E-AC4A-60AE1E16225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6" name="Picture 31">
          <a:extLst>
            <a:ext uri="{FF2B5EF4-FFF2-40B4-BE49-F238E27FC236}">
              <a16:creationId xmlns:a16="http://schemas.microsoft.com/office/drawing/2014/main" id="{08AFA345-3452-45BC-BA42-01CDB1B565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7" name="Picture 31">
          <a:extLst>
            <a:ext uri="{FF2B5EF4-FFF2-40B4-BE49-F238E27FC236}">
              <a16:creationId xmlns:a16="http://schemas.microsoft.com/office/drawing/2014/main" id="{260075AA-66F0-4893-A41C-B4515AE7F4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8" name="Picture 31">
          <a:extLst>
            <a:ext uri="{FF2B5EF4-FFF2-40B4-BE49-F238E27FC236}">
              <a16:creationId xmlns:a16="http://schemas.microsoft.com/office/drawing/2014/main" id="{E7EEEDDF-A3EB-4F29-9E69-ADA9989250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39" name="Picture 31">
          <a:extLst>
            <a:ext uri="{FF2B5EF4-FFF2-40B4-BE49-F238E27FC236}">
              <a16:creationId xmlns:a16="http://schemas.microsoft.com/office/drawing/2014/main" id="{73424C54-3E28-4CA1-B910-2BD371C5BF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0" name="Picture 31">
          <a:extLst>
            <a:ext uri="{FF2B5EF4-FFF2-40B4-BE49-F238E27FC236}">
              <a16:creationId xmlns:a16="http://schemas.microsoft.com/office/drawing/2014/main" id="{BBD2D8CF-BDA3-4A24-8CD5-DC31736A68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1" name="Picture 31">
          <a:extLst>
            <a:ext uri="{FF2B5EF4-FFF2-40B4-BE49-F238E27FC236}">
              <a16:creationId xmlns:a16="http://schemas.microsoft.com/office/drawing/2014/main" id="{71F2E75F-91B9-4E41-9E1E-FAE55FCF86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2" name="Picture 31">
          <a:extLst>
            <a:ext uri="{FF2B5EF4-FFF2-40B4-BE49-F238E27FC236}">
              <a16:creationId xmlns:a16="http://schemas.microsoft.com/office/drawing/2014/main" id="{84D81623-ECE1-4C9A-92FB-029D1A678C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3" name="Picture 31">
          <a:extLst>
            <a:ext uri="{FF2B5EF4-FFF2-40B4-BE49-F238E27FC236}">
              <a16:creationId xmlns:a16="http://schemas.microsoft.com/office/drawing/2014/main" id="{507BA6F2-2321-43F4-AEEE-6442F1E3A1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4" name="Picture 31">
          <a:extLst>
            <a:ext uri="{FF2B5EF4-FFF2-40B4-BE49-F238E27FC236}">
              <a16:creationId xmlns:a16="http://schemas.microsoft.com/office/drawing/2014/main" id="{FB24E4D3-19C5-4D01-A2FE-37B6C53C6B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5" name="Picture 31">
          <a:extLst>
            <a:ext uri="{FF2B5EF4-FFF2-40B4-BE49-F238E27FC236}">
              <a16:creationId xmlns:a16="http://schemas.microsoft.com/office/drawing/2014/main" id="{BC45C890-8C9E-4EB5-8FB7-21404BAF013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6" name="Picture 31">
          <a:extLst>
            <a:ext uri="{FF2B5EF4-FFF2-40B4-BE49-F238E27FC236}">
              <a16:creationId xmlns:a16="http://schemas.microsoft.com/office/drawing/2014/main" id="{E7746EC6-591E-4BD2-96FE-0AE305D91D5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7" name="Picture 31">
          <a:extLst>
            <a:ext uri="{FF2B5EF4-FFF2-40B4-BE49-F238E27FC236}">
              <a16:creationId xmlns:a16="http://schemas.microsoft.com/office/drawing/2014/main" id="{BA98A6AE-63DA-4C66-BC58-854B6B663E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8" name="Picture 31">
          <a:extLst>
            <a:ext uri="{FF2B5EF4-FFF2-40B4-BE49-F238E27FC236}">
              <a16:creationId xmlns:a16="http://schemas.microsoft.com/office/drawing/2014/main" id="{A93BD577-1EEB-4965-98CD-859983F500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49" name="Picture 31">
          <a:extLst>
            <a:ext uri="{FF2B5EF4-FFF2-40B4-BE49-F238E27FC236}">
              <a16:creationId xmlns:a16="http://schemas.microsoft.com/office/drawing/2014/main" id="{85D8C40B-A769-4F3D-AA8B-AE2674F5C2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0" name="Picture 31">
          <a:extLst>
            <a:ext uri="{FF2B5EF4-FFF2-40B4-BE49-F238E27FC236}">
              <a16:creationId xmlns:a16="http://schemas.microsoft.com/office/drawing/2014/main" id="{7F79AC99-267F-440F-9419-657EB83CA0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1" name="Picture 31">
          <a:extLst>
            <a:ext uri="{FF2B5EF4-FFF2-40B4-BE49-F238E27FC236}">
              <a16:creationId xmlns:a16="http://schemas.microsoft.com/office/drawing/2014/main" id="{5E9CFC18-3642-4FEE-8524-1A3C44C6BE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2" name="Picture 31">
          <a:extLst>
            <a:ext uri="{FF2B5EF4-FFF2-40B4-BE49-F238E27FC236}">
              <a16:creationId xmlns:a16="http://schemas.microsoft.com/office/drawing/2014/main" id="{BE8D8F82-8694-4B2F-BEB3-1FCD93839B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3" name="Picture 31">
          <a:extLst>
            <a:ext uri="{FF2B5EF4-FFF2-40B4-BE49-F238E27FC236}">
              <a16:creationId xmlns:a16="http://schemas.microsoft.com/office/drawing/2014/main" id="{893147E6-2BE5-4CBF-9825-89BC82399E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4" name="Picture 31">
          <a:extLst>
            <a:ext uri="{FF2B5EF4-FFF2-40B4-BE49-F238E27FC236}">
              <a16:creationId xmlns:a16="http://schemas.microsoft.com/office/drawing/2014/main" id="{60F194E2-9076-4DA9-83A6-ABE2A14809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5" name="Picture 31">
          <a:extLst>
            <a:ext uri="{FF2B5EF4-FFF2-40B4-BE49-F238E27FC236}">
              <a16:creationId xmlns:a16="http://schemas.microsoft.com/office/drawing/2014/main" id="{88109AF6-0F62-41E1-AF70-0875DE9824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6" name="Picture 31">
          <a:extLst>
            <a:ext uri="{FF2B5EF4-FFF2-40B4-BE49-F238E27FC236}">
              <a16:creationId xmlns:a16="http://schemas.microsoft.com/office/drawing/2014/main" id="{BF013D5C-334F-48FB-9618-EF21261927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7" name="Picture 31">
          <a:extLst>
            <a:ext uri="{FF2B5EF4-FFF2-40B4-BE49-F238E27FC236}">
              <a16:creationId xmlns:a16="http://schemas.microsoft.com/office/drawing/2014/main" id="{B49FAB9A-FD98-4DA8-BE3A-44023BE26F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8" name="Picture 31">
          <a:extLst>
            <a:ext uri="{FF2B5EF4-FFF2-40B4-BE49-F238E27FC236}">
              <a16:creationId xmlns:a16="http://schemas.microsoft.com/office/drawing/2014/main" id="{EBCD20D7-B90F-4C94-A83D-BB9C0FD2E7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59" name="Picture 31">
          <a:extLst>
            <a:ext uri="{FF2B5EF4-FFF2-40B4-BE49-F238E27FC236}">
              <a16:creationId xmlns:a16="http://schemas.microsoft.com/office/drawing/2014/main" id="{219B78B3-E45D-4B21-9B64-6AC8D27690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0" name="Picture 31">
          <a:extLst>
            <a:ext uri="{FF2B5EF4-FFF2-40B4-BE49-F238E27FC236}">
              <a16:creationId xmlns:a16="http://schemas.microsoft.com/office/drawing/2014/main" id="{29641256-4905-4000-9F44-5D3D35B8FE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1" name="Picture 31">
          <a:extLst>
            <a:ext uri="{FF2B5EF4-FFF2-40B4-BE49-F238E27FC236}">
              <a16:creationId xmlns:a16="http://schemas.microsoft.com/office/drawing/2014/main" id="{F1076E70-41F0-44FF-B871-3F9C3CF88F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2" name="Picture 31">
          <a:extLst>
            <a:ext uri="{FF2B5EF4-FFF2-40B4-BE49-F238E27FC236}">
              <a16:creationId xmlns:a16="http://schemas.microsoft.com/office/drawing/2014/main" id="{5558D2E2-D0E6-41D1-AB39-A2BE573A39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3" name="Picture 31">
          <a:extLst>
            <a:ext uri="{FF2B5EF4-FFF2-40B4-BE49-F238E27FC236}">
              <a16:creationId xmlns:a16="http://schemas.microsoft.com/office/drawing/2014/main" id="{4D3FF2F4-C77E-4D3E-8517-DE47625B0C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4" name="Picture 31">
          <a:extLst>
            <a:ext uri="{FF2B5EF4-FFF2-40B4-BE49-F238E27FC236}">
              <a16:creationId xmlns:a16="http://schemas.microsoft.com/office/drawing/2014/main" id="{A1579A2D-5201-47B6-B86F-315227C82A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5" name="Picture 31">
          <a:extLst>
            <a:ext uri="{FF2B5EF4-FFF2-40B4-BE49-F238E27FC236}">
              <a16:creationId xmlns:a16="http://schemas.microsoft.com/office/drawing/2014/main" id="{BC082656-237E-463D-B8EF-E23C6CA19A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6" name="Picture 31">
          <a:extLst>
            <a:ext uri="{FF2B5EF4-FFF2-40B4-BE49-F238E27FC236}">
              <a16:creationId xmlns:a16="http://schemas.microsoft.com/office/drawing/2014/main" id="{296458B0-B463-4D13-B282-AA7B7EB0F6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7" name="Picture 31">
          <a:extLst>
            <a:ext uri="{FF2B5EF4-FFF2-40B4-BE49-F238E27FC236}">
              <a16:creationId xmlns:a16="http://schemas.microsoft.com/office/drawing/2014/main" id="{9613E509-8B9F-477D-9319-F369924FEF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8" name="Picture 31">
          <a:extLst>
            <a:ext uri="{FF2B5EF4-FFF2-40B4-BE49-F238E27FC236}">
              <a16:creationId xmlns:a16="http://schemas.microsoft.com/office/drawing/2014/main" id="{505A4493-3DFF-4D9B-B52A-B54F64467D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69" name="Picture 31">
          <a:extLst>
            <a:ext uri="{FF2B5EF4-FFF2-40B4-BE49-F238E27FC236}">
              <a16:creationId xmlns:a16="http://schemas.microsoft.com/office/drawing/2014/main" id="{A5D38896-2712-43BF-A65B-175FC7F617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0" name="Picture 31">
          <a:extLst>
            <a:ext uri="{FF2B5EF4-FFF2-40B4-BE49-F238E27FC236}">
              <a16:creationId xmlns:a16="http://schemas.microsoft.com/office/drawing/2014/main" id="{4377AD18-257D-4238-8779-6373F1133C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1" name="Picture 31">
          <a:extLst>
            <a:ext uri="{FF2B5EF4-FFF2-40B4-BE49-F238E27FC236}">
              <a16:creationId xmlns:a16="http://schemas.microsoft.com/office/drawing/2014/main" id="{9F1D970D-A111-4287-9400-2A8EE97FE9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2" name="Picture 31">
          <a:extLst>
            <a:ext uri="{FF2B5EF4-FFF2-40B4-BE49-F238E27FC236}">
              <a16:creationId xmlns:a16="http://schemas.microsoft.com/office/drawing/2014/main" id="{D40C9133-5C58-466A-9BCF-9E37974018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3" name="Picture 31">
          <a:extLst>
            <a:ext uri="{FF2B5EF4-FFF2-40B4-BE49-F238E27FC236}">
              <a16:creationId xmlns:a16="http://schemas.microsoft.com/office/drawing/2014/main" id="{3B232445-C58C-4334-832E-DE5AC656FA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4" name="Picture 31">
          <a:extLst>
            <a:ext uri="{FF2B5EF4-FFF2-40B4-BE49-F238E27FC236}">
              <a16:creationId xmlns:a16="http://schemas.microsoft.com/office/drawing/2014/main" id="{74D1894A-0D9D-48F4-BA3F-09DEB8405D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5" name="Picture 31">
          <a:extLst>
            <a:ext uri="{FF2B5EF4-FFF2-40B4-BE49-F238E27FC236}">
              <a16:creationId xmlns:a16="http://schemas.microsoft.com/office/drawing/2014/main" id="{A0DF6857-6ACF-42BE-8DCE-4DFEAC45B0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6" name="Picture 31">
          <a:extLst>
            <a:ext uri="{FF2B5EF4-FFF2-40B4-BE49-F238E27FC236}">
              <a16:creationId xmlns:a16="http://schemas.microsoft.com/office/drawing/2014/main" id="{3E3D0652-14FD-4E3A-AB18-5B8393C3A2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7" name="Picture 31">
          <a:extLst>
            <a:ext uri="{FF2B5EF4-FFF2-40B4-BE49-F238E27FC236}">
              <a16:creationId xmlns:a16="http://schemas.microsoft.com/office/drawing/2014/main" id="{B1C92F0A-8C54-4C34-8482-A46825591A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8" name="Picture 31">
          <a:extLst>
            <a:ext uri="{FF2B5EF4-FFF2-40B4-BE49-F238E27FC236}">
              <a16:creationId xmlns:a16="http://schemas.microsoft.com/office/drawing/2014/main" id="{00FE3727-D3D1-466A-8B03-E128AA9A2E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79" name="Picture 31">
          <a:extLst>
            <a:ext uri="{FF2B5EF4-FFF2-40B4-BE49-F238E27FC236}">
              <a16:creationId xmlns:a16="http://schemas.microsoft.com/office/drawing/2014/main" id="{6D45C886-9591-4776-8D1F-369F49ECBD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0" name="Picture 31">
          <a:extLst>
            <a:ext uri="{FF2B5EF4-FFF2-40B4-BE49-F238E27FC236}">
              <a16:creationId xmlns:a16="http://schemas.microsoft.com/office/drawing/2014/main" id="{1F446915-C75C-48F3-B887-12CC6F23C2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1" name="Picture 31">
          <a:extLst>
            <a:ext uri="{FF2B5EF4-FFF2-40B4-BE49-F238E27FC236}">
              <a16:creationId xmlns:a16="http://schemas.microsoft.com/office/drawing/2014/main" id="{C1092C01-51B0-469A-9A92-CEF5F7D45C8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2" name="Picture 31">
          <a:extLst>
            <a:ext uri="{FF2B5EF4-FFF2-40B4-BE49-F238E27FC236}">
              <a16:creationId xmlns:a16="http://schemas.microsoft.com/office/drawing/2014/main" id="{E5BD60E2-64EC-4671-9424-E5FD53EBE1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3" name="Picture 31">
          <a:extLst>
            <a:ext uri="{FF2B5EF4-FFF2-40B4-BE49-F238E27FC236}">
              <a16:creationId xmlns:a16="http://schemas.microsoft.com/office/drawing/2014/main" id="{C2CF74A5-8290-4B2A-9C7E-E9AE346AFC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4" name="Picture 31">
          <a:extLst>
            <a:ext uri="{FF2B5EF4-FFF2-40B4-BE49-F238E27FC236}">
              <a16:creationId xmlns:a16="http://schemas.microsoft.com/office/drawing/2014/main" id="{0FD77B04-4F1A-4E05-9E65-165093849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5" name="Picture 31">
          <a:extLst>
            <a:ext uri="{FF2B5EF4-FFF2-40B4-BE49-F238E27FC236}">
              <a16:creationId xmlns:a16="http://schemas.microsoft.com/office/drawing/2014/main" id="{B370BC59-651A-41B1-92BE-2E3AD4CA30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6" name="Picture 31">
          <a:extLst>
            <a:ext uri="{FF2B5EF4-FFF2-40B4-BE49-F238E27FC236}">
              <a16:creationId xmlns:a16="http://schemas.microsoft.com/office/drawing/2014/main" id="{8C864240-E788-4903-86F8-ADED3D382C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7" name="Picture 31">
          <a:extLst>
            <a:ext uri="{FF2B5EF4-FFF2-40B4-BE49-F238E27FC236}">
              <a16:creationId xmlns:a16="http://schemas.microsoft.com/office/drawing/2014/main" id="{CB94C343-013D-408C-BEC8-40E93A03ED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8" name="Picture 31">
          <a:extLst>
            <a:ext uri="{FF2B5EF4-FFF2-40B4-BE49-F238E27FC236}">
              <a16:creationId xmlns:a16="http://schemas.microsoft.com/office/drawing/2014/main" id="{F4C37A3B-C0A9-4CF9-BC6D-88A08A5590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89" name="Picture 31">
          <a:extLst>
            <a:ext uri="{FF2B5EF4-FFF2-40B4-BE49-F238E27FC236}">
              <a16:creationId xmlns:a16="http://schemas.microsoft.com/office/drawing/2014/main" id="{101786F2-A533-40F4-8257-C6819C1B9DE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0" name="Picture 31">
          <a:extLst>
            <a:ext uri="{FF2B5EF4-FFF2-40B4-BE49-F238E27FC236}">
              <a16:creationId xmlns:a16="http://schemas.microsoft.com/office/drawing/2014/main" id="{3F570AA7-07A0-4D80-A827-74815DF0686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1" name="Picture 31">
          <a:extLst>
            <a:ext uri="{FF2B5EF4-FFF2-40B4-BE49-F238E27FC236}">
              <a16:creationId xmlns:a16="http://schemas.microsoft.com/office/drawing/2014/main" id="{2F7FB426-E0F4-4D42-93A7-207AE4A56E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2" name="Picture 31">
          <a:extLst>
            <a:ext uri="{FF2B5EF4-FFF2-40B4-BE49-F238E27FC236}">
              <a16:creationId xmlns:a16="http://schemas.microsoft.com/office/drawing/2014/main" id="{58FC9534-3A86-4770-96EF-2CC38CF71F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3" name="Picture 31">
          <a:extLst>
            <a:ext uri="{FF2B5EF4-FFF2-40B4-BE49-F238E27FC236}">
              <a16:creationId xmlns:a16="http://schemas.microsoft.com/office/drawing/2014/main" id="{3F2949E4-79E2-41AC-9E74-1DBDFEF36F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4" name="Picture 31">
          <a:extLst>
            <a:ext uri="{FF2B5EF4-FFF2-40B4-BE49-F238E27FC236}">
              <a16:creationId xmlns:a16="http://schemas.microsoft.com/office/drawing/2014/main" id="{C871D607-D8E0-4BA7-BC62-CC0A1D291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5" name="Picture 31">
          <a:extLst>
            <a:ext uri="{FF2B5EF4-FFF2-40B4-BE49-F238E27FC236}">
              <a16:creationId xmlns:a16="http://schemas.microsoft.com/office/drawing/2014/main" id="{912C6AFB-9229-49A7-BCF3-0574020359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6" name="Picture 31">
          <a:extLst>
            <a:ext uri="{FF2B5EF4-FFF2-40B4-BE49-F238E27FC236}">
              <a16:creationId xmlns:a16="http://schemas.microsoft.com/office/drawing/2014/main" id="{06D65750-10A5-431F-A83C-B33BD1274F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7" name="Picture 31">
          <a:extLst>
            <a:ext uri="{FF2B5EF4-FFF2-40B4-BE49-F238E27FC236}">
              <a16:creationId xmlns:a16="http://schemas.microsoft.com/office/drawing/2014/main" id="{DDF2D422-85E5-4041-A086-5F11B8D58D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8" name="Picture 31">
          <a:extLst>
            <a:ext uri="{FF2B5EF4-FFF2-40B4-BE49-F238E27FC236}">
              <a16:creationId xmlns:a16="http://schemas.microsoft.com/office/drawing/2014/main" id="{14F6B2FD-DEA8-4B36-9550-F020E7668F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399" name="Picture 31">
          <a:extLst>
            <a:ext uri="{FF2B5EF4-FFF2-40B4-BE49-F238E27FC236}">
              <a16:creationId xmlns:a16="http://schemas.microsoft.com/office/drawing/2014/main" id="{4E5310E2-A29B-4F96-87CA-D1AFDA38E6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400" name="Picture 31">
          <a:extLst>
            <a:ext uri="{FF2B5EF4-FFF2-40B4-BE49-F238E27FC236}">
              <a16:creationId xmlns:a16="http://schemas.microsoft.com/office/drawing/2014/main" id="{647D232D-246C-42E0-B090-6D8893C665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247</xdr:row>
      <xdr:rowOff>0</xdr:rowOff>
    </xdr:from>
    <xdr:ext cx="0" cy="9525"/>
    <xdr:pic>
      <xdr:nvPicPr>
        <xdr:cNvPr id="2401" name="Picture 31">
          <a:extLst>
            <a:ext uri="{FF2B5EF4-FFF2-40B4-BE49-F238E27FC236}">
              <a16:creationId xmlns:a16="http://schemas.microsoft.com/office/drawing/2014/main" id="{3F0D268E-E99B-4FF4-B069-6C40E8136F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381825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2" name="Picture 31">
          <a:extLst>
            <a:ext uri="{FF2B5EF4-FFF2-40B4-BE49-F238E27FC236}">
              <a16:creationId xmlns:a16="http://schemas.microsoft.com/office/drawing/2014/main" id="{978B81FF-51F7-458E-A6EC-A769C05BDE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3" name="Picture 31">
          <a:extLst>
            <a:ext uri="{FF2B5EF4-FFF2-40B4-BE49-F238E27FC236}">
              <a16:creationId xmlns:a16="http://schemas.microsoft.com/office/drawing/2014/main" id="{8441D58D-AC74-4DCD-9E46-226D47E2DA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4" name="Picture 31">
          <a:extLst>
            <a:ext uri="{FF2B5EF4-FFF2-40B4-BE49-F238E27FC236}">
              <a16:creationId xmlns:a16="http://schemas.microsoft.com/office/drawing/2014/main" id="{DB04A3D4-E1FE-4314-B6BD-4888A9B977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5" name="Picture 31">
          <a:extLst>
            <a:ext uri="{FF2B5EF4-FFF2-40B4-BE49-F238E27FC236}">
              <a16:creationId xmlns:a16="http://schemas.microsoft.com/office/drawing/2014/main" id="{DC86C48A-64E1-4985-83D0-91DD1E976D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6" name="Picture 31">
          <a:extLst>
            <a:ext uri="{FF2B5EF4-FFF2-40B4-BE49-F238E27FC236}">
              <a16:creationId xmlns:a16="http://schemas.microsoft.com/office/drawing/2014/main" id="{80BADCAC-536D-4797-B42A-7DA00CF5F1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7" name="Picture 31">
          <a:extLst>
            <a:ext uri="{FF2B5EF4-FFF2-40B4-BE49-F238E27FC236}">
              <a16:creationId xmlns:a16="http://schemas.microsoft.com/office/drawing/2014/main" id="{0722AE33-CFA8-4D2C-820D-67B5E2AC1F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8" name="Picture 31">
          <a:extLst>
            <a:ext uri="{FF2B5EF4-FFF2-40B4-BE49-F238E27FC236}">
              <a16:creationId xmlns:a16="http://schemas.microsoft.com/office/drawing/2014/main" id="{B7080B35-F233-402D-8011-0744952FAC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09" name="Picture 31">
          <a:extLst>
            <a:ext uri="{FF2B5EF4-FFF2-40B4-BE49-F238E27FC236}">
              <a16:creationId xmlns:a16="http://schemas.microsoft.com/office/drawing/2014/main" id="{EBDF5763-D511-4704-95E8-1169CB1A82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0" name="Picture 31">
          <a:extLst>
            <a:ext uri="{FF2B5EF4-FFF2-40B4-BE49-F238E27FC236}">
              <a16:creationId xmlns:a16="http://schemas.microsoft.com/office/drawing/2014/main" id="{1B1787E0-0829-4CBD-A6BE-29A5EF0762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1" name="Picture 31">
          <a:extLst>
            <a:ext uri="{FF2B5EF4-FFF2-40B4-BE49-F238E27FC236}">
              <a16:creationId xmlns:a16="http://schemas.microsoft.com/office/drawing/2014/main" id="{C68986D0-97C5-41A1-859D-6CBFC98219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2" name="Picture 31">
          <a:extLst>
            <a:ext uri="{FF2B5EF4-FFF2-40B4-BE49-F238E27FC236}">
              <a16:creationId xmlns:a16="http://schemas.microsoft.com/office/drawing/2014/main" id="{5B94D46D-E138-4120-A787-58E6F7ECE0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3" name="Picture 31">
          <a:extLst>
            <a:ext uri="{FF2B5EF4-FFF2-40B4-BE49-F238E27FC236}">
              <a16:creationId xmlns:a16="http://schemas.microsoft.com/office/drawing/2014/main" id="{60028F6C-D772-4A5A-80AC-5C06DD5AC6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4" name="Picture 31">
          <a:extLst>
            <a:ext uri="{FF2B5EF4-FFF2-40B4-BE49-F238E27FC236}">
              <a16:creationId xmlns:a16="http://schemas.microsoft.com/office/drawing/2014/main" id="{0D57BB72-92C4-49F1-BE4D-B98F0821933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5" name="Picture 31">
          <a:extLst>
            <a:ext uri="{FF2B5EF4-FFF2-40B4-BE49-F238E27FC236}">
              <a16:creationId xmlns:a16="http://schemas.microsoft.com/office/drawing/2014/main" id="{EBA424C9-76DB-4F1A-9DDD-FF114D720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6" name="Picture 31">
          <a:extLst>
            <a:ext uri="{FF2B5EF4-FFF2-40B4-BE49-F238E27FC236}">
              <a16:creationId xmlns:a16="http://schemas.microsoft.com/office/drawing/2014/main" id="{98391389-AAF7-46D4-9F05-DE8BC1E859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7" name="Picture 31">
          <a:extLst>
            <a:ext uri="{FF2B5EF4-FFF2-40B4-BE49-F238E27FC236}">
              <a16:creationId xmlns:a16="http://schemas.microsoft.com/office/drawing/2014/main" id="{8EAD41D5-FB85-4446-9E5C-ADE58A51EB0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8" name="Picture 31">
          <a:extLst>
            <a:ext uri="{FF2B5EF4-FFF2-40B4-BE49-F238E27FC236}">
              <a16:creationId xmlns:a16="http://schemas.microsoft.com/office/drawing/2014/main" id="{E1A964D0-B76F-4EB9-A7D1-294515F84C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19" name="Picture 31">
          <a:extLst>
            <a:ext uri="{FF2B5EF4-FFF2-40B4-BE49-F238E27FC236}">
              <a16:creationId xmlns:a16="http://schemas.microsoft.com/office/drawing/2014/main" id="{CF658DCB-B831-42DF-9716-05C5CB0B06B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0" name="Picture 31">
          <a:extLst>
            <a:ext uri="{FF2B5EF4-FFF2-40B4-BE49-F238E27FC236}">
              <a16:creationId xmlns:a16="http://schemas.microsoft.com/office/drawing/2014/main" id="{2111A071-C47B-4511-B934-05A42D8D34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1" name="Picture 31">
          <a:extLst>
            <a:ext uri="{FF2B5EF4-FFF2-40B4-BE49-F238E27FC236}">
              <a16:creationId xmlns:a16="http://schemas.microsoft.com/office/drawing/2014/main" id="{B03D6FF3-D363-4192-98BE-A6906C92A5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2" name="Picture 31">
          <a:extLst>
            <a:ext uri="{FF2B5EF4-FFF2-40B4-BE49-F238E27FC236}">
              <a16:creationId xmlns:a16="http://schemas.microsoft.com/office/drawing/2014/main" id="{4F5046BE-3652-4D40-9B38-18AF7186C6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3" name="Picture 31">
          <a:extLst>
            <a:ext uri="{FF2B5EF4-FFF2-40B4-BE49-F238E27FC236}">
              <a16:creationId xmlns:a16="http://schemas.microsoft.com/office/drawing/2014/main" id="{E433F6B0-2749-4060-B565-271FE024EF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4" name="Picture 31">
          <a:extLst>
            <a:ext uri="{FF2B5EF4-FFF2-40B4-BE49-F238E27FC236}">
              <a16:creationId xmlns:a16="http://schemas.microsoft.com/office/drawing/2014/main" id="{7CCB449B-4116-425E-912F-D61CFA9060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5" name="Picture 31">
          <a:extLst>
            <a:ext uri="{FF2B5EF4-FFF2-40B4-BE49-F238E27FC236}">
              <a16:creationId xmlns:a16="http://schemas.microsoft.com/office/drawing/2014/main" id="{AAA5EA6E-5E00-4EB5-BA72-085F7265B0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6" name="Picture 31">
          <a:extLst>
            <a:ext uri="{FF2B5EF4-FFF2-40B4-BE49-F238E27FC236}">
              <a16:creationId xmlns:a16="http://schemas.microsoft.com/office/drawing/2014/main" id="{E9C30040-B78C-4A7A-8B44-5C54D54AEA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7" name="Picture 31">
          <a:extLst>
            <a:ext uri="{FF2B5EF4-FFF2-40B4-BE49-F238E27FC236}">
              <a16:creationId xmlns:a16="http://schemas.microsoft.com/office/drawing/2014/main" id="{E7B94F92-FE3B-42C1-971F-9390D76716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8" name="Picture 31">
          <a:extLst>
            <a:ext uri="{FF2B5EF4-FFF2-40B4-BE49-F238E27FC236}">
              <a16:creationId xmlns:a16="http://schemas.microsoft.com/office/drawing/2014/main" id="{89F1C25B-B1B0-4282-9E04-B1F7056C23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29" name="Picture 31">
          <a:extLst>
            <a:ext uri="{FF2B5EF4-FFF2-40B4-BE49-F238E27FC236}">
              <a16:creationId xmlns:a16="http://schemas.microsoft.com/office/drawing/2014/main" id="{A4F8BA95-8039-4300-8BF3-FECF399680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0" name="Picture 31">
          <a:extLst>
            <a:ext uri="{FF2B5EF4-FFF2-40B4-BE49-F238E27FC236}">
              <a16:creationId xmlns:a16="http://schemas.microsoft.com/office/drawing/2014/main" id="{1356329A-1BA5-468E-986B-F4268EBF90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1" name="Picture 31">
          <a:extLst>
            <a:ext uri="{FF2B5EF4-FFF2-40B4-BE49-F238E27FC236}">
              <a16:creationId xmlns:a16="http://schemas.microsoft.com/office/drawing/2014/main" id="{96F7E44A-35B8-4DBC-BDA4-F14765548B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2" name="Picture 31">
          <a:extLst>
            <a:ext uri="{FF2B5EF4-FFF2-40B4-BE49-F238E27FC236}">
              <a16:creationId xmlns:a16="http://schemas.microsoft.com/office/drawing/2014/main" id="{7C42DA96-843C-41E0-91DD-DC926CA1A9E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3" name="Picture 31">
          <a:extLst>
            <a:ext uri="{FF2B5EF4-FFF2-40B4-BE49-F238E27FC236}">
              <a16:creationId xmlns:a16="http://schemas.microsoft.com/office/drawing/2014/main" id="{1FE94183-BB0F-46B8-9E44-A5FB108211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4" name="Picture 31">
          <a:extLst>
            <a:ext uri="{FF2B5EF4-FFF2-40B4-BE49-F238E27FC236}">
              <a16:creationId xmlns:a16="http://schemas.microsoft.com/office/drawing/2014/main" id="{46273FB1-1049-43E5-84D2-23F9057D6B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5" name="Picture 31">
          <a:extLst>
            <a:ext uri="{FF2B5EF4-FFF2-40B4-BE49-F238E27FC236}">
              <a16:creationId xmlns:a16="http://schemas.microsoft.com/office/drawing/2014/main" id="{F1A5F7EC-347C-438F-BEB6-CADF927D80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6" name="Picture 31">
          <a:extLst>
            <a:ext uri="{FF2B5EF4-FFF2-40B4-BE49-F238E27FC236}">
              <a16:creationId xmlns:a16="http://schemas.microsoft.com/office/drawing/2014/main" id="{01E7029B-6CE5-4C04-9931-F3DFFAE30D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7" name="Picture 31">
          <a:extLst>
            <a:ext uri="{FF2B5EF4-FFF2-40B4-BE49-F238E27FC236}">
              <a16:creationId xmlns:a16="http://schemas.microsoft.com/office/drawing/2014/main" id="{B9F1F3C3-B984-400C-85CB-2DB6ACC44F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8" name="Picture 31">
          <a:extLst>
            <a:ext uri="{FF2B5EF4-FFF2-40B4-BE49-F238E27FC236}">
              <a16:creationId xmlns:a16="http://schemas.microsoft.com/office/drawing/2014/main" id="{31C38E3E-53E8-4C4E-A90D-A422F713F0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39" name="Picture 31">
          <a:extLst>
            <a:ext uri="{FF2B5EF4-FFF2-40B4-BE49-F238E27FC236}">
              <a16:creationId xmlns:a16="http://schemas.microsoft.com/office/drawing/2014/main" id="{C06DAB85-DC0D-4041-A37D-1F8242682C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0" name="Picture 31">
          <a:extLst>
            <a:ext uri="{FF2B5EF4-FFF2-40B4-BE49-F238E27FC236}">
              <a16:creationId xmlns:a16="http://schemas.microsoft.com/office/drawing/2014/main" id="{7F5F6156-7F06-40A4-94D0-FAA397B728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1" name="Picture 31">
          <a:extLst>
            <a:ext uri="{FF2B5EF4-FFF2-40B4-BE49-F238E27FC236}">
              <a16:creationId xmlns:a16="http://schemas.microsoft.com/office/drawing/2014/main" id="{3792A79E-3677-4CB6-BF24-0B2F2D5F0D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2" name="Picture 31">
          <a:extLst>
            <a:ext uri="{FF2B5EF4-FFF2-40B4-BE49-F238E27FC236}">
              <a16:creationId xmlns:a16="http://schemas.microsoft.com/office/drawing/2014/main" id="{363A0BE6-5BF1-40E8-836E-67E825674C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3" name="Picture 31">
          <a:extLst>
            <a:ext uri="{FF2B5EF4-FFF2-40B4-BE49-F238E27FC236}">
              <a16:creationId xmlns:a16="http://schemas.microsoft.com/office/drawing/2014/main" id="{5EE4C524-AC96-4B28-9D08-7EC7CA89C83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4" name="Picture 31">
          <a:extLst>
            <a:ext uri="{FF2B5EF4-FFF2-40B4-BE49-F238E27FC236}">
              <a16:creationId xmlns:a16="http://schemas.microsoft.com/office/drawing/2014/main" id="{EF7BA3C1-5CC9-4712-9139-CDEEB68D11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5" name="Picture 31">
          <a:extLst>
            <a:ext uri="{FF2B5EF4-FFF2-40B4-BE49-F238E27FC236}">
              <a16:creationId xmlns:a16="http://schemas.microsoft.com/office/drawing/2014/main" id="{78CF026F-290C-457B-931D-583E7B1A36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6" name="Picture 31">
          <a:extLst>
            <a:ext uri="{FF2B5EF4-FFF2-40B4-BE49-F238E27FC236}">
              <a16:creationId xmlns:a16="http://schemas.microsoft.com/office/drawing/2014/main" id="{1EB36AF9-A7CD-4CA0-A624-09E2505259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7" name="Picture 31">
          <a:extLst>
            <a:ext uri="{FF2B5EF4-FFF2-40B4-BE49-F238E27FC236}">
              <a16:creationId xmlns:a16="http://schemas.microsoft.com/office/drawing/2014/main" id="{CBF73344-5B41-479D-B39E-9F796A4AAA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8" name="Picture 31">
          <a:extLst>
            <a:ext uri="{FF2B5EF4-FFF2-40B4-BE49-F238E27FC236}">
              <a16:creationId xmlns:a16="http://schemas.microsoft.com/office/drawing/2014/main" id="{D197059B-0605-4F80-A608-F3F5F849C8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49" name="Picture 31">
          <a:extLst>
            <a:ext uri="{FF2B5EF4-FFF2-40B4-BE49-F238E27FC236}">
              <a16:creationId xmlns:a16="http://schemas.microsoft.com/office/drawing/2014/main" id="{7D162EFB-C2DB-4442-9C5C-8BEC0B3448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0" name="Picture 31">
          <a:extLst>
            <a:ext uri="{FF2B5EF4-FFF2-40B4-BE49-F238E27FC236}">
              <a16:creationId xmlns:a16="http://schemas.microsoft.com/office/drawing/2014/main" id="{134F8A61-0CBF-4582-8025-D9624D97181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1" name="Picture 31">
          <a:extLst>
            <a:ext uri="{FF2B5EF4-FFF2-40B4-BE49-F238E27FC236}">
              <a16:creationId xmlns:a16="http://schemas.microsoft.com/office/drawing/2014/main" id="{E32103F6-8092-46E8-BB0A-136FA378DA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2" name="Picture 31">
          <a:extLst>
            <a:ext uri="{FF2B5EF4-FFF2-40B4-BE49-F238E27FC236}">
              <a16:creationId xmlns:a16="http://schemas.microsoft.com/office/drawing/2014/main" id="{54D8F2A2-63C8-42F9-8ED6-5CA4B0D64D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3" name="Picture 31">
          <a:extLst>
            <a:ext uri="{FF2B5EF4-FFF2-40B4-BE49-F238E27FC236}">
              <a16:creationId xmlns:a16="http://schemas.microsoft.com/office/drawing/2014/main" id="{69EDE3EA-5E95-42B2-833B-A144442C2A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4" name="Picture 31">
          <a:extLst>
            <a:ext uri="{FF2B5EF4-FFF2-40B4-BE49-F238E27FC236}">
              <a16:creationId xmlns:a16="http://schemas.microsoft.com/office/drawing/2014/main" id="{79EC3ED4-3E25-4141-A94E-A7405F8478E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5" name="Picture 31">
          <a:extLst>
            <a:ext uri="{FF2B5EF4-FFF2-40B4-BE49-F238E27FC236}">
              <a16:creationId xmlns:a16="http://schemas.microsoft.com/office/drawing/2014/main" id="{539DB100-2C56-49D2-8479-7B63A0F6CC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6" name="Picture 31">
          <a:extLst>
            <a:ext uri="{FF2B5EF4-FFF2-40B4-BE49-F238E27FC236}">
              <a16:creationId xmlns:a16="http://schemas.microsoft.com/office/drawing/2014/main" id="{CD389071-451D-4648-9870-D70E8D8486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7" name="Picture 31">
          <a:extLst>
            <a:ext uri="{FF2B5EF4-FFF2-40B4-BE49-F238E27FC236}">
              <a16:creationId xmlns:a16="http://schemas.microsoft.com/office/drawing/2014/main" id="{EA88AD68-CED2-4C3A-A2AC-97D7F1834A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8" name="Picture 31">
          <a:extLst>
            <a:ext uri="{FF2B5EF4-FFF2-40B4-BE49-F238E27FC236}">
              <a16:creationId xmlns:a16="http://schemas.microsoft.com/office/drawing/2014/main" id="{BC1CF4CC-D3C3-421D-8FAF-81BD0364DD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59" name="Picture 31">
          <a:extLst>
            <a:ext uri="{FF2B5EF4-FFF2-40B4-BE49-F238E27FC236}">
              <a16:creationId xmlns:a16="http://schemas.microsoft.com/office/drawing/2014/main" id="{95243BD7-AF42-472C-BE93-59AC0DA681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0" name="Picture 31">
          <a:extLst>
            <a:ext uri="{FF2B5EF4-FFF2-40B4-BE49-F238E27FC236}">
              <a16:creationId xmlns:a16="http://schemas.microsoft.com/office/drawing/2014/main" id="{6A45BD46-008C-439F-903E-66BA0DB74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1" name="Picture 31">
          <a:extLst>
            <a:ext uri="{FF2B5EF4-FFF2-40B4-BE49-F238E27FC236}">
              <a16:creationId xmlns:a16="http://schemas.microsoft.com/office/drawing/2014/main" id="{DA1E05C4-AF8E-423A-920B-3227CF669E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2" name="Picture 31">
          <a:extLst>
            <a:ext uri="{FF2B5EF4-FFF2-40B4-BE49-F238E27FC236}">
              <a16:creationId xmlns:a16="http://schemas.microsoft.com/office/drawing/2014/main" id="{997E06DF-80BA-4EE8-89DE-2A3C67AE8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3" name="Picture 31">
          <a:extLst>
            <a:ext uri="{FF2B5EF4-FFF2-40B4-BE49-F238E27FC236}">
              <a16:creationId xmlns:a16="http://schemas.microsoft.com/office/drawing/2014/main" id="{90F779FC-FC20-4CC9-AD31-CC7A73CC0C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4" name="Picture 31">
          <a:extLst>
            <a:ext uri="{FF2B5EF4-FFF2-40B4-BE49-F238E27FC236}">
              <a16:creationId xmlns:a16="http://schemas.microsoft.com/office/drawing/2014/main" id="{944BAD2A-6FE8-4EBB-A4E1-DA516CBE2D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5" name="Picture 31">
          <a:extLst>
            <a:ext uri="{FF2B5EF4-FFF2-40B4-BE49-F238E27FC236}">
              <a16:creationId xmlns:a16="http://schemas.microsoft.com/office/drawing/2014/main" id="{47B786E2-DA0A-4609-92D5-A2FC5CB87C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6" name="Picture 31">
          <a:extLst>
            <a:ext uri="{FF2B5EF4-FFF2-40B4-BE49-F238E27FC236}">
              <a16:creationId xmlns:a16="http://schemas.microsoft.com/office/drawing/2014/main" id="{89DFE15D-E027-4D0D-B7A9-0DAA102509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7" name="Picture 31">
          <a:extLst>
            <a:ext uri="{FF2B5EF4-FFF2-40B4-BE49-F238E27FC236}">
              <a16:creationId xmlns:a16="http://schemas.microsoft.com/office/drawing/2014/main" id="{780F073C-0D60-4D3A-A68B-0D2556B519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8" name="Picture 31">
          <a:extLst>
            <a:ext uri="{FF2B5EF4-FFF2-40B4-BE49-F238E27FC236}">
              <a16:creationId xmlns:a16="http://schemas.microsoft.com/office/drawing/2014/main" id="{2B536DD6-1E8C-4E63-A50B-DDD3DA43C6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69" name="Picture 31">
          <a:extLst>
            <a:ext uri="{FF2B5EF4-FFF2-40B4-BE49-F238E27FC236}">
              <a16:creationId xmlns:a16="http://schemas.microsoft.com/office/drawing/2014/main" id="{C3FD8450-8B8B-4A20-A06A-391BE593E0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0" name="Picture 31">
          <a:extLst>
            <a:ext uri="{FF2B5EF4-FFF2-40B4-BE49-F238E27FC236}">
              <a16:creationId xmlns:a16="http://schemas.microsoft.com/office/drawing/2014/main" id="{3AFACC70-A7ED-4555-97C8-95AB580EB3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1" name="Picture 31">
          <a:extLst>
            <a:ext uri="{FF2B5EF4-FFF2-40B4-BE49-F238E27FC236}">
              <a16:creationId xmlns:a16="http://schemas.microsoft.com/office/drawing/2014/main" id="{7A0633E2-4639-4434-8D9B-CAA1036017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2" name="Picture 31">
          <a:extLst>
            <a:ext uri="{FF2B5EF4-FFF2-40B4-BE49-F238E27FC236}">
              <a16:creationId xmlns:a16="http://schemas.microsoft.com/office/drawing/2014/main" id="{25E08D34-8ADE-4F25-8BDD-650B0E9859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3" name="Picture 31">
          <a:extLst>
            <a:ext uri="{FF2B5EF4-FFF2-40B4-BE49-F238E27FC236}">
              <a16:creationId xmlns:a16="http://schemas.microsoft.com/office/drawing/2014/main" id="{7A828086-AFD4-4D52-9E89-B7584FBE5A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4" name="Picture 31">
          <a:extLst>
            <a:ext uri="{FF2B5EF4-FFF2-40B4-BE49-F238E27FC236}">
              <a16:creationId xmlns:a16="http://schemas.microsoft.com/office/drawing/2014/main" id="{09F9D11D-1558-4A00-B78D-E052663108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5" name="Picture 31">
          <a:extLst>
            <a:ext uri="{FF2B5EF4-FFF2-40B4-BE49-F238E27FC236}">
              <a16:creationId xmlns:a16="http://schemas.microsoft.com/office/drawing/2014/main" id="{A029B4C2-7EE0-41EB-B5C2-D98A3FAE6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6" name="Picture 31">
          <a:extLst>
            <a:ext uri="{FF2B5EF4-FFF2-40B4-BE49-F238E27FC236}">
              <a16:creationId xmlns:a16="http://schemas.microsoft.com/office/drawing/2014/main" id="{09651A41-119E-4E9D-B9A4-C860C31C36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7" name="Picture 31">
          <a:extLst>
            <a:ext uri="{FF2B5EF4-FFF2-40B4-BE49-F238E27FC236}">
              <a16:creationId xmlns:a16="http://schemas.microsoft.com/office/drawing/2014/main" id="{51783B72-513D-49C2-B144-948068244D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8" name="Picture 31">
          <a:extLst>
            <a:ext uri="{FF2B5EF4-FFF2-40B4-BE49-F238E27FC236}">
              <a16:creationId xmlns:a16="http://schemas.microsoft.com/office/drawing/2014/main" id="{2523FEB5-82C9-4AE3-9015-EE0E292628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79" name="Picture 31">
          <a:extLst>
            <a:ext uri="{FF2B5EF4-FFF2-40B4-BE49-F238E27FC236}">
              <a16:creationId xmlns:a16="http://schemas.microsoft.com/office/drawing/2014/main" id="{65E2DA2C-426A-436A-8F55-550DF179A10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0" name="Picture 31">
          <a:extLst>
            <a:ext uri="{FF2B5EF4-FFF2-40B4-BE49-F238E27FC236}">
              <a16:creationId xmlns:a16="http://schemas.microsoft.com/office/drawing/2014/main" id="{F46A317B-E4E9-4529-A7A2-4911F9A83F6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1" name="Picture 31">
          <a:extLst>
            <a:ext uri="{FF2B5EF4-FFF2-40B4-BE49-F238E27FC236}">
              <a16:creationId xmlns:a16="http://schemas.microsoft.com/office/drawing/2014/main" id="{08ED284F-A739-4BCA-9B9C-096A7FDA7A1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2" name="Picture 31">
          <a:extLst>
            <a:ext uri="{FF2B5EF4-FFF2-40B4-BE49-F238E27FC236}">
              <a16:creationId xmlns:a16="http://schemas.microsoft.com/office/drawing/2014/main" id="{3DE39FEB-FD57-4E56-87BC-DE0FB8D331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3" name="Picture 31">
          <a:extLst>
            <a:ext uri="{FF2B5EF4-FFF2-40B4-BE49-F238E27FC236}">
              <a16:creationId xmlns:a16="http://schemas.microsoft.com/office/drawing/2014/main" id="{347C49B3-F54C-4825-B994-2A8B069BF8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4" name="Picture 31">
          <a:extLst>
            <a:ext uri="{FF2B5EF4-FFF2-40B4-BE49-F238E27FC236}">
              <a16:creationId xmlns:a16="http://schemas.microsoft.com/office/drawing/2014/main" id="{C8E3ED46-B7D9-41CC-B32C-32E4E9B302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5" name="Picture 31">
          <a:extLst>
            <a:ext uri="{FF2B5EF4-FFF2-40B4-BE49-F238E27FC236}">
              <a16:creationId xmlns:a16="http://schemas.microsoft.com/office/drawing/2014/main" id="{49C0A0D2-F21A-43BD-8B84-F71ABB56D5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6" name="Picture 31">
          <a:extLst>
            <a:ext uri="{FF2B5EF4-FFF2-40B4-BE49-F238E27FC236}">
              <a16:creationId xmlns:a16="http://schemas.microsoft.com/office/drawing/2014/main" id="{9ABD2AE6-8431-4854-B963-1E8D91792D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7" name="Picture 31">
          <a:extLst>
            <a:ext uri="{FF2B5EF4-FFF2-40B4-BE49-F238E27FC236}">
              <a16:creationId xmlns:a16="http://schemas.microsoft.com/office/drawing/2014/main" id="{0675B872-393B-4CA9-B70C-87C36B9FF6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8" name="Picture 31">
          <a:extLst>
            <a:ext uri="{FF2B5EF4-FFF2-40B4-BE49-F238E27FC236}">
              <a16:creationId xmlns:a16="http://schemas.microsoft.com/office/drawing/2014/main" id="{A6492E70-57C5-4180-A61F-BDBA2272F7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89" name="Picture 31">
          <a:extLst>
            <a:ext uri="{FF2B5EF4-FFF2-40B4-BE49-F238E27FC236}">
              <a16:creationId xmlns:a16="http://schemas.microsoft.com/office/drawing/2014/main" id="{B61E7672-92C3-4090-9B3D-8195382CBD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0" name="Picture 31">
          <a:extLst>
            <a:ext uri="{FF2B5EF4-FFF2-40B4-BE49-F238E27FC236}">
              <a16:creationId xmlns:a16="http://schemas.microsoft.com/office/drawing/2014/main" id="{1E684D95-0CEE-4F8E-BE16-9CAF343B94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1" name="Picture 31">
          <a:extLst>
            <a:ext uri="{FF2B5EF4-FFF2-40B4-BE49-F238E27FC236}">
              <a16:creationId xmlns:a16="http://schemas.microsoft.com/office/drawing/2014/main" id="{44FA847F-8034-45EA-ADD7-CAF7A77E9D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2" name="Picture 31">
          <a:extLst>
            <a:ext uri="{FF2B5EF4-FFF2-40B4-BE49-F238E27FC236}">
              <a16:creationId xmlns:a16="http://schemas.microsoft.com/office/drawing/2014/main" id="{ACEB6BC7-3ED6-4AC0-8D5E-4A5D617CCA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3" name="Picture 31">
          <a:extLst>
            <a:ext uri="{FF2B5EF4-FFF2-40B4-BE49-F238E27FC236}">
              <a16:creationId xmlns:a16="http://schemas.microsoft.com/office/drawing/2014/main" id="{8740D005-51B0-4CF1-929A-1ED9A3CF44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4" name="Picture 31">
          <a:extLst>
            <a:ext uri="{FF2B5EF4-FFF2-40B4-BE49-F238E27FC236}">
              <a16:creationId xmlns:a16="http://schemas.microsoft.com/office/drawing/2014/main" id="{B9E470FD-864C-4735-B6A9-C9FA8A4800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5" name="Picture 31">
          <a:extLst>
            <a:ext uri="{FF2B5EF4-FFF2-40B4-BE49-F238E27FC236}">
              <a16:creationId xmlns:a16="http://schemas.microsoft.com/office/drawing/2014/main" id="{0D517E78-CEC3-4C7D-B0D4-5D6DEA3BD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6" name="Picture 31">
          <a:extLst>
            <a:ext uri="{FF2B5EF4-FFF2-40B4-BE49-F238E27FC236}">
              <a16:creationId xmlns:a16="http://schemas.microsoft.com/office/drawing/2014/main" id="{99D9E2AD-8DF3-4014-BA9D-F779D469308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7" name="Picture 31">
          <a:extLst>
            <a:ext uri="{FF2B5EF4-FFF2-40B4-BE49-F238E27FC236}">
              <a16:creationId xmlns:a16="http://schemas.microsoft.com/office/drawing/2014/main" id="{1FD2CE08-D909-4B01-9D94-4A43CE3B886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8" name="Picture 31">
          <a:extLst>
            <a:ext uri="{FF2B5EF4-FFF2-40B4-BE49-F238E27FC236}">
              <a16:creationId xmlns:a16="http://schemas.microsoft.com/office/drawing/2014/main" id="{03D56171-1CCB-4F5F-ADC3-9B4E7C1FC9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499" name="Picture 31">
          <a:extLst>
            <a:ext uri="{FF2B5EF4-FFF2-40B4-BE49-F238E27FC236}">
              <a16:creationId xmlns:a16="http://schemas.microsoft.com/office/drawing/2014/main" id="{19F86672-B792-44A6-B1F3-A4FFE5A411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0" name="Picture 31">
          <a:extLst>
            <a:ext uri="{FF2B5EF4-FFF2-40B4-BE49-F238E27FC236}">
              <a16:creationId xmlns:a16="http://schemas.microsoft.com/office/drawing/2014/main" id="{AFC4F2BC-4E63-471A-89E6-3A442FD212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1" name="Picture 31">
          <a:extLst>
            <a:ext uri="{FF2B5EF4-FFF2-40B4-BE49-F238E27FC236}">
              <a16:creationId xmlns:a16="http://schemas.microsoft.com/office/drawing/2014/main" id="{F1132426-A0D8-451E-8213-44545B825C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2" name="Picture 31">
          <a:extLst>
            <a:ext uri="{FF2B5EF4-FFF2-40B4-BE49-F238E27FC236}">
              <a16:creationId xmlns:a16="http://schemas.microsoft.com/office/drawing/2014/main" id="{4D89BE20-434C-4BF6-B7E4-024FCFD2A0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3" name="Picture 31">
          <a:extLst>
            <a:ext uri="{FF2B5EF4-FFF2-40B4-BE49-F238E27FC236}">
              <a16:creationId xmlns:a16="http://schemas.microsoft.com/office/drawing/2014/main" id="{BFB85205-F46D-4D72-90F0-E896D5674E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4" name="Picture 31">
          <a:extLst>
            <a:ext uri="{FF2B5EF4-FFF2-40B4-BE49-F238E27FC236}">
              <a16:creationId xmlns:a16="http://schemas.microsoft.com/office/drawing/2014/main" id="{D3D9B13F-28D8-4BD9-A4DC-2EE45455934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5" name="Picture 31">
          <a:extLst>
            <a:ext uri="{FF2B5EF4-FFF2-40B4-BE49-F238E27FC236}">
              <a16:creationId xmlns:a16="http://schemas.microsoft.com/office/drawing/2014/main" id="{40DF4665-DF45-4DB9-B702-0668E98C7A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6" name="Picture 31">
          <a:extLst>
            <a:ext uri="{FF2B5EF4-FFF2-40B4-BE49-F238E27FC236}">
              <a16:creationId xmlns:a16="http://schemas.microsoft.com/office/drawing/2014/main" id="{05C1194E-4D3A-41E3-9442-A82F7DC744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7" name="Picture 31">
          <a:extLst>
            <a:ext uri="{FF2B5EF4-FFF2-40B4-BE49-F238E27FC236}">
              <a16:creationId xmlns:a16="http://schemas.microsoft.com/office/drawing/2014/main" id="{D33968E9-37EF-4BC2-9765-1AC7B18368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8" name="Picture 31">
          <a:extLst>
            <a:ext uri="{FF2B5EF4-FFF2-40B4-BE49-F238E27FC236}">
              <a16:creationId xmlns:a16="http://schemas.microsoft.com/office/drawing/2014/main" id="{D1D6FAD1-9955-478D-A23C-0AECDA33F4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09" name="Picture 31">
          <a:extLst>
            <a:ext uri="{FF2B5EF4-FFF2-40B4-BE49-F238E27FC236}">
              <a16:creationId xmlns:a16="http://schemas.microsoft.com/office/drawing/2014/main" id="{AFFC42FA-454D-4CF6-A13B-C9D1E02988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0" name="Picture 31">
          <a:extLst>
            <a:ext uri="{FF2B5EF4-FFF2-40B4-BE49-F238E27FC236}">
              <a16:creationId xmlns:a16="http://schemas.microsoft.com/office/drawing/2014/main" id="{BE58E2D2-4432-4782-A759-AA9447F9A5B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1" name="Picture 31">
          <a:extLst>
            <a:ext uri="{FF2B5EF4-FFF2-40B4-BE49-F238E27FC236}">
              <a16:creationId xmlns:a16="http://schemas.microsoft.com/office/drawing/2014/main" id="{E736F51F-3B28-499A-A865-88588A77A53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2" name="Picture 31">
          <a:extLst>
            <a:ext uri="{FF2B5EF4-FFF2-40B4-BE49-F238E27FC236}">
              <a16:creationId xmlns:a16="http://schemas.microsoft.com/office/drawing/2014/main" id="{4EF67223-04D2-4D82-8E4B-05C570A52F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3" name="Picture 31">
          <a:extLst>
            <a:ext uri="{FF2B5EF4-FFF2-40B4-BE49-F238E27FC236}">
              <a16:creationId xmlns:a16="http://schemas.microsoft.com/office/drawing/2014/main" id="{680D8AFC-D225-440E-9EF6-0104C83FB9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4" name="Picture 31">
          <a:extLst>
            <a:ext uri="{FF2B5EF4-FFF2-40B4-BE49-F238E27FC236}">
              <a16:creationId xmlns:a16="http://schemas.microsoft.com/office/drawing/2014/main" id="{DA77724B-E18A-4244-AA48-9AD353D2FA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5" name="Picture 31">
          <a:extLst>
            <a:ext uri="{FF2B5EF4-FFF2-40B4-BE49-F238E27FC236}">
              <a16:creationId xmlns:a16="http://schemas.microsoft.com/office/drawing/2014/main" id="{BED49323-94C2-446F-BA0D-47FA6B56A8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6" name="Picture 31">
          <a:extLst>
            <a:ext uri="{FF2B5EF4-FFF2-40B4-BE49-F238E27FC236}">
              <a16:creationId xmlns:a16="http://schemas.microsoft.com/office/drawing/2014/main" id="{29191700-63E8-4A93-A61C-6DA1A410D94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7" name="Picture 31">
          <a:extLst>
            <a:ext uri="{FF2B5EF4-FFF2-40B4-BE49-F238E27FC236}">
              <a16:creationId xmlns:a16="http://schemas.microsoft.com/office/drawing/2014/main" id="{4336B220-A480-4930-BF54-CA6D28FC99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8" name="Picture 31">
          <a:extLst>
            <a:ext uri="{FF2B5EF4-FFF2-40B4-BE49-F238E27FC236}">
              <a16:creationId xmlns:a16="http://schemas.microsoft.com/office/drawing/2014/main" id="{480EBF04-73E5-4C6C-AFC1-E10C65EAA2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19" name="Picture 31">
          <a:extLst>
            <a:ext uri="{FF2B5EF4-FFF2-40B4-BE49-F238E27FC236}">
              <a16:creationId xmlns:a16="http://schemas.microsoft.com/office/drawing/2014/main" id="{61DD5E2C-1EB1-492F-B696-FEBC0D0691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0" name="Picture 31">
          <a:extLst>
            <a:ext uri="{FF2B5EF4-FFF2-40B4-BE49-F238E27FC236}">
              <a16:creationId xmlns:a16="http://schemas.microsoft.com/office/drawing/2014/main" id="{683AFBEA-F8FA-464B-89C0-F77369DDE3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1" name="Picture 31">
          <a:extLst>
            <a:ext uri="{FF2B5EF4-FFF2-40B4-BE49-F238E27FC236}">
              <a16:creationId xmlns:a16="http://schemas.microsoft.com/office/drawing/2014/main" id="{4A1F83BA-0136-4F4B-AB1F-7C7ABC4587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2" name="Picture 31">
          <a:extLst>
            <a:ext uri="{FF2B5EF4-FFF2-40B4-BE49-F238E27FC236}">
              <a16:creationId xmlns:a16="http://schemas.microsoft.com/office/drawing/2014/main" id="{7E352D59-7FEC-48B1-BF30-5473FA6405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3" name="Picture 31">
          <a:extLst>
            <a:ext uri="{FF2B5EF4-FFF2-40B4-BE49-F238E27FC236}">
              <a16:creationId xmlns:a16="http://schemas.microsoft.com/office/drawing/2014/main" id="{584FB7C7-423B-46C2-84E6-AE0F035AD6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4" name="Picture 31">
          <a:extLst>
            <a:ext uri="{FF2B5EF4-FFF2-40B4-BE49-F238E27FC236}">
              <a16:creationId xmlns:a16="http://schemas.microsoft.com/office/drawing/2014/main" id="{0DCB6DEA-407B-4590-A416-4B6754EFCD7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5" name="Picture 31">
          <a:extLst>
            <a:ext uri="{FF2B5EF4-FFF2-40B4-BE49-F238E27FC236}">
              <a16:creationId xmlns:a16="http://schemas.microsoft.com/office/drawing/2014/main" id="{282024CA-AA2A-4BF7-AE1A-8FAD6C952B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6" name="Picture 31">
          <a:extLst>
            <a:ext uri="{FF2B5EF4-FFF2-40B4-BE49-F238E27FC236}">
              <a16:creationId xmlns:a16="http://schemas.microsoft.com/office/drawing/2014/main" id="{F326034D-90EF-4F02-AEBE-750C57178B3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7" name="Picture 31">
          <a:extLst>
            <a:ext uri="{FF2B5EF4-FFF2-40B4-BE49-F238E27FC236}">
              <a16:creationId xmlns:a16="http://schemas.microsoft.com/office/drawing/2014/main" id="{6FEDE510-F52D-489F-808F-B576B0FD28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8" name="Picture 31">
          <a:extLst>
            <a:ext uri="{FF2B5EF4-FFF2-40B4-BE49-F238E27FC236}">
              <a16:creationId xmlns:a16="http://schemas.microsoft.com/office/drawing/2014/main" id="{CA446CE6-F3D4-451E-A557-91749C23A9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29" name="Picture 31">
          <a:extLst>
            <a:ext uri="{FF2B5EF4-FFF2-40B4-BE49-F238E27FC236}">
              <a16:creationId xmlns:a16="http://schemas.microsoft.com/office/drawing/2014/main" id="{A2BB73C4-B604-43B4-A9EC-063AC43AC0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0" name="Picture 31">
          <a:extLst>
            <a:ext uri="{FF2B5EF4-FFF2-40B4-BE49-F238E27FC236}">
              <a16:creationId xmlns:a16="http://schemas.microsoft.com/office/drawing/2014/main" id="{B27775AF-0B17-4FFB-852E-A434DE6DE3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1" name="Picture 31">
          <a:extLst>
            <a:ext uri="{FF2B5EF4-FFF2-40B4-BE49-F238E27FC236}">
              <a16:creationId xmlns:a16="http://schemas.microsoft.com/office/drawing/2014/main" id="{AFF4CA79-D8A2-4133-B14E-150F56A43CF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2" name="Picture 31">
          <a:extLst>
            <a:ext uri="{FF2B5EF4-FFF2-40B4-BE49-F238E27FC236}">
              <a16:creationId xmlns:a16="http://schemas.microsoft.com/office/drawing/2014/main" id="{65A5C486-7B3E-4764-A9C3-6BD64DD6BF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3" name="Picture 31">
          <a:extLst>
            <a:ext uri="{FF2B5EF4-FFF2-40B4-BE49-F238E27FC236}">
              <a16:creationId xmlns:a16="http://schemas.microsoft.com/office/drawing/2014/main" id="{57AA3754-B32F-4F66-883C-3499D4307C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4" name="Picture 31">
          <a:extLst>
            <a:ext uri="{FF2B5EF4-FFF2-40B4-BE49-F238E27FC236}">
              <a16:creationId xmlns:a16="http://schemas.microsoft.com/office/drawing/2014/main" id="{6B14A675-EF44-4F44-B017-A0E88C708BE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5" name="Picture 31">
          <a:extLst>
            <a:ext uri="{FF2B5EF4-FFF2-40B4-BE49-F238E27FC236}">
              <a16:creationId xmlns:a16="http://schemas.microsoft.com/office/drawing/2014/main" id="{87AE4C4A-1408-48ED-AA52-91EE2A2C0F7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6" name="Picture 31">
          <a:extLst>
            <a:ext uri="{FF2B5EF4-FFF2-40B4-BE49-F238E27FC236}">
              <a16:creationId xmlns:a16="http://schemas.microsoft.com/office/drawing/2014/main" id="{126A4902-2F6C-41C7-AAD2-4781F12DB5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7" name="Picture 31">
          <a:extLst>
            <a:ext uri="{FF2B5EF4-FFF2-40B4-BE49-F238E27FC236}">
              <a16:creationId xmlns:a16="http://schemas.microsoft.com/office/drawing/2014/main" id="{3033AA22-39BB-4132-8BE0-41DF6552CEF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8" name="Picture 31">
          <a:extLst>
            <a:ext uri="{FF2B5EF4-FFF2-40B4-BE49-F238E27FC236}">
              <a16:creationId xmlns:a16="http://schemas.microsoft.com/office/drawing/2014/main" id="{047CB4B7-B9C8-4EE3-A7BF-4B9521C4CB2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39" name="Picture 31">
          <a:extLst>
            <a:ext uri="{FF2B5EF4-FFF2-40B4-BE49-F238E27FC236}">
              <a16:creationId xmlns:a16="http://schemas.microsoft.com/office/drawing/2014/main" id="{359DDC77-925A-4697-BA2E-B6817B968E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0" name="Picture 31">
          <a:extLst>
            <a:ext uri="{FF2B5EF4-FFF2-40B4-BE49-F238E27FC236}">
              <a16:creationId xmlns:a16="http://schemas.microsoft.com/office/drawing/2014/main" id="{4BC66817-2EEA-42DA-AB10-75F0BC04D5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1" name="Picture 31">
          <a:extLst>
            <a:ext uri="{FF2B5EF4-FFF2-40B4-BE49-F238E27FC236}">
              <a16:creationId xmlns:a16="http://schemas.microsoft.com/office/drawing/2014/main" id="{A80FC38D-E4E5-48AA-93EF-4CC5EAB95B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2" name="Picture 31">
          <a:extLst>
            <a:ext uri="{FF2B5EF4-FFF2-40B4-BE49-F238E27FC236}">
              <a16:creationId xmlns:a16="http://schemas.microsoft.com/office/drawing/2014/main" id="{93119E09-112B-4076-8BBE-A740187B77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3" name="Picture 31">
          <a:extLst>
            <a:ext uri="{FF2B5EF4-FFF2-40B4-BE49-F238E27FC236}">
              <a16:creationId xmlns:a16="http://schemas.microsoft.com/office/drawing/2014/main" id="{8D7D8CBC-770E-44DF-9574-2C3940E12B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4" name="Picture 31">
          <a:extLst>
            <a:ext uri="{FF2B5EF4-FFF2-40B4-BE49-F238E27FC236}">
              <a16:creationId xmlns:a16="http://schemas.microsoft.com/office/drawing/2014/main" id="{BE74A151-033F-4C6A-AC9D-EB30F86FAE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5" name="Picture 31">
          <a:extLst>
            <a:ext uri="{FF2B5EF4-FFF2-40B4-BE49-F238E27FC236}">
              <a16:creationId xmlns:a16="http://schemas.microsoft.com/office/drawing/2014/main" id="{30284705-43DB-4F13-B51E-05DFBC9903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6" name="Picture 31">
          <a:extLst>
            <a:ext uri="{FF2B5EF4-FFF2-40B4-BE49-F238E27FC236}">
              <a16:creationId xmlns:a16="http://schemas.microsoft.com/office/drawing/2014/main" id="{CAC699E8-02C0-457D-BDC2-FACE0D94F4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7" name="Picture 31">
          <a:extLst>
            <a:ext uri="{FF2B5EF4-FFF2-40B4-BE49-F238E27FC236}">
              <a16:creationId xmlns:a16="http://schemas.microsoft.com/office/drawing/2014/main" id="{23E67EBC-54E4-45F6-8ADB-03DC6234DF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8" name="Picture 31">
          <a:extLst>
            <a:ext uri="{FF2B5EF4-FFF2-40B4-BE49-F238E27FC236}">
              <a16:creationId xmlns:a16="http://schemas.microsoft.com/office/drawing/2014/main" id="{979C9FBC-1753-473B-A424-3BA125C78E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49" name="Picture 31">
          <a:extLst>
            <a:ext uri="{FF2B5EF4-FFF2-40B4-BE49-F238E27FC236}">
              <a16:creationId xmlns:a16="http://schemas.microsoft.com/office/drawing/2014/main" id="{60E104FC-ACA8-4E52-BA38-C836F91A3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0" name="Picture 31">
          <a:extLst>
            <a:ext uri="{FF2B5EF4-FFF2-40B4-BE49-F238E27FC236}">
              <a16:creationId xmlns:a16="http://schemas.microsoft.com/office/drawing/2014/main" id="{A4F638BC-5FB6-4B7B-9199-E2220439E9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1" name="Picture 31">
          <a:extLst>
            <a:ext uri="{FF2B5EF4-FFF2-40B4-BE49-F238E27FC236}">
              <a16:creationId xmlns:a16="http://schemas.microsoft.com/office/drawing/2014/main" id="{B4072B7C-EE9A-4C1B-B4AA-FB74806A9C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2" name="Picture 31">
          <a:extLst>
            <a:ext uri="{FF2B5EF4-FFF2-40B4-BE49-F238E27FC236}">
              <a16:creationId xmlns:a16="http://schemas.microsoft.com/office/drawing/2014/main" id="{48821DFF-C884-4FF7-9645-6A7FC55146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3" name="Picture 31">
          <a:extLst>
            <a:ext uri="{FF2B5EF4-FFF2-40B4-BE49-F238E27FC236}">
              <a16:creationId xmlns:a16="http://schemas.microsoft.com/office/drawing/2014/main" id="{B0915E8B-2ADB-4C4D-9CE0-4DA4F9BDEB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4" name="Picture 31">
          <a:extLst>
            <a:ext uri="{FF2B5EF4-FFF2-40B4-BE49-F238E27FC236}">
              <a16:creationId xmlns:a16="http://schemas.microsoft.com/office/drawing/2014/main" id="{E8071958-B0D4-4C11-BBB3-75FF3730A98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5" name="Picture 31">
          <a:extLst>
            <a:ext uri="{FF2B5EF4-FFF2-40B4-BE49-F238E27FC236}">
              <a16:creationId xmlns:a16="http://schemas.microsoft.com/office/drawing/2014/main" id="{DEF4D6D9-C30F-46A2-96EB-3FBCD8B447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6" name="Picture 31">
          <a:extLst>
            <a:ext uri="{FF2B5EF4-FFF2-40B4-BE49-F238E27FC236}">
              <a16:creationId xmlns:a16="http://schemas.microsoft.com/office/drawing/2014/main" id="{BFC9881F-9893-42DE-A7C4-7BA2EB07B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7" name="Picture 31">
          <a:extLst>
            <a:ext uri="{FF2B5EF4-FFF2-40B4-BE49-F238E27FC236}">
              <a16:creationId xmlns:a16="http://schemas.microsoft.com/office/drawing/2014/main" id="{274FA1C7-5F04-4ADC-9FC3-7A2B520D8F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8" name="Picture 31">
          <a:extLst>
            <a:ext uri="{FF2B5EF4-FFF2-40B4-BE49-F238E27FC236}">
              <a16:creationId xmlns:a16="http://schemas.microsoft.com/office/drawing/2014/main" id="{74FBB5E3-FB0D-467C-AD46-8A1D58F258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59" name="Picture 31">
          <a:extLst>
            <a:ext uri="{FF2B5EF4-FFF2-40B4-BE49-F238E27FC236}">
              <a16:creationId xmlns:a16="http://schemas.microsoft.com/office/drawing/2014/main" id="{AA72EBB6-C449-4F75-B6A4-C2E7FF483EC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0" name="Picture 31">
          <a:extLst>
            <a:ext uri="{FF2B5EF4-FFF2-40B4-BE49-F238E27FC236}">
              <a16:creationId xmlns:a16="http://schemas.microsoft.com/office/drawing/2014/main" id="{6C8051E6-EFB2-4492-802C-B5B81862CA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1" name="Picture 31">
          <a:extLst>
            <a:ext uri="{FF2B5EF4-FFF2-40B4-BE49-F238E27FC236}">
              <a16:creationId xmlns:a16="http://schemas.microsoft.com/office/drawing/2014/main" id="{F35E8B64-E44D-4782-906A-54159539B6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2" name="Picture 31">
          <a:extLst>
            <a:ext uri="{FF2B5EF4-FFF2-40B4-BE49-F238E27FC236}">
              <a16:creationId xmlns:a16="http://schemas.microsoft.com/office/drawing/2014/main" id="{5399907C-05D9-45CC-B91F-109DB103CF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3" name="Picture 31">
          <a:extLst>
            <a:ext uri="{FF2B5EF4-FFF2-40B4-BE49-F238E27FC236}">
              <a16:creationId xmlns:a16="http://schemas.microsoft.com/office/drawing/2014/main" id="{6AE33A16-73CA-4949-BB98-CD6A1C3633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4" name="Picture 31">
          <a:extLst>
            <a:ext uri="{FF2B5EF4-FFF2-40B4-BE49-F238E27FC236}">
              <a16:creationId xmlns:a16="http://schemas.microsoft.com/office/drawing/2014/main" id="{A0E36741-172F-4F70-8C98-906EC94C8D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5" name="Picture 31">
          <a:extLst>
            <a:ext uri="{FF2B5EF4-FFF2-40B4-BE49-F238E27FC236}">
              <a16:creationId xmlns:a16="http://schemas.microsoft.com/office/drawing/2014/main" id="{A477466B-F971-4C8A-8575-D813FE7C65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6" name="Picture 31">
          <a:extLst>
            <a:ext uri="{FF2B5EF4-FFF2-40B4-BE49-F238E27FC236}">
              <a16:creationId xmlns:a16="http://schemas.microsoft.com/office/drawing/2014/main" id="{274262AD-B93A-42F6-BBA1-73B583F013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7" name="Picture 31">
          <a:extLst>
            <a:ext uri="{FF2B5EF4-FFF2-40B4-BE49-F238E27FC236}">
              <a16:creationId xmlns:a16="http://schemas.microsoft.com/office/drawing/2014/main" id="{1EF2C06C-41A2-4922-939C-3BD3CB7266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8" name="Picture 31">
          <a:extLst>
            <a:ext uri="{FF2B5EF4-FFF2-40B4-BE49-F238E27FC236}">
              <a16:creationId xmlns:a16="http://schemas.microsoft.com/office/drawing/2014/main" id="{AB63EA52-37CC-4B82-8F47-DB3496596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69" name="Picture 31">
          <a:extLst>
            <a:ext uri="{FF2B5EF4-FFF2-40B4-BE49-F238E27FC236}">
              <a16:creationId xmlns:a16="http://schemas.microsoft.com/office/drawing/2014/main" id="{80AABF7B-6B20-47A7-99AE-961AA5FFAD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0" name="Picture 31">
          <a:extLst>
            <a:ext uri="{FF2B5EF4-FFF2-40B4-BE49-F238E27FC236}">
              <a16:creationId xmlns:a16="http://schemas.microsoft.com/office/drawing/2014/main" id="{74D24D5C-FA9C-46E0-809F-549B740CBB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1" name="Picture 31">
          <a:extLst>
            <a:ext uri="{FF2B5EF4-FFF2-40B4-BE49-F238E27FC236}">
              <a16:creationId xmlns:a16="http://schemas.microsoft.com/office/drawing/2014/main" id="{5287ECC1-7D0A-4C77-8385-230AD30A29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2" name="Picture 31">
          <a:extLst>
            <a:ext uri="{FF2B5EF4-FFF2-40B4-BE49-F238E27FC236}">
              <a16:creationId xmlns:a16="http://schemas.microsoft.com/office/drawing/2014/main" id="{2D1A49CC-7E88-4E8B-837B-D2BC1C0E0A9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3" name="Picture 31">
          <a:extLst>
            <a:ext uri="{FF2B5EF4-FFF2-40B4-BE49-F238E27FC236}">
              <a16:creationId xmlns:a16="http://schemas.microsoft.com/office/drawing/2014/main" id="{92C9EDD9-EF80-44C6-BDEE-34C1E12C85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4" name="Picture 31">
          <a:extLst>
            <a:ext uri="{FF2B5EF4-FFF2-40B4-BE49-F238E27FC236}">
              <a16:creationId xmlns:a16="http://schemas.microsoft.com/office/drawing/2014/main" id="{C5162E19-0F11-4053-AE5E-026328154A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5" name="Picture 31">
          <a:extLst>
            <a:ext uri="{FF2B5EF4-FFF2-40B4-BE49-F238E27FC236}">
              <a16:creationId xmlns:a16="http://schemas.microsoft.com/office/drawing/2014/main" id="{7ECE6BF9-1DD1-4C46-9A2C-D32FFD5790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6" name="Picture 31">
          <a:extLst>
            <a:ext uri="{FF2B5EF4-FFF2-40B4-BE49-F238E27FC236}">
              <a16:creationId xmlns:a16="http://schemas.microsoft.com/office/drawing/2014/main" id="{3A08AE7B-A6FF-4594-B7AA-6A2934234F9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7" name="Picture 31">
          <a:extLst>
            <a:ext uri="{FF2B5EF4-FFF2-40B4-BE49-F238E27FC236}">
              <a16:creationId xmlns:a16="http://schemas.microsoft.com/office/drawing/2014/main" id="{D61AC768-7A4D-457E-9D09-8991FC6155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8" name="Picture 31">
          <a:extLst>
            <a:ext uri="{FF2B5EF4-FFF2-40B4-BE49-F238E27FC236}">
              <a16:creationId xmlns:a16="http://schemas.microsoft.com/office/drawing/2014/main" id="{F42A0548-A928-460F-A327-988B1F0EC8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79" name="Picture 31">
          <a:extLst>
            <a:ext uri="{FF2B5EF4-FFF2-40B4-BE49-F238E27FC236}">
              <a16:creationId xmlns:a16="http://schemas.microsoft.com/office/drawing/2014/main" id="{19B445EC-F84B-47AA-8959-FB02D6D401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0" name="Picture 31">
          <a:extLst>
            <a:ext uri="{FF2B5EF4-FFF2-40B4-BE49-F238E27FC236}">
              <a16:creationId xmlns:a16="http://schemas.microsoft.com/office/drawing/2014/main" id="{33E47F7D-B641-4B05-B102-7AEE746E9E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1" name="Picture 31">
          <a:extLst>
            <a:ext uri="{FF2B5EF4-FFF2-40B4-BE49-F238E27FC236}">
              <a16:creationId xmlns:a16="http://schemas.microsoft.com/office/drawing/2014/main" id="{ECE3EB0A-EC44-4D0F-9E08-D708F27BA63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2" name="Picture 31">
          <a:extLst>
            <a:ext uri="{FF2B5EF4-FFF2-40B4-BE49-F238E27FC236}">
              <a16:creationId xmlns:a16="http://schemas.microsoft.com/office/drawing/2014/main" id="{4F9AB9D5-5D4E-4350-A077-11455382DE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3" name="Picture 31">
          <a:extLst>
            <a:ext uri="{FF2B5EF4-FFF2-40B4-BE49-F238E27FC236}">
              <a16:creationId xmlns:a16="http://schemas.microsoft.com/office/drawing/2014/main" id="{A94D4544-FEC3-4BA2-8951-E049D5CA4E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4" name="Picture 31">
          <a:extLst>
            <a:ext uri="{FF2B5EF4-FFF2-40B4-BE49-F238E27FC236}">
              <a16:creationId xmlns:a16="http://schemas.microsoft.com/office/drawing/2014/main" id="{6EC9961C-1CC2-4A3D-B7F2-A941E97C88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5" name="Picture 31">
          <a:extLst>
            <a:ext uri="{FF2B5EF4-FFF2-40B4-BE49-F238E27FC236}">
              <a16:creationId xmlns:a16="http://schemas.microsoft.com/office/drawing/2014/main" id="{98E80DE2-0365-4FDB-B603-F7FA7C4FE2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6" name="Picture 31">
          <a:extLst>
            <a:ext uri="{FF2B5EF4-FFF2-40B4-BE49-F238E27FC236}">
              <a16:creationId xmlns:a16="http://schemas.microsoft.com/office/drawing/2014/main" id="{52807E37-3D4D-4346-9B37-027625A0E6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7" name="Picture 31">
          <a:extLst>
            <a:ext uri="{FF2B5EF4-FFF2-40B4-BE49-F238E27FC236}">
              <a16:creationId xmlns:a16="http://schemas.microsoft.com/office/drawing/2014/main" id="{E3E301F4-769D-44D8-A7A2-80BD1B8524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8" name="Picture 31">
          <a:extLst>
            <a:ext uri="{FF2B5EF4-FFF2-40B4-BE49-F238E27FC236}">
              <a16:creationId xmlns:a16="http://schemas.microsoft.com/office/drawing/2014/main" id="{0A874EDB-746C-4314-AC65-7CE67895D0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89" name="Picture 31">
          <a:extLst>
            <a:ext uri="{FF2B5EF4-FFF2-40B4-BE49-F238E27FC236}">
              <a16:creationId xmlns:a16="http://schemas.microsoft.com/office/drawing/2014/main" id="{B52A40BE-8E10-476B-8600-0C60A130B8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0" name="Picture 31">
          <a:extLst>
            <a:ext uri="{FF2B5EF4-FFF2-40B4-BE49-F238E27FC236}">
              <a16:creationId xmlns:a16="http://schemas.microsoft.com/office/drawing/2014/main" id="{F415A08C-7FFF-483F-825C-00AECE21D0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1" name="Picture 31">
          <a:extLst>
            <a:ext uri="{FF2B5EF4-FFF2-40B4-BE49-F238E27FC236}">
              <a16:creationId xmlns:a16="http://schemas.microsoft.com/office/drawing/2014/main" id="{72196AD9-CE85-4529-B84C-6AF0110A86A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2" name="Picture 31">
          <a:extLst>
            <a:ext uri="{FF2B5EF4-FFF2-40B4-BE49-F238E27FC236}">
              <a16:creationId xmlns:a16="http://schemas.microsoft.com/office/drawing/2014/main" id="{2FE731C2-B637-4F59-8400-D3A65A602F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3" name="Picture 31">
          <a:extLst>
            <a:ext uri="{FF2B5EF4-FFF2-40B4-BE49-F238E27FC236}">
              <a16:creationId xmlns:a16="http://schemas.microsoft.com/office/drawing/2014/main" id="{C582C757-A488-4B28-AE8C-2E4FB74669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4" name="Picture 31">
          <a:extLst>
            <a:ext uri="{FF2B5EF4-FFF2-40B4-BE49-F238E27FC236}">
              <a16:creationId xmlns:a16="http://schemas.microsoft.com/office/drawing/2014/main" id="{B4F106D1-2C54-4E03-854F-16468C0C65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5" name="Picture 31">
          <a:extLst>
            <a:ext uri="{FF2B5EF4-FFF2-40B4-BE49-F238E27FC236}">
              <a16:creationId xmlns:a16="http://schemas.microsoft.com/office/drawing/2014/main" id="{BDBC093B-5B7C-4201-8F74-630AC2CB18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6" name="Picture 31">
          <a:extLst>
            <a:ext uri="{FF2B5EF4-FFF2-40B4-BE49-F238E27FC236}">
              <a16:creationId xmlns:a16="http://schemas.microsoft.com/office/drawing/2014/main" id="{1AA2A81D-B3CB-43E9-A231-27A34C5F33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7" name="Picture 31">
          <a:extLst>
            <a:ext uri="{FF2B5EF4-FFF2-40B4-BE49-F238E27FC236}">
              <a16:creationId xmlns:a16="http://schemas.microsoft.com/office/drawing/2014/main" id="{C409937A-BBA9-4AB6-AFB0-2C76FFB662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8" name="Picture 31">
          <a:extLst>
            <a:ext uri="{FF2B5EF4-FFF2-40B4-BE49-F238E27FC236}">
              <a16:creationId xmlns:a16="http://schemas.microsoft.com/office/drawing/2014/main" id="{0EA532D0-8EBA-47F5-A7A0-08A8359867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599" name="Picture 31">
          <a:extLst>
            <a:ext uri="{FF2B5EF4-FFF2-40B4-BE49-F238E27FC236}">
              <a16:creationId xmlns:a16="http://schemas.microsoft.com/office/drawing/2014/main" id="{8ABF1015-79E9-43C2-9FAE-62CD940CF3B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0" name="Picture 31">
          <a:extLst>
            <a:ext uri="{FF2B5EF4-FFF2-40B4-BE49-F238E27FC236}">
              <a16:creationId xmlns:a16="http://schemas.microsoft.com/office/drawing/2014/main" id="{9D2F23BF-DB04-4E45-BF5D-DC3D073722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1" name="Picture 31">
          <a:extLst>
            <a:ext uri="{FF2B5EF4-FFF2-40B4-BE49-F238E27FC236}">
              <a16:creationId xmlns:a16="http://schemas.microsoft.com/office/drawing/2014/main" id="{9A0AE07C-3A56-41E8-A78E-5DD6798983D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2" name="Picture 31">
          <a:extLst>
            <a:ext uri="{FF2B5EF4-FFF2-40B4-BE49-F238E27FC236}">
              <a16:creationId xmlns:a16="http://schemas.microsoft.com/office/drawing/2014/main" id="{DD308125-A167-4A6B-AC89-6BEF8D9EE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3" name="Picture 31">
          <a:extLst>
            <a:ext uri="{FF2B5EF4-FFF2-40B4-BE49-F238E27FC236}">
              <a16:creationId xmlns:a16="http://schemas.microsoft.com/office/drawing/2014/main" id="{EE385E08-045E-4DF0-A429-DD8EE6C9A3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4" name="Picture 31">
          <a:extLst>
            <a:ext uri="{FF2B5EF4-FFF2-40B4-BE49-F238E27FC236}">
              <a16:creationId xmlns:a16="http://schemas.microsoft.com/office/drawing/2014/main" id="{3CEA6921-05E4-4DF4-A1D6-6D3A14E975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5" name="Picture 31">
          <a:extLst>
            <a:ext uri="{FF2B5EF4-FFF2-40B4-BE49-F238E27FC236}">
              <a16:creationId xmlns:a16="http://schemas.microsoft.com/office/drawing/2014/main" id="{6AEBA9F5-E349-4811-84B0-DB61CBBA943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6" name="Picture 31">
          <a:extLst>
            <a:ext uri="{FF2B5EF4-FFF2-40B4-BE49-F238E27FC236}">
              <a16:creationId xmlns:a16="http://schemas.microsoft.com/office/drawing/2014/main" id="{CA934144-425B-4CBC-B735-B148F784DC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7" name="Picture 31">
          <a:extLst>
            <a:ext uri="{FF2B5EF4-FFF2-40B4-BE49-F238E27FC236}">
              <a16:creationId xmlns:a16="http://schemas.microsoft.com/office/drawing/2014/main" id="{CDF8F294-C939-4A61-BBE1-5255909C24B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8" name="Picture 31">
          <a:extLst>
            <a:ext uri="{FF2B5EF4-FFF2-40B4-BE49-F238E27FC236}">
              <a16:creationId xmlns:a16="http://schemas.microsoft.com/office/drawing/2014/main" id="{52612C63-3485-46EC-A3DB-E92AEAB6C1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09" name="Picture 31">
          <a:extLst>
            <a:ext uri="{FF2B5EF4-FFF2-40B4-BE49-F238E27FC236}">
              <a16:creationId xmlns:a16="http://schemas.microsoft.com/office/drawing/2014/main" id="{B4DF7C88-E8C2-49F0-8CE8-55000B64C1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0" name="Picture 31">
          <a:extLst>
            <a:ext uri="{FF2B5EF4-FFF2-40B4-BE49-F238E27FC236}">
              <a16:creationId xmlns:a16="http://schemas.microsoft.com/office/drawing/2014/main" id="{8D55CFF9-AB36-4D28-8268-388A0BD7635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1" name="Picture 31">
          <a:extLst>
            <a:ext uri="{FF2B5EF4-FFF2-40B4-BE49-F238E27FC236}">
              <a16:creationId xmlns:a16="http://schemas.microsoft.com/office/drawing/2014/main" id="{BCCD166E-FA34-4DAD-A49D-8A52EA0396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2" name="Picture 31">
          <a:extLst>
            <a:ext uri="{FF2B5EF4-FFF2-40B4-BE49-F238E27FC236}">
              <a16:creationId xmlns:a16="http://schemas.microsoft.com/office/drawing/2014/main" id="{7164F747-851D-4B1B-9007-1173E0A7CD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3" name="Picture 31">
          <a:extLst>
            <a:ext uri="{FF2B5EF4-FFF2-40B4-BE49-F238E27FC236}">
              <a16:creationId xmlns:a16="http://schemas.microsoft.com/office/drawing/2014/main" id="{846554F2-11BF-4B07-A255-FDCBD4E7D1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4" name="Picture 31">
          <a:extLst>
            <a:ext uri="{FF2B5EF4-FFF2-40B4-BE49-F238E27FC236}">
              <a16:creationId xmlns:a16="http://schemas.microsoft.com/office/drawing/2014/main" id="{2B3BB864-4371-4126-B9B5-12EC807C30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5" name="Picture 31">
          <a:extLst>
            <a:ext uri="{FF2B5EF4-FFF2-40B4-BE49-F238E27FC236}">
              <a16:creationId xmlns:a16="http://schemas.microsoft.com/office/drawing/2014/main" id="{4A52BF1B-97EE-449C-B1D6-366464992FA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6" name="Picture 31">
          <a:extLst>
            <a:ext uri="{FF2B5EF4-FFF2-40B4-BE49-F238E27FC236}">
              <a16:creationId xmlns:a16="http://schemas.microsoft.com/office/drawing/2014/main" id="{B5EEFE95-B253-40A7-8FAE-CBF86868CD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7" name="Picture 31">
          <a:extLst>
            <a:ext uri="{FF2B5EF4-FFF2-40B4-BE49-F238E27FC236}">
              <a16:creationId xmlns:a16="http://schemas.microsoft.com/office/drawing/2014/main" id="{86746F47-8706-430C-AE78-10A2E63121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8" name="Picture 31">
          <a:extLst>
            <a:ext uri="{FF2B5EF4-FFF2-40B4-BE49-F238E27FC236}">
              <a16:creationId xmlns:a16="http://schemas.microsoft.com/office/drawing/2014/main" id="{FAA02F4C-48AF-4F6F-B7A9-E61CC031DA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19" name="Picture 31">
          <a:extLst>
            <a:ext uri="{FF2B5EF4-FFF2-40B4-BE49-F238E27FC236}">
              <a16:creationId xmlns:a16="http://schemas.microsoft.com/office/drawing/2014/main" id="{3D22F146-DD0E-4E4A-8EA2-86F4D8339D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0" name="Picture 31">
          <a:extLst>
            <a:ext uri="{FF2B5EF4-FFF2-40B4-BE49-F238E27FC236}">
              <a16:creationId xmlns:a16="http://schemas.microsoft.com/office/drawing/2014/main" id="{C6FB0A3A-94B5-4A81-A77F-218F6C5D36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1" name="Picture 31">
          <a:extLst>
            <a:ext uri="{FF2B5EF4-FFF2-40B4-BE49-F238E27FC236}">
              <a16:creationId xmlns:a16="http://schemas.microsoft.com/office/drawing/2014/main" id="{9A7101C5-CEC2-4B35-BD15-25D39B84F87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2" name="Picture 31">
          <a:extLst>
            <a:ext uri="{FF2B5EF4-FFF2-40B4-BE49-F238E27FC236}">
              <a16:creationId xmlns:a16="http://schemas.microsoft.com/office/drawing/2014/main" id="{A1A67EB0-F43B-48B9-9DB1-9CE10BEF66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3" name="Picture 31">
          <a:extLst>
            <a:ext uri="{FF2B5EF4-FFF2-40B4-BE49-F238E27FC236}">
              <a16:creationId xmlns:a16="http://schemas.microsoft.com/office/drawing/2014/main" id="{309BBADE-6037-4C96-878B-E358C6C02B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4" name="Picture 31">
          <a:extLst>
            <a:ext uri="{FF2B5EF4-FFF2-40B4-BE49-F238E27FC236}">
              <a16:creationId xmlns:a16="http://schemas.microsoft.com/office/drawing/2014/main" id="{EEE0427D-799F-4C3B-9D48-5DCC70D2F4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5" name="Picture 31">
          <a:extLst>
            <a:ext uri="{FF2B5EF4-FFF2-40B4-BE49-F238E27FC236}">
              <a16:creationId xmlns:a16="http://schemas.microsoft.com/office/drawing/2014/main" id="{F79E716F-C679-41C3-82DC-1DB82ABBC21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6" name="Picture 31">
          <a:extLst>
            <a:ext uri="{FF2B5EF4-FFF2-40B4-BE49-F238E27FC236}">
              <a16:creationId xmlns:a16="http://schemas.microsoft.com/office/drawing/2014/main" id="{4923378E-0BDA-49EB-96FF-2FE9B8F1D3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7" name="Picture 31">
          <a:extLst>
            <a:ext uri="{FF2B5EF4-FFF2-40B4-BE49-F238E27FC236}">
              <a16:creationId xmlns:a16="http://schemas.microsoft.com/office/drawing/2014/main" id="{F0AE4C6A-9E24-4C32-8AA0-1B4F762705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8" name="Picture 31">
          <a:extLst>
            <a:ext uri="{FF2B5EF4-FFF2-40B4-BE49-F238E27FC236}">
              <a16:creationId xmlns:a16="http://schemas.microsoft.com/office/drawing/2014/main" id="{20DCF4AB-8711-4955-AD4B-B513B6D642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29" name="Picture 31">
          <a:extLst>
            <a:ext uri="{FF2B5EF4-FFF2-40B4-BE49-F238E27FC236}">
              <a16:creationId xmlns:a16="http://schemas.microsoft.com/office/drawing/2014/main" id="{5881CA49-1B89-40E1-9B65-9787373D2C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0" name="Picture 31">
          <a:extLst>
            <a:ext uri="{FF2B5EF4-FFF2-40B4-BE49-F238E27FC236}">
              <a16:creationId xmlns:a16="http://schemas.microsoft.com/office/drawing/2014/main" id="{D1EAF1AC-019A-4D79-8599-23AED01922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1" name="Picture 31">
          <a:extLst>
            <a:ext uri="{FF2B5EF4-FFF2-40B4-BE49-F238E27FC236}">
              <a16:creationId xmlns:a16="http://schemas.microsoft.com/office/drawing/2014/main" id="{53EB0989-270C-4190-AF30-D899E626BB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2" name="Picture 31">
          <a:extLst>
            <a:ext uri="{FF2B5EF4-FFF2-40B4-BE49-F238E27FC236}">
              <a16:creationId xmlns:a16="http://schemas.microsoft.com/office/drawing/2014/main" id="{4B5A82E3-C467-4C96-9D5D-46E0941CBF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3" name="Picture 31">
          <a:extLst>
            <a:ext uri="{FF2B5EF4-FFF2-40B4-BE49-F238E27FC236}">
              <a16:creationId xmlns:a16="http://schemas.microsoft.com/office/drawing/2014/main" id="{AD32A273-06BF-4F89-BC99-D6B269D127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4" name="Picture 31">
          <a:extLst>
            <a:ext uri="{FF2B5EF4-FFF2-40B4-BE49-F238E27FC236}">
              <a16:creationId xmlns:a16="http://schemas.microsoft.com/office/drawing/2014/main" id="{2ED3E4C9-C28F-486C-B788-6CCBE7D5C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5" name="Picture 31">
          <a:extLst>
            <a:ext uri="{FF2B5EF4-FFF2-40B4-BE49-F238E27FC236}">
              <a16:creationId xmlns:a16="http://schemas.microsoft.com/office/drawing/2014/main" id="{022C84A3-A154-4C4C-BA34-DCAC39AC6D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6" name="Picture 31">
          <a:extLst>
            <a:ext uri="{FF2B5EF4-FFF2-40B4-BE49-F238E27FC236}">
              <a16:creationId xmlns:a16="http://schemas.microsoft.com/office/drawing/2014/main" id="{F0619BBC-57EE-448A-AEBA-50EC847B1F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7" name="Picture 31">
          <a:extLst>
            <a:ext uri="{FF2B5EF4-FFF2-40B4-BE49-F238E27FC236}">
              <a16:creationId xmlns:a16="http://schemas.microsoft.com/office/drawing/2014/main" id="{03FF93F3-9038-4E36-87ED-EA030AD30C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8" name="Picture 31">
          <a:extLst>
            <a:ext uri="{FF2B5EF4-FFF2-40B4-BE49-F238E27FC236}">
              <a16:creationId xmlns:a16="http://schemas.microsoft.com/office/drawing/2014/main" id="{304C0D9B-13C5-4602-B52F-2CB85C5EA3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39" name="Picture 31">
          <a:extLst>
            <a:ext uri="{FF2B5EF4-FFF2-40B4-BE49-F238E27FC236}">
              <a16:creationId xmlns:a16="http://schemas.microsoft.com/office/drawing/2014/main" id="{67CC63F8-6B1F-4F50-BC8B-BD8742540E0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0" name="Picture 31">
          <a:extLst>
            <a:ext uri="{FF2B5EF4-FFF2-40B4-BE49-F238E27FC236}">
              <a16:creationId xmlns:a16="http://schemas.microsoft.com/office/drawing/2014/main" id="{22AEBA07-301C-4C91-BF02-25CC0F7E79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1" name="Picture 31">
          <a:extLst>
            <a:ext uri="{FF2B5EF4-FFF2-40B4-BE49-F238E27FC236}">
              <a16:creationId xmlns:a16="http://schemas.microsoft.com/office/drawing/2014/main" id="{096A5767-A201-4B21-8D11-AF8F8E78231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2" name="Picture 31">
          <a:extLst>
            <a:ext uri="{FF2B5EF4-FFF2-40B4-BE49-F238E27FC236}">
              <a16:creationId xmlns:a16="http://schemas.microsoft.com/office/drawing/2014/main" id="{193C3B9E-08FD-4C3F-AE53-1AE8D43841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3" name="Picture 31">
          <a:extLst>
            <a:ext uri="{FF2B5EF4-FFF2-40B4-BE49-F238E27FC236}">
              <a16:creationId xmlns:a16="http://schemas.microsoft.com/office/drawing/2014/main" id="{6BD0A2EC-C31C-4A7E-94A6-38315B2CFB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4" name="Picture 31">
          <a:extLst>
            <a:ext uri="{FF2B5EF4-FFF2-40B4-BE49-F238E27FC236}">
              <a16:creationId xmlns:a16="http://schemas.microsoft.com/office/drawing/2014/main" id="{BC7759EE-82B1-402C-8451-D923C3F76B6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5" name="Picture 31">
          <a:extLst>
            <a:ext uri="{FF2B5EF4-FFF2-40B4-BE49-F238E27FC236}">
              <a16:creationId xmlns:a16="http://schemas.microsoft.com/office/drawing/2014/main" id="{1258BC7D-4391-4FE2-8754-92534CD544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6" name="Picture 31">
          <a:extLst>
            <a:ext uri="{FF2B5EF4-FFF2-40B4-BE49-F238E27FC236}">
              <a16:creationId xmlns:a16="http://schemas.microsoft.com/office/drawing/2014/main" id="{7E8532D6-5AF3-403E-993C-F959A6C3EC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7" name="Picture 31">
          <a:extLst>
            <a:ext uri="{FF2B5EF4-FFF2-40B4-BE49-F238E27FC236}">
              <a16:creationId xmlns:a16="http://schemas.microsoft.com/office/drawing/2014/main" id="{48FCEDDC-B2CF-429A-ABEF-0214ABA71C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8" name="Picture 31">
          <a:extLst>
            <a:ext uri="{FF2B5EF4-FFF2-40B4-BE49-F238E27FC236}">
              <a16:creationId xmlns:a16="http://schemas.microsoft.com/office/drawing/2014/main" id="{0F86CB3D-F676-4BDA-9A5A-29579205B09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49" name="Picture 31">
          <a:extLst>
            <a:ext uri="{FF2B5EF4-FFF2-40B4-BE49-F238E27FC236}">
              <a16:creationId xmlns:a16="http://schemas.microsoft.com/office/drawing/2014/main" id="{39282741-CE6E-4481-B73B-B97279711E9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0" name="Picture 31">
          <a:extLst>
            <a:ext uri="{FF2B5EF4-FFF2-40B4-BE49-F238E27FC236}">
              <a16:creationId xmlns:a16="http://schemas.microsoft.com/office/drawing/2014/main" id="{8F92C010-8115-43BB-8BD9-703589042D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1" name="Picture 31">
          <a:extLst>
            <a:ext uri="{FF2B5EF4-FFF2-40B4-BE49-F238E27FC236}">
              <a16:creationId xmlns:a16="http://schemas.microsoft.com/office/drawing/2014/main" id="{3B875FB1-BBBA-4CCF-B0D7-C4804E7697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2" name="Picture 31">
          <a:extLst>
            <a:ext uri="{FF2B5EF4-FFF2-40B4-BE49-F238E27FC236}">
              <a16:creationId xmlns:a16="http://schemas.microsoft.com/office/drawing/2014/main" id="{AAE39D38-F528-476F-AD71-9051D1F9E51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3" name="Picture 31">
          <a:extLst>
            <a:ext uri="{FF2B5EF4-FFF2-40B4-BE49-F238E27FC236}">
              <a16:creationId xmlns:a16="http://schemas.microsoft.com/office/drawing/2014/main" id="{65B1F1F5-3E43-4A7E-9BF2-A73D2EE7396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4" name="Picture 31">
          <a:extLst>
            <a:ext uri="{FF2B5EF4-FFF2-40B4-BE49-F238E27FC236}">
              <a16:creationId xmlns:a16="http://schemas.microsoft.com/office/drawing/2014/main" id="{E89D7107-ABC2-49E8-82DA-F436BC489B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5" name="Picture 31">
          <a:extLst>
            <a:ext uri="{FF2B5EF4-FFF2-40B4-BE49-F238E27FC236}">
              <a16:creationId xmlns:a16="http://schemas.microsoft.com/office/drawing/2014/main" id="{785E86B2-82F7-4C47-8186-5AEEDCCBF4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6" name="Picture 31">
          <a:extLst>
            <a:ext uri="{FF2B5EF4-FFF2-40B4-BE49-F238E27FC236}">
              <a16:creationId xmlns:a16="http://schemas.microsoft.com/office/drawing/2014/main" id="{EBE8DB98-0B11-48D1-964B-DACFFB9998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7" name="Picture 31">
          <a:extLst>
            <a:ext uri="{FF2B5EF4-FFF2-40B4-BE49-F238E27FC236}">
              <a16:creationId xmlns:a16="http://schemas.microsoft.com/office/drawing/2014/main" id="{591F2202-BF6F-4F24-8BAD-0079EFE861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8" name="Picture 31">
          <a:extLst>
            <a:ext uri="{FF2B5EF4-FFF2-40B4-BE49-F238E27FC236}">
              <a16:creationId xmlns:a16="http://schemas.microsoft.com/office/drawing/2014/main" id="{6270C3A5-49D7-4AAC-AF73-AE79FF08310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59" name="Picture 31">
          <a:extLst>
            <a:ext uri="{FF2B5EF4-FFF2-40B4-BE49-F238E27FC236}">
              <a16:creationId xmlns:a16="http://schemas.microsoft.com/office/drawing/2014/main" id="{FC60E384-6787-48BD-942E-E977D95C41E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0" name="Picture 31">
          <a:extLst>
            <a:ext uri="{FF2B5EF4-FFF2-40B4-BE49-F238E27FC236}">
              <a16:creationId xmlns:a16="http://schemas.microsoft.com/office/drawing/2014/main" id="{48A9DF38-F831-4806-AFEA-4478CE59EB6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1" name="Picture 31">
          <a:extLst>
            <a:ext uri="{FF2B5EF4-FFF2-40B4-BE49-F238E27FC236}">
              <a16:creationId xmlns:a16="http://schemas.microsoft.com/office/drawing/2014/main" id="{5A409314-470F-436F-95CF-49A443E1CA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2" name="Picture 31">
          <a:extLst>
            <a:ext uri="{FF2B5EF4-FFF2-40B4-BE49-F238E27FC236}">
              <a16:creationId xmlns:a16="http://schemas.microsoft.com/office/drawing/2014/main" id="{5C981BF4-82FE-4DEF-9F41-C6E73C8759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3" name="Picture 31">
          <a:extLst>
            <a:ext uri="{FF2B5EF4-FFF2-40B4-BE49-F238E27FC236}">
              <a16:creationId xmlns:a16="http://schemas.microsoft.com/office/drawing/2014/main" id="{08D4B6FA-7D69-4C7A-A668-A65FE74AFA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4" name="Picture 31">
          <a:extLst>
            <a:ext uri="{FF2B5EF4-FFF2-40B4-BE49-F238E27FC236}">
              <a16:creationId xmlns:a16="http://schemas.microsoft.com/office/drawing/2014/main" id="{AF0B7BFE-1F21-4863-9DCE-37C2C696B0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5" name="Picture 31">
          <a:extLst>
            <a:ext uri="{FF2B5EF4-FFF2-40B4-BE49-F238E27FC236}">
              <a16:creationId xmlns:a16="http://schemas.microsoft.com/office/drawing/2014/main" id="{26BDD4C6-2EF5-4EF7-B110-0E183F3974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6" name="Picture 31">
          <a:extLst>
            <a:ext uri="{FF2B5EF4-FFF2-40B4-BE49-F238E27FC236}">
              <a16:creationId xmlns:a16="http://schemas.microsoft.com/office/drawing/2014/main" id="{0A6BFD25-7E47-41B1-ADD8-BB265F6107A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7" name="Picture 31">
          <a:extLst>
            <a:ext uri="{FF2B5EF4-FFF2-40B4-BE49-F238E27FC236}">
              <a16:creationId xmlns:a16="http://schemas.microsoft.com/office/drawing/2014/main" id="{E5BE7873-6F7A-4D36-B988-3EB3F70165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8" name="Picture 31">
          <a:extLst>
            <a:ext uri="{FF2B5EF4-FFF2-40B4-BE49-F238E27FC236}">
              <a16:creationId xmlns:a16="http://schemas.microsoft.com/office/drawing/2014/main" id="{4E033927-3491-44DA-9C2D-9C3B5B987ED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69" name="Picture 31">
          <a:extLst>
            <a:ext uri="{FF2B5EF4-FFF2-40B4-BE49-F238E27FC236}">
              <a16:creationId xmlns:a16="http://schemas.microsoft.com/office/drawing/2014/main" id="{98EE4158-9C1B-4D85-B586-BD42A297C7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0" name="Picture 31">
          <a:extLst>
            <a:ext uri="{FF2B5EF4-FFF2-40B4-BE49-F238E27FC236}">
              <a16:creationId xmlns:a16="http://schemas.microsoft.com/office/drawing/2014/main" id="{BDDA9D5E-F00F-48D5-AC2C-AD4AE03F75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1" name="Picture 31">
          <a:extLst>
            <a:ext uri="{FF2B5EF4-FFF2-40B4-BE49-F238E27FC236}">
              <a16:creationId xmlns:a16="http://schemas.microsoft.com/office/drawing/2014/main" id="{5B55C779-E5C1-4DB5-B794-EC7D25A219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2" name="Picture 31">
          <a:extLst>
            <a:ext uri="{FF2B5EF4-FFF2-40B4-BE49-F238E27FC236}">
              <a16:creationId xmlns:a16="http://schemas.microsoft.com/office/drawing/2014/main" id="{D49CD435-D502-4659-A3E6-098F5734B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3" name="Picture 31">
          <a:extLst>
            <a:ext uri="{FF2B5EF4-FFF2-40B4-BE49-F238E27FC236}">
              <a16:creationId xmlns:a16="http://schemas.microsoft.com/office/drawing/2014/main" id="{19725630-BD39-4EBE-933F-5D723E8BE4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4" name="Picture 31">
          <a:extLst>
            <a:ext uri="{FF2B5EF4-FFF2-40B4-BE49-F238E27FC236}">
              <a16:creationId xmlns:a16="http://schemas.microsoft.com/office/drawing/2014/main" id="{305FCDA8-85AA-4125-A67B-DE5C47D10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5" name="Picture 31">
          <a:extLst>
            <a:ext uri="{FF2B5EF4-FFF2-40B4-BE49-F238E27FC236}">
              <a16:creationId xmlns:a16="http://schemas.microsoft.com/office/drawing/2014/main" id="{E76730C0-50C3-4141-AA84-54FF7FAA96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6" name="Picture 31">
          <a:extLst>
            <a:ext uri="{FF2B5EF4-FFF2-40B4-BE49-F238E27FC236}">
              <a16:creationId xmlns:a16="http://schemas.microsoft.com/office/drawing/2014/main" id="{AC95DDDC-A832-4FE1-A0E2-5C60BE6268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7" name="Picture 31">
          <a:extLst>
            <a:ext uri="{FF2B5EF4-FFF2-40B4-BE49-F238E27FC236}">
              <a16:creationId xmlns:a16="http://schemas.microsoft.com/office/drawing/2014/main" id="{A9EF7D97-5374-49D8-8A42-CD1476FCAB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8" name="Picture 31">
          <a:extLst>
            <a:ext uri="{FF2B5EF4-FFF2-40B4-BE49-F238E27FC236}">
              <a16:creationId xmlns:a16="http://schemas.microsoft.com/office/drawing/2014/main" id="{93D4BC4B-EAF2-4E0C-A9EA-B3663BD8BE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79" name="Picture 31">
          <a:extLst>
            <a:ext uri="{FF2B5EF4-FFF2-40B4-BE49-F238E27FC236}">
              <a16:creationId xmlns:a16="http://schemas.microsoft.com/office/drawing/2014/main" id="{66339FA4-8D0D-4C29-912A-71569CD05C7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0" name="Picture 31">
          <a:extLst>
            <a:ext uri="{FF2B5EF4-FFF2-40B4-BE49-F238E27FC236}">
              <a16:creationId xmlns:a16="http://schemas.microsoft.com/office/drawing/2014/main" id="{ACDFA903-9ADA-40DA-909E-A98370C7FF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1" name="Picture 31">
          <a:extLst>
            <a:ext uri="{FF2B5EF4-FFF2-40B4-BE49-F238E27FC236}">
              <a16:creationId xmlns:a16="http://schemas.microsoft.com/office/drawing/2014/main" id="{CBF984CC-6AFA-4774-A820-FA82C58996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2" name="Picture 31">
          <a:extLst>
            <a:ext uri="{FF2B5EF4-FFF2-40B4-BE49-F238E27FC236}">
              <a16:creationId xmlns:a16="http://schemas.microsoft.com/office/drawing/2014/main" id="{4C1F492C-797F-4679-BB7B-36729598740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3" name="Picture 31">
          <a:extLst>
            <a:ext uri="{FF2B5EF4-FFF2-40B4-BE49-F238E27FC236}">
              <a16:creationId xmlns:a16="http://schemas.microsoft.com/office/drawing/2014/main" id="{AF2F1823-6113-4FF3-AD85-0DE2A242FE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4" name="Picture 31">
          <a:extLst>
            <a:ext uri="{FF2B5EF4-FFF2-40B4-BE49-F238E27FC236}">
              <a16:creationId xmlns:a16="http://schemas.microsoft.com/office/drawing/2014/main" id="{FB999B0C-8158-43EA-8084-7D7224D350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5" name="Picture 31">
          <a:extLst>
            <a:ext uri="{FF2B5EF4-FFF2-40B4-BE49-F238E27FC236}">
              <a16:creationId xmlns:a16="http://schemas.microsoft.com/office/drawing/2014/main" id="{3C7B463F-0213-41FD-A27C-C367875021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6" name="Picture 31">
          <a:extLst>
            <a:ext uri="{FF2B5EF4-FFF2-40B4-BE49-F238E27FC236}">
              <a16:creationId xmlns:a16="http://schemas.microsoft.com/office/drawing/2014/main" id="{3B29B969-BDE7-449C-862A-FBFF7E8309B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7" name="Picture 31">
          <a:extLst>
            <a:ext uri="{FF2B5EF4-FFF2-40B4-BE49-F238E27FC236}">
              <a16:creationId xmlns:a16="http://schemas.microsoft.com/office/drawing/2014/main" id="{8FC04D4B-E15C-4186-B13D-8F2CD51D2A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8" name="Picture 31">
          <a:extLst>
            <a:ext uri="{FF2B5EF4-FFF2-40B4-BE49-F238E27FC236}">
              <a16:creationId xmlns:a16="http://schemas.microsoft.com/office/drawing/2014/main" id="{C2462A34-2717-48FA-B93E-573FCFE1424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89" name="Picture 31">
          <a:extLst>
            <a:ext uri="{FF2B5EF4-FFF2-40B4-BE49-F238E27FC236}">
              <a16:creationId xmlns:a16="http://schemas.microsoft.com/office/drawing/2014/main" id="{C5F1011B-7720-4FF7-B1CD-C56C49AF43C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0" name="Picture 31">
          <a:extLst>
            <a:ext uri="{FF2B5EF4-FFF2-40B4-BE49-F238E27FC236}">
              <a16:creationId xmlns:a16="http://schemas.microsoft.com/office/drawing/2014/main" id="{29E87FA4-A5EE-4138-B9DC-8DC2049BB9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1" name="Picture 31">
          <a:extLst>
            <a:ext uri="{FF2B5EF4-FFF2-40B4-BE49-F238E27FC236}">
              <a16:creationId xmlns:a16="http://schemas.microsoft.com/office/drawing/2014/main" id="{3A476AFD-BF88-424E-86BF-04F8256A0A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2" name="Picture 31">
          <a:extLst>
            <a:ext uri="{FF2B5EF4-FFF2-40B4-BE49-F238E27FC236}">
              <a16:creationId xmlns:a16="http://schemas.microsoft.com/office/drawing/2014/main" id="{02ACF7BD-8D47-40B5-B92B-5C8FE4ED2B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3" name="Picture 31">
          <a:extLst>
            <a:ext uri="{FF2B5EF4-FFF2-40B4-BE49-F238E27FC236}">
              <a16:creationId xmlns:a16="http://schemas.microsoft.com/office/drawing/2014/main" id="{2D1FDF75-A250-46D3-A1B5-9046E3E54C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4" name="Picture 31">
          <a:extLst>
            <a:ext uri="{FF2B5EF4-FFF2-40B4-BE49-F238E27FC236}">
              <a16:creationId xmlns:a16="http://schemas.microsoft.com/office/drawing/2014/main" id="{2114CEE7-C217-4600-9F0D-71674213C95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5" name="Picture 31">
          <a:extLst>
            <a:ext uri="{FF2B5EF4-FFF2-40B4-BE49-F238E27FC236}">
              <a16:creationId xmlns:a16="http://schemas.microsoft.com/office/drawing/2014/main" id="{415713C5-5FBA-494E-B324-B5965C33C3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6" name="Picture 31">
          <a:extLst>
            <a:ext uri="{FF2B5EF4-FFF2-40B4-BE49-F238E27FC236}">
              <a16:creationId xmlns:a16="http://schemas.microsoft.com/office/drawing/2014/main" id="{882BF730-5560-46A5-B92F-09BE7E66C5B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7" name="Picture 31">
          <a:extLst>
            <a:ext uri="{FF2B5EF4-FFF2-40B4-BE49-F238E27FC236}">
              <a16:creationId xmlns:a16="http://schemas.microsoft.com/office/drawing/2014/main" id="{5031CABB-FA80-42F4-8BD9-9F405794D1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8" name="Picture 31">
          <a:extLst>
            <a:ext uri="{FF2B5EF4-FFF2-40B4-BE49-F238E27FC236}">
              <a16:creationId xmlns:a16="http://schemas.microsoft.com/office/drawing/2014/main" id="{B38C770A-D74C-4EFC-B589-9398C8EC51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699" name="Picture 31">
          <a:extLst>
            <a:ext uri="{FF2B5EF4-FFF2-40B4-BE49-F238E27FC236}">
              <a16:creationId xmlns:a16="http://schemas.microsoft.com/office/drawing/2014/main" id="{202CF920-92C5-4035-BC1A-A5E14D0613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0" name="Picture 31">
          <a:extLst>
            <a:ext uri="{FF2B5EF4-FFF2-40B4-BE49-F238E27FC236}">
              <a16:creationId xmlns:a16="http://schemas.microsoft.com/office/drawing/2014/main" id="{3DDABFA9-2AD9-4643-9206-33C9EC4B48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1" name="Picture 31">
          <a:extLst>
            <a:ext uri="{FF2B5EF4-FFF2-40B4-BE49-F238E27FC236}">
              <a16:creationId xmlns:a16="http://schemas.microsoft.com/office/drawing/2014/main" id="{D1FC50FD-5FFF-4915-9FBB-1B42803C2F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2" name="Picture 31">
          <a:extLst>
            <a:ext uri="{FF2B5EF4-FFF2-40B4-BE49-F238E27FC236}">
              <a16:creationId xmlns:a16="http://schemas.microsoft.com/office/drawing/2014/main" id="{C09555CD-BA27-4B8A-810B-3B2ABFFD01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3" name="Picture 31">
          <a:extLst>
            <a:ext uri="{FF2B5EF4-FFF2-40B4-BE49-F238E27FC236}">
              <a16:creationId xmlns:a16="http://schemas.microsoft.com/office/drawing/2014/main" id="{D85872CB-B7CB-403F-BCC6-1AF252F0E2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4" name="Picture 31">
          <a:extLst>
            <a:ext uri="{FF2B5EF4-FFF2-40B4-BE49-F238E27FC236}">
              <a16:creationId xmlns:a16="http://schemas.microsoft.com/office/drawing/2014/main" id="{7CD40827-B6C2-4E13-811A-71D3A5EE227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5" name="Picture 31">
          <a:extLst>
            <a:ext uri="{FF2B5EF4-FFF2-40B4-BE49-F238E27FC236}">
              <a16:creationId xmlns:a16="http://schemas.microsoft.com/office/drawing/2014/main" id="{7ED3CF55-8531-425C-911C-737FC275CA8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6" name="Picture 31">
          <a:extLst>
            <a:ext uri="{FF2B5EF4-FFF2-40B4-BE49-F238E27FC236}">
              <a16:creationId xmlns:a16="http://schemas.microsoft.com/office/drawing/2014/main" id="{86C39A36-D5B2-45A0-BC79-259B242516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7" name="Picture 31">
          <a:extLst>
            <a:ext uri="{FF2B5EF4-FFF2-40B4-BE49-F238E27FC236}">
              <a16:creationId xmlns:a16="http://schemas.microsoft.com/office/drawing/2014/main" id="{843465AA-34E8-486A-A690-750577E6BE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8" name="Picture 31">
          <a:extLst>
            <a:ext uri="{FF2B5EF4-FFF2-40B4-BE49-F238E27FC236}">
              <a16:creationId xmlns:a16="http://schemas.microsoft.com/office/drawing/2014/main" id="{A76304A8-9E01-47AD-90E2-0621B6BA4D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09" name="Picture 31">
          <a:extLst>
            <a:ext uri="{FF2B5EF4-FFF2-40B4-BE49-F238E27FC236}">
              <a16:creationId xmlns:a16="http://schemas.microsoft.com/office/drawing/2014/main" id="{C19EA7CE-1F0E-4FAC-BDB0-96294953336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0" name="Picture 31">
          <a:extLst>
            <a:ext uri="{FF2B5EF4-FFF2-40B4-BE49-F238E27FC236}">
              <a16:creationId xmlns:a16="http://schemas.microsoft.com/office/drawing/2014/main" id="{3BEA8F39-85EE-40B8-AF3A-EC7A41B0DF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1" name="Picture 31">
          <a:extLst>
            <a:ext uri="{FF2B5EF4-FFF2-40B4-BE49-F238E27FC236}">
              <a16:creationId xmlns:a16="http://schemas.microsoft.com/office/drawing/2014/main" id="{DDEA1151-F5E9-4E68-BCD4-E35FD8744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2" name="Picture 31">
          <a:extLst>
            <a:ext uri="{FF2B5EF4-FFF2-40B4-BE49-F238E27FC236}">
              <a16:creationId xmlns:a16="http://schemas.microsoft.com/office/drawing/2014/main" id="{3E49D232-2927-4733-B176-3AD668E46E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3" name="Picture 31">
          <a:extLst>
            <a:ext uri="{FF2B5EF4-FFF2-40B4-BE49-F238E27FC236}">
              <a16:creationId xmlns:a16="http://schemas.microsoft.com/office/drawing/2014/main" id="{9D4E0E7F-3DF9-473D-BCC6-7E04A75673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4" name="Picture 31">
          <a:extLst>
            <a:ext uri="{FF2B5EF4-FFF2-40B4-BE49-F238E27FC236}">
              <a16:creationId xmlns:a16="http://schemas.microsoft.com/office/drawing/2014/main" id="{F7DA525B-3B19-4484-BBFD-6DF9D3B7115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5" name="Picture 31">
          <a:extLst>
            <a:ext uri="{FF2B5EF4-FFF2-40B4-BE49-F238E27FC236}">
              <a16:creationId xmlns:a16="http://schemas.microsoft.com/office/drawing/2014/main" id="{EF9ECA34-C17A-4123-8AA5-C36043B1D4D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6" name="Picture 31">
          <a:extLst>
            <a:ext uri="{FF2B5EF4-FFF2-40B4-BE49-F238E27FC236}">
              <a16:creationId xmlns:a16="http://schemas.microsoft.com/office/drawing/2014/main" id="{7959F70C-A7AD-4687-AB2E-B32C26EA32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7" name="Picture 31">
          <a:extLst>
            <a:ext uri="{FF2B5EF4-FFF2-40B4-BE49-F238E27FC236}">
              <a16:creationId xmlns:a16="http://schemas.microsoft.com/office/drawing/2014/main" id="{1C94A238-AFB9-49B2-8997-035DD9C17DE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8" name="Picture 31">
          <a:extLst>
            <a:ext uri="{FF2B5EF4-FFF2-40B4-BE49-F238E27FC236}">
              <a16:creationId xmlns:a16="http://schemas.microsoft.com/office/drawing/2014/main" id="{1359EAEE-30B8-466D-A67F-8FFD4CEFD5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19" name="Picture 31">
          <a:extLst>
            <a:ext uri="{FF2B5EF4-FFF2-40B4-BE49-F238E27FC236}">
              <a16:creationId xmlns:a16="http://schemas.microsoft.com/office/drawing/2014/main" id="{776A4D9F-CE95-4C6C-B788-6622BF2266F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0" name="Picture 31">
          <a:extLst>
            <a:ext uri="{FF2B5EF4-FFF2-40B4-BE49-F238E27FC236}">
              <a16:creationId xmlns:a16="http://schemas.microsoft.com/office/drawing/2014/main" id="{059429E4-C45E-4E98-A4FF-E987A477C5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1" name="Picture 31">
          <a:extLst>
            <a:ext uri="{FF2B5EF4-FFF2-40B4-BE49-F238E27FC236}">
              <a16:creationId xmlns:a16="http://schemas.microsoft.com/office/drawing/2014/main" id="{38236535-EADA-4A6A-B22F-FFBE49BAC68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2" name="Picture 31">
          <a:extLst>
            <a:ext uri="{FF2B5EF4-FFF2-40B4-BE49-F238E27FC236}">
              <a16:creationId xmlns:a16="http://schemas.microsoft.com/office/drawing/2014/main" id="{4B962E94-9D3E-4632-9076-7ECCC1BC4D4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3" name="Picture 31">
          <a:extLst>
            <a:ext uri="{FF2B5EF4-FFF2-40B4-BE49-F238E27FC236}">
              <a16:creationId xmlns:a16="http://schemas.microsoft.com/office/drawing/2014/main" id="{665AADEE-F83F-4EB6-A2C2-F92C18486D0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4" name="Picture 31">
          <a:extLst>
            <a:ext uri="{FF2B5EF4-FFF2-40B4-BE49-F238E27FC236}">
              <a16:creationId xmlns:a16="http://schemas.microsoft.com/office/drawing/2014/main" id="{8A2EE447-7341-4946-ADAE-805B0046DF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5" name="Picture 31">
          <a:extLst>
            <a:ext uri="{FF2B5EF4-FFF2-40B4-BE49-F238E27FC236}">
              <a16:creationId xmlns:a16="http://schemas.microsoft.com/office/drawing/2014/main" id="{89AE0916-6555-41B4-8667-974DDBEB1E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6" name="Picture 31">
          <a:extLst>
            <a:ext uri="{FF2B5EF4-FFF2-40B4-BE49-F238E27FC236}">
              <a16:creationId xmlns:a16="http://schemas.microsoft.com/office/drawing/2014/main" id="{711925D4-46E9-4365-815F-63C87969F9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7" name="Picture 31">
          <a:extLst>
            <a:ext uri="{FF2B5EF4-FFF2-40B4-BE49-F238E27FC236}">
              <a16:creationId xmlns:a16="http://schemas.microsoft.com/office/drawing/2014/main" id="{5857AE26-7FAE-4305-B1E8-BFDE5DACFE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8" name="Picture 31">
          <a:extLst>
            <a:ext uri="{FF2B5EF4-FFF2-40B4-BE49-F238E27FC236}">
              <a16:creationId xmlns:a16="http://schemas.microsoft.com/office/drawing/2014/main" id="{E8106438-13FD-4CD6-8396-4E90CFF7C3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29" name="Picture 31">
          <a:extLst>
            <a:ext uri="{FF2B5EF4-FFF2-40B4-BE49-F238E27FC236}">
              <a16:creationId xmlns:a16="http://schemas.microsoft.com/office/drawing/2014/main" id="{F4D3D73F-8D79-47A3-963A-6853C4E9549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0" name="Picture 31">
          <a:extLst>
            <a:ext uri="{FF2B5EF4-FFF2-40B4-BE49-F238E27FC236}">
              <a16:creationId xmlns:a16="http://schemas.microsoft.com/office/drawing/2014/main" id="{1C57E91E-4468-48ED-8668-D63E973971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1" name="Picture 31">
          <a:extLst>
            <a:ext uri="{FF2B5EF4-FFF2-40B4-BE49-F238E27FC236}">
              <a16:creationId xmlns:a16="http://schemas.microsoft.com/office/drawing/2014/main" id="{8CB2A340-9ED3-4E77-B852-D45E40E09F2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2" name="Picture 31">
          <a:extLst>
            <a:ext uri="{FF2B5EF4-FFF2-40B4-BE49-F238E27FC236}">
              <a16:creationId xmlns:a16="http://schemas.microsoft.com/office/drawing/2014/main" id="{814D8EB6-F612-4FF1-B677-B5C0515EE4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3" name="Picture 31">
          <a:extLst>
            <a:ext uri="{FF2B5EF4-FFF2-40B4-BE49-F238E27FC236}">
              <a16:creationId xmlns:a16="http://schemas.microsoft.com/office/drawing/2014/main" id="{4A9C2E4C-6272-4D4A-8637-7A036479F8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4" name="Picture 31">
          <a:extLst>
            <a:ext uri="{FF2B5EF4-FFF2-40B4-BE49-F238E27FC236}">
              <a16:creationId xmlns:a16="http://schemas.microsoft.com/office/drawing/2014/main" id="{0EAA1C81-2020-4363-9860-5A41ECD38F7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5" name="Picture 31">
          <a:extLst>
            <a:ext uri="{FF2B5EF4-FFF2-40B4-BE49-F238E27FC236}">
              <a16:creationId xmlns:a16="http://schemas.microsoft.com/office/drawing/2014/main" id="{A50BF788-FF01-4D0A-9E07-63D48B658D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6" name="Picture 31">
          <a:extLst>
            <a:ext uri="{FF2B5EF4-FFF2-40B4-BE49-F238E27FC236}">
              <a16:creationId xmlns:a16="http://schemas.microsoft.com/office/drawing/2014/main" id="{69B9BA61-5054-47F8-8834-2D72662372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7" name="Picture 31">
          <a:extLst>
            <a:ext uri="{FF2B5EF4-FFF2-40B4-BE49-F238E27FC236}">
              <a16:creationId xmlns:a16="http://schemas.microsoft.com/office/drawing/2014/main" id="{CF149A2D-522A-4AB3-A24C-42BC5104279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8" name="Picture 31">
          <a:extLst>
            <a:ext uri="{FF2B5EF4-FFF2-40B4-BE49-F238E27FC236}">
              <a16:creationId xmlns:a16="http://schemas.microsoft.com/office/drawing/2014/main" id="{1C7D728F-8995-40B1-AFE7-65BF4C232B4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39" name="Picture 31">
          <a:extLst>
            <a:ext uri="{FF2B5EF4-FFF2-40B4-BE49-F238E27FC236}">
              <a16:creationId xmlns:a16="http://schemas.microsoft.com/office/drawing/2014/main" id="{FAE078B9-CDB0-4AB8-A2C2-F1F83DD4DE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0" name="Picture 31">
          <a:extLst>
            <a:ext uri="{FF2B5EF4-FFF2-40B4-BE49-F238E27FC236}">
              <a16:creationId xmlns:a16="http://schemas.microsoft.com/office/drawing/2014/main" id="{30659C30-9D77-41A0-8AC8-FCCD0BEE5B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1" name="Picture 31">
          <a:extLst>
            <a:ext uri="{FF2B5EF4-FFF2-40B4-BE49-F238E27FC236}">
              <a16:creationId xmlns:a16="http://schemas.microsoft.com/office/drawing/2014/main" id="{199479BD-285C-46D5-A8D0-80C55F2B0CF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2" name="Picture 31">
          <a:extLst>
            <a:ext uri="{FF2B5EF4-FFF2-40B4-BE49-F238E27FC236}">
              <a16:creationId xmlns:a16="http://schemas.microsoft.com/office/drawing/2014/main" id="{0409F805-8659-4319-8CAB-0E61BA4E92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3" name="Picture 31">
          <a:extLst>
            <a:ext uri="{FF2B5EF4-FFF2-40B4-BE49-F238E27FC236}">
              <a16:creationId xmlns:a16="http://schemas.microsoft.com/office/drawing/2014/main" id="{CCDA52DA-9BCA-4144-98D8-09612D098C8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4" name="Picture 31">
          <a:extLst>
            <a:ext uri="{FF2B5EF4-FFF2-40B4-BE49-F238E27FC236}">
              <a16:creationId xmlns:a16="http://schemas.microsoft.com/office/drawing/2014/main" id="{F927CD01-28E9-4DB7-902B-CC92C94213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5" name="Picture 31">
          <a:extLst>
            <a:ext uri="{FF2B5EF4-FFF2-40B4-BE49-F238E27FC236}">
              <a16:creationId xmlns:a16="http://schemas.microsoft.com/office/drawing/2014/main" id="{32821983-BEB2-432B-B8E3-965EB2BBA06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6" name="Picture 31">
          <a:extLst>
            <a:ext uri="{FF2B5EF4-FFF2-40B4-BE49-F238E27FC236}">
              <a16:creationId xmlns:a16="http://schemas.microsoft.com/office/drawing/2014/main" id="{FFE45F92-E9E3-4C59-A6BE-81275B3CC2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7" name="Picture 31">
          <a:extLst>
            <a:ext uri="{FF2B5EF4-FFF2-40B4-BE49-F238E27FC236}">
              <a16:creationId xmlns:a16="http://schemas.microsoft.com/office/drawing/2014/main" id="{C4D57CA8-9BB2-47C6-937C-C4A81A8C9CC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8" name="Picture 31">
          <a:extLst>
            <a:ext uri="{FF2B5EF4-FFF2-40B4-BE49-F238E27FC236}">
              <a16:creationId xmlns:a16="http://schemas.microsoft.com/office/drawing/2014/main" id="{139B03D1-F7EB-4585-AD0C-BCDC52B9BF0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49" name="Picture 31">
          <a:extLst>
            <a:ext uri="{FF2B5EF4-FFF2-40B4-BE49-F238E27FC236}">
              <a16:creationId xmlns:a16="http://schemas.microsoft.com/office/drawing/2014/main" id="{85096319-2BFE-4A15-9D90-B16C270C9E1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0" name="Picture 31">
          <a:extLst>
            <a:ext uri="{FF2B5EF4-FFF2-40B4-BE49-F238E27FC236}">
              <a16:creationId xmlns:a16="http://schemas.microsoft.com/office/drawing/2014/main" id="{0FDA7612-D1BE-41D5-836C-23185404DB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1" name="Picture 31">
          <a:extLst>
            <a:ext uri="{FF2B5EF4-FFF2-40B4-BE49-F238E27FC236}">
              <a16:creationId xmlns:a16="http://schemas.microsoft.com/office/drawing/2014/main" id="{2ED4D49C-147C-4C38-BE3B-CCA1544A74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2" name="Picture 31">
          <a:extLst>
            <a:ext uri="{FF2B5EF4-FFF2-40B4-BE49-F238E27FC236}">
              <a16:creationId xmlns:a16="http://schemas.microsoft.com/office/drawing/2014/main" id="{7D4B254D-0E52-4649-A415-982F3E4493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3" name="Picture 31">
          <a:extLst>
            <a:ext uri="{FF2B5EF4-FFF2-40B4-BE49-F238E27FC236}">
              <a16:creationId xmlns:a16="http://schemas.microsoft.com/office/drawing/2014/main" id="{98BD3787-4163-4D65-9607-A4C53B30B8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4" name="Picture 31">
          <a:extLst>
            <a:ext uri="{FF2B5EF4-FFF2-40B4-BE49-F238E27FC236}">
              <a16:creationId xmlns:a16="http://schemas.microsoft.com/office/drawing/2014/main" id="{C248204E-A855-4B9E-AD80-A584B3FD2DD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5" name="Picture 31">
          <a:extLst>
            <a:ext uri="{FF2B5EF4-FFF2-40B4-BE49-F238E27FC236}">
              <a16:creationId xmlns:a16="http://schemas.microsoft.com/office/drawing/2014/main" id="{4097BF62-191A-4965-8CCD-E19BBEF59ED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6" name="Picture 31">
          <a:extLst>
            <a:ext uri="{FF2B5EF4-FFF2-40B4-BE49-F238E27FC236}">
              <a16:creationId xmlns:a16="http://schemas.microsoft.com/office/drawing/2014/main" id="{A0711D92-DBBD-4DB1-90E8-C52BFF24B32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7" name="Picture 31">
          <a:extLst>
            <a:ext uri="{FF2B5EF4-FFF2-40B4-BE49-F238E27FC236}">
              <a16:creationId xmlns:a16="http://schemas.microsoft.com/office/drawing/2014/main" id="{2EF2C8D9-EA6C-4846-AE1F-8C2B001700C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8" name="Picture 31">
          <a:extLst>
            <a:ext uri="{FF2B5EF4-FFF2-40B4-BE49-F238E27FC236}">
              <a16:creationId xmlns:a16="http://schemas.microsoft.com/office/drawing/2014/main" id="{048B7C78-76BB-42C2-852D-C678A914914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59" name="Picture 31">
          <a:extLst>
            <a:ext uri="{FF2B5EF4-FFF2-40B4-BE49-F238E27FC236}">
              <a16:creationId xmlns:a16="http://schemas.microsoft.com/office/drawing/2014/main" id="{FEB4EEE3-3815-418D-BF54-981BD4C3EB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0" name="Picture 31">
          <a:extLst>
            <a:ext uri="{FF2B5EF4-FFF2-40B4-BE49-F238E27FC236}">
              <a16:creationId xmlns:a16="http://schemas.microsoft.com/office/drawing/2014/main" id="{DF2A3BE3-B55E-4B56-99B9-6A3294FF40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1" name="Picture 31">
          <a:extLst>
            <a:ext uri="{FF2B5EF4-FFF2-40B4-BE49-F238E27FC236}">
              <a16:creationId xmlns:a16="http://schemas.microsoft.com/office/drawing/2014/main" id="{8C2DA3C1-88E3-4ED0-8B4C-E4DD0A4FE71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2" name="Picture 31">
          <a:extLst>
            <a:ext uri="{FF2B5EF4-FFF2-40B4-BE49-F238E27FC236}">
              <a16:creationId xmlns:a16="http://schemas.microsoft.com/office/drawing/2014/main" id="{94B17851-1CA6-4092-9BF2-EE26362401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3" name="Picture 31">
          <a:extLst>
            <a:ext uri="{FF2B5EF4-FFF2-40B4-BE49-F238E27FC236}">
              <a16:creationId xmlns:a16="http://schemas.microsoft.com/office/drawing/2014/main" id="{C40E3F54-802B-493F-B0E9-A3A43B82C6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4" name="Picture 31">
          <a:extLst>
            <a:ext uri="{FF2B5EF4-FFF2-40B4-BE49-F238E27FC236}">
              <a16:creationId xmlns:a16="http://schemas.microsoft.com/office/drawing/2014/main" id="{0B9CEC25-35A7-44D5-B22E-DFD118B8FB7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5" name="Picture 31">
          <a:extLst>
            <a:ext uri="{FF2B5EF4-FFF2-40B4-BE49-F238E27FC236}">
              <a16:creationId xmlns:a16="http://schemas.microsoft.com/office/drawing/2014/main" id="{1569D757-F9C8-46F6-B78B-A46CB7D812F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6" name="Picture 31">
          <a:extLst>
            <a:ext uri="{FF2B5EF4-FFF2-40B4-BE49-F238E27FC236}">
              <a16:creationId xmlns:a16="http://schemas.microsoft.com/office/drawing/2014/main" id="{E8054DC0-AFAC-45F1-AAD9-FCDB513FB6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7" name="Picture 31">
          <a:extLst>
            <a:ext uri="{FF2B5EF4-FFF2-40B4-BE49-F238E27FC236}">
              <a16:creationId xmlns:a16="http://schemas.microsoft.com/office/drawing/2014/main" id="{AADA630B-5FCC-44A6-B750-70D6D5C5CEC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8" name="Picture 31">
          <a:extLst>
            <a:ext uri="{FF2B5EF4-FFF2-40B4-BE49-F238E27FC236}">
              <a16:creationId xmlns:a16="http://schemas.microsoft.com/office/drawing/2014/main" id="{7043D2B9-39E7-4C52-BF13-2E65BE540E4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69" name="Picture 31">
          <a:extLst>
            <a:ext uri="{FF2B5EF4-FFF2-40B4-BE49-F238E27FC236}">
              <a16:creationId xmlns:a16="http://schemas.microsoft.com/office/drawing/2014/main" id="{C0640E75-5C46-42A7-985A-3E3060F5BCA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0" name="Picture 31">
          <a:extLst>
            <a:ext uri="{FF2B5EF4-FFF2-40B4-BE49-F238E27FC236}">
              <a16:creationId xmlns:a16="http://schemas.microsoft.com/office/drawing/2014/main" id="{2D197DD9-69E5-4D6C-8291-E6EA953ADE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1" name="Picture 31">
          <a:extLst>
            <a:ext uri="{FF2B5EF4-FFF2-40B4-BE49-F238E27FC236}">
              <a16:creationId xmlns:a16="http://schemas.microsoft.com/office/drawing/2014/main" id="{1E45C246-91D2-4ABB-A6E9-90EFE90202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2" name="Picture 31">
          <a:extLst>
            <a:ext uri="{FF2B5EF4-FFF2-40B4-BE49-F238E27FC236}">
              <a16:creationId xmlns:a16="http://schemas.microsoft.com/office/drawing/2014/main" id="{0E2B9192-70C9-42FA-AFE9-4F3651D686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3" name="Picture 31">
          <a:extLst>
            <a:ext uri="{FF2B5EF4-FFF2-40B4-BE49-F238E27FC236}">
              <a16:creationId xmlns:a16="http://schemas.microsoft.com/office/drawing/2014/main" id="{F0C92921-8AA2-49E2-8557-0925CCF60A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4" name="Picture 31">
          <a:extLst>
            <a:ext uri="{FF2B5EF4-FFF2-40B4-BE49-F238E27FC236}">
              <a16:creationId xmlns:a16="http://schemas.microsoft.com/office/drawing/2014/main" id="{8C0BC048-41EC-49FE-9B48-60FC4DBD811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5" name="Picture 31">
          <a:extLst>
            <a:ext uri="{FF2B5EF4-FFF2-40B4-BE49-F238E27FC236}">
              <a16:creationId xmlns:a16="http://schemas.microsoft.com/office/drawing/2014/main" id="{C3E3CBA9-A537-439B-8797-D7ABC66784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6" name="Picture 31">
          <a:extLst>
            <a:ext uri="{FF2B5EF4-FFF2-40B4-BE49-F238E27FC236}">
              <a16:creationId xmlns:a16="http://schemas.microsoft.com/office/drawing/2014/main" id="{72D1BB86-DC25-489A-8C68-1937D6257B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7" name="Picture 31">
          <a:extLst>
            <a:ext uri="{FF2B5EF4-FFF2-40B4-BE49-F238E27FC236}">
              <a16:creationId xmlns:a16="http://schemas.microsoft.com/office/drawing/2014/main" id="{FCCF898C-2F38-45AB-A47D-3E8F180680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8" name="Picture 31">
          <a:extLst>
            <a:ext uri="{FF2B5EF4-FFF2-40B4-BE49-F238E27FC236}">
              <a16:creationId xmlns:a16="http://schemas.microsoft.com/office/drawing/2014/main" id="{EE97AE08-3A51-4A2D-A9F6-582471A2CBA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79" name="Picture 31">
          <a:extLst>
            <a:ext uri="{FF2B5EF4-FFF2-40B4-BE49-F238E27FC236}">
              <a16:creationId xmlns:a16="http://schemas.microsoft.com/office/drawing/2014/main" id="{59582A4C-C7BC-4408-BE2A-4BDD3DA53D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0" name="Picture 31">
          <a:extLst>
            <a:ext uri="{FF2B5EF4-FFF2-40B4-BE49-F238E27FC236}">
              <a16:creationId xmlns:a16="http://schemas.microsoft.com/office/drawing/2014/main" id="{DFB8AECD-A03F-4DC4-862A-61EE55CD35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1" name="Picture 31">
          <a:extLst>
            <a:ext uri="{FF2B5EF4-FFF2-40B4-BE49-F238E27FC236}">
              <a16:creationId xmlns:a16="http://schemas.microsoft.com/office/drawing/2014/main" id="{38B51B5B-584C-435D-A2E8-68BEFF144A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2" name="Picture 31">
          <a:extLst>
            <a:ext uri="{FF2B5EF4-FFF2-40B4-BE49-F238E27FC236}">
              <a16:creationId xmlns:a16="http://schemas.microsoft.com/office/drawing/2014/main" id="{5D5FDE3A-5175-4962-97D1-AB22C06958C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3" name="Picture 31">
          <a:extLst>
            <a:ext uri="{FF2B5EF4-FFF2-40B4-BE49-F238E27FC236}">
              <a16:creationId xmlns:a16="http://schemas.microsoft.com/office/drawing/2014/main" id="{D88D3785-304A-4C11-9B51-F3BC1743C19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4" name="Picture 31">
          <a:extLst>
            <a:ext uri="{FF2B5EF4-FFF2-40B4-BE49-F238E27FC236}">
              <a16:creationId xmlns:a16="http://schemas.microsoft.com/office/drawing/2014/main" id="{D38AF487-B178-49F8-B635-5DCD8D13B5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5" name="Picture 31">
          <a:extLst>
            <a:ext uri="{FF2B5EF4-FFF2-40B4-BE49-F238E27FC236}">
              <a16:creationId xmlns:a16="http://schemas.microsoft.com/office/drawing/2014/main" id="{2AA23814-0BD2-4E24-80F5-CA154B0A9D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6" name="Picture 31">
          <a:extLst>
            <a:ext uri="{FF2B5EF4-FFF2-40B4-BE49-F238E27FC236}">
              <a16:creationId xmlns:a16="http://schemas.microsoft.com/office/drawing/2014/main" id="{86335347-41A7-412F-AFDE-F7A9EBF61C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7" name="Picture 31">
          <a:extLst>
            <a:ext uri="{FF2B5EF4-FFF2-40B4-BE49-F238E27FC236}">
              <a16:creationId xmlns:a16="http://schemas.microsoft.com/office/drawing/2014/main" id="{9E2EC888-0C58-491B-81BA-A7C17143F9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8" name="Picture 31">
          <a:extLst>
            <a:ext uri="{FF2B5EF4-FFF2-40B4-BE49-F238E27FC236}">
              <a16:creationId xmlns:a16="http://schemas.microsoft.com/office/drawing/2014/main" id="{4DFC14A0-C9BC-4CE8-9A9E-DF8F1BD565E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89" name="Picture 31">
          <a:extLst>
            <a:ext uri="{FF2B5EF4-FFF2-40B4-BE49-F238E27FC236}">
              <a16:creationId xmlns:a16="http://schemas.microsoft.com/office/drawing/2014/main" id="{BB35B341-3308-45A0-B3A4-226C84E040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0" name="Picture 31">
          <a:extLst>
            <a:ext uri="{FF2B5EF4-FFF2-40B4-BE49-F238E27FC236}">
              <a16:creationId xmlns:a16="http://schemas.microsoft.com/office/drawing/2014/main" id="{BDC77FEE-0443-4C19-9E51-2E1925F02F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1" name="Picture 31">
          <a:extLst>
            <a:ext uri="{FF2B5EF4-FFF2-40B4-BE49-F238E27FC236}">
              <a16:creationId xmlns:a16="http://schemas.microsoft.com/office/drawing/2014/main" id="{83C31A34-8D24-4705-B467-AEDCC0CE89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2" name="Picture 31">
          <a:extLst>
            <a:ext uri="{FF2B5EF4-FFF2-40B4-BE49-F238E27FC236}">
              <a16:creationId xmlns:a16="http://schemas.microsoft.com/office/drawing/2014/main" id="{927CA6AD-E6C7-46C7-9F9B-9DD0F3A7F4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3" name="Picture 31">
          <a:extLst>
            <a:ext uri="{FF2B5EF4-FFF2-40B4-BE49-F238E27FC236}">
              <a16:creationId xmlns:a16="http://schemas.microsoft.com/office/drawing/2014/main" id="{63254995-A6C4-433D-AE37-663152E430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4" name="Picture 31">
          <a:extLst>
            <a:ext uri="{FF2B5EF4-FFF2-40B4-BE49-F238E27FC236}">
              <a16:creationId xmlns:a16="http://schemas.microsoft.com/office/drawing/2014/main" id="{AA4CF975-844C-43D1-8DAB-6770B0EDA45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5" name="Picture 31">
          <a:extLst>
            <a:ext uri="{FF2B5EF4-FFF2-40B4-BE49-F238E27FC236}">
              <a16:creationId xmlns:a16="http://schemas.microsoft.com/office/drawing/2014/main" id="{DE7DD89E-9CF1-404C-951A-29CDA360CDA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6" name="Picture 31">
          <a:extLst>
            <a:ext uri="{FF2B5EF4-FFF2-40B4-BE49-F238E27FC236}">
              <a16:creationId xmlns:a16="http://schemas.microsoft.com/office/drawing/2014/main" id="{B59E11C3-61B1-4B36-8357-659DD6CA12E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7" name="Picture 31">
          <a:extLst>
            <a:ext uri="{FF2B5EF4-FFF2-40B4-BE49-F238E27FC236}">
              <a16:creationId xmlns:a16="http://schemas.microsoft.com/office/drawing/2014/main" id="{CA24C2F6-9E21-40F3-B4D5-80586CFB57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8" name="Picture 31">
          <a:extLst>
            <a:ext uri="{FF2B5EF4-FFF2-40B4-BE49-F238E27FC236}">
              <a16:creationId xmlns:a16="http://schemas.microsoft.com/office/drawing/2014/main" id="{5C408B03-9FC5-40DA-A56D-EA15079BE9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799" name="Picture 31">
          <a:extLst>
            <a:ext uri="{FF2B5EF4-FFF2-40B4-BE49-F238E27FC236}">
              <a16:creationId xmlns:a16="http://schemas.microsoft.com/office/drawing/2014/main" id="{FFE2157A-D1B7-4411-B6E6-EC2A0A9D91A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0" name="Picture 31">
          <a:extLst>
            <a:ext uri="{FF2B5EF4-FFF2-40B4-BE49-F238E27FC236}">
              <a16:creationId xmlns:a16="http://schemas.microsoft.com/office/drawing/2014/main" id="{2B0806D3-587A-4846-8A9F-EF4313AEF84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1" name="Picture 31">
          <a:extLst>
            <a:ext uri="{FF2B5EF4-FFF2-40B4-BE49-F238E27FC236}">
              <a16:creationId xmlns:a16="http://schemas.microsoft.com/office/drawing/2014/main" id="{53395C86-9EDA-46F1-B539-89906014927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2" name="Picture 31">
          <a:extLst>
            <a:ext uri="{FF2B5EF4-FFF2-40B4-BE49-F238E27FC236}">
              <a16:creationId xmlns:a16="http://schemas.microsoft.com/office/drawing/2014/main" id="{86162802-D4F2-485D-A0B9-070394A8F4F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3" name="Picture 31">
          <a:extLst>
            <a:ext uri="{FF2B5EF4-FFF2-40B4-BE49-F238E27FC236}">
              <a16:creationId xmlns:a16="http://schemas.microsoft.com/office/drawing/2014/main" id="{081C435C-52B9-456B-9ED6-0024D8BAD8E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4" name="Picture 31">
          <a:extLst>
            <a:ext uri="{FF2B5EF4-FFF2-40B4-BE49-F238E27FC236}">
              <a16:creationId xmlns:a16="http://schemas.microsoft.com/office/drawing/2014/main" id="{EE3D3A9C-CFA1-473A-9C7F-1A0D024EFF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5" name="Picture 31">
          <a:extLst>
            <a:ext uri="{FF2B5EF4-FFF2-40B4-BE49-F238E27FC236}">
              <a16:creationId xmlns:a16="http://schemas.microsoft.com/office/drawing/2014/main" id="{114A0702-D120-484D-8AC8-2868AC65C9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6" name="Picture 31">
          <a:extLst>
            <a:ext uri="{FF2B5EF4-FFF2-40B4-BE49-F238E27FC236}">
              <a16:creationId xmlns:a16="http://schemas.microsoft.com/office/drawing/2014/main" id="{84033CCB-44E9-43B8-B238-1858DAA070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7" name="Picture 31">
          <a:extLst>
            <a:ext uri="{FF2B5EF4-FFF2-40B4-BE49-F238E27FC236}">
              <a16:creationId xmlns:a16="http://schemas.microsoft.com/office/drawing/2014/main" id="{42416037-AFDB-4BD7-BBB0-B9BE5421F4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8" name="Picture 31">
          <a:extLst>
            <a:ext uri="{FF2B5EF4-FFF2-40B4-BE49-F238E27FC236}">
              <a16:creationId xmlns:a16="http://schemas.microsoft.com/office/drawing/2014/main" id="{A86BA90D-7CCD-48B3-8FC5-9470E4EC35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09" name="Picture 31">
          <a:extLst>
            <a:ext uri="{FF2B5EF4-FFF2-40B4-BE49-F238E27FC236}">
              <a16:creationId xmlns:a16="http://schemas.microsoft.com/office/drawing/2014/main" id="{6250320A-4BFB-4FF4-ACB4-BF8A12FD585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0" name="Picture 31">
          <a:extLst>
            <a:ext uri="{FF2B5EF4-FFF2-40B4-BE49-F238E27FC236}">
              <a16:creationId xmlns:a16="http://schemas.microsoft.com/office/drawing/2014/main" id="{122BE8B1-2F62-467B-8244-DE8A152A74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1" name="Picture 31">
          <a:extLst>
            <a:ext uri="{FF2B5EF4-FFF2-40B4-BE49-F238E27FC236}">
              <a16:creationId xmlns:a16="http://schemas.microsoft.com/office/drawing/2014/main" id="{DC7601CB-901F-4466-B84F-D37D6F3873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2" name="Picture 31">
          <a:extLst>
            <a:ext uri="{FF2B5EF4-FFF2-40B4-BE49-F238E27FC236}">
              <a16:creationId xmlns:a16="http://schemas.microsoft.com/office/drawing/2014/main" id="{4B5D24B5-B558-4D8D-A973-D64E338E98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3" name="Picture 31">
          <a:extLst>
            <a:ext uri="{FF2B5EF4-FFF2-40B4-BE49-F238E27FC236}">
              <a16:creationId xmlns:a16="http://schemas.microsoft.com/office/drawing/2014/main" id="{59584408-4B1C-4418-9EC0-1D48B69217A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4" name="Picture 31">
          <a:extLst>
            <a:ext uri="{FF2B5EF4-FFF2-40B4-BE49-F238E27FC236}">
              <a16:creationId xmlns:a16="http://schemas.microsoft.com/office/drawing/2014/main" id="{EFA9FCF9-B397-4FD9-9D08-138C76352AF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5" name="Picture 31">
          <a:extLst>
            <a:ext uri="{FF2B5EF4-FFF2-40B4-BE49-F238E27FC236}">
              <a16:creationId xmlns:a16="http://schemas.microsoft.com/office/drawing/2014/main" id="{03D56AFE-2AE7-4828-A901-0EDE4A57D7D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6" name="Picture 31">
          <a:extLst>
            <a:ext uri="{FF2B5EF4-FFF2-40B4-BE49-F238E27FC236}">
              <a16:creationId xmlns:a16="http://schemas.microsoft.com/office/drawing/2014/main" id="{F1EFB4E0-7DF3-44B0-ADF8-318CC1C658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7" name="Picture 31">
          <a:extLst>
            <a:ext uri="{FF2B5EF4-FFF2-40B4-BE49-F238E27FC236}">
              <a16:creationId xmlns:a16="http://schemas.microsoft.com/office/drawing/2014/main" id="{276B650B-BABC-43AB-B1E0-3D1B2336D6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8" name="Picture 31">
          <a:extLst>
            <a:ext uri="{FF2B5EF4-FFF2-40B4-BE49-F238E27FC236}">
              <a16:creationId xmlns:a16="http://schemas.microsoft.com/office/drawing/2014/main" id="{0F9CE782-DBF4-4BF3-907F-AD4E5344F4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19" name="Picture 31">
          <a:extLst>
            <a:ext uri="{FF2B5EF4-FFF2-40B4-BE49-F238E27FC236}">
              <a16:creationId xmlns:a16="http://schemas.microsoft.com/office/drawing/2014/main" id="{23704C14-8427-4B4D-88E8-A279AB8F1CC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0" name="Picture 31">
          <a:extLst>
            <a:ext uri="{FF2B5EF4-FFF2-40B4-BE49-F238E27FC236}">
              <a16:creationId xmlns:a16="http://schemas.microsoft.com/office/drawing/2014/main" id="{8F7CC25F-2F25-4019-950E-75C1E173B95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1" name="Picture 31">
          <a:extLst>
            <a:ext uri="{FF2B5EF4-FFF2-40B4-BE49-F238E27FC236}">
              <a16:creationId xmlns:a16="http://schemas.microsoft.com/office/drawing/2014/main" id="{620A2EA5-1E8B-4033-A0D0-72AD40368D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2" name="Picture 31">
          <a:extLst>
            <a:ext uri="{FF2B5EF4-FFF2-40B4-BE49-F238E27FC236}">
              <a16:creationId xmlns:a16="http://schemas.microsoft.com/office/drawing/2014/main" id="{929BA52A-B5CD-4DD2-B4F0-21EF5F116E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3" name="Picture 31">
          <a:extLst>
            <a:ext uri="{FF2B5EF4-FFF2-40B4-BE49-F238E27FC236}">
              <a16:creationId xmlns:a16="http://schemas.microsoft.com/office/drawing/2014/main" id="{D7B5F635-BF3F-419C-8960-B712376BA76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4" name="Picture 31">
          <a:extLst>
            <a:ext uri="{FF2B5EF4-FFF2-40B4-BE49-F238E27FC236}">
              <a16:creationId xmlns:a16="http://schemas.microsoft.com/office/drawing/2014/main" id="{C63D9A3D-2325-4005-A2BB-E3EC4EBCA9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5" name="Picture 31">
          <a:extLst>
            <a:ext uri="{FF2B5EF4-FFF2-40B4-BE49-F238E27FC236}">
              <a16:creationId xmlns:a16="http://schemas.microsoft.com/office/drawing/2014/main" id="{BC4032B5-3414-4F6C-9E17-4DDF03F8FEF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6" name="Picture 31">
          <a:extLst>
            <a:ext uri="{FF2B5EF4-FFF2-40B4-BE49-F238E27FC236}">
              <a16:creationId xmlns:a16="http://schemas.microsoft.com/office/drawing/2014/main" id="{B5E1BFFD-2C8E-4AA6-B44A-76248B5B84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7" name="Picture 31">
          <a:extLst>
            <a:ext uri="{FF2B5EF4-FFF2-40B4-BE49-F238E27FC236}">
              <a16:creationId xmlns:a16="http://schemas.microsoft.com/office/drawing/2014/main" id="{0719377A-9604-4B0F-A924-73A1468B093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8" name="Picture 31">
          <a:extLst>
            <a:ext uri="{FF2B5EF4-FFF2-40B4-BE49-F238E27FC236}">
              <a16:creationId xmlns:a16="http://schemas.microsoft.com/office/drawing/2014/main" id="{21F9FA83-1967-4970-94D8-8D3A3381DF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29" name="Picture 31">
          <a:extLst>
            <a:ext uri="{FF2B5EF4-FFF2-40B4-BE49-F238E27FC236}">
              <a16:creationId xmlns:a16="http://schemas.microsoft.com/office/drawing/2014/main" id="{F3099061-8B61-492D-85E4-83F00F07F99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0" name="Picture 31">
          <a:extLst>
            <a:ext uri="{FF2B5EF4-FFF2-40B4-BE49-F238E27FC236}">
              <a16:creationId xmlns:a16="http://schemas.microsoft.com/office/drawing/2014/main" id="{81DFAEEE-5136-4C01-9AB7-2866B0BBC3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1" name="Picture 31">
          <a:extLst>
            <a:ext uri="{FF2B5EF4-FFF2-40B4-BE49-F238E27FC236}">
              <a16:creationId xmlns:a16="http://schemas.microsoft.com/office/drawing/2014/main" id="{F5125D38-F06E-48A0-A471-93AB4D8A78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2" name="Picture 31">
          <a:extLst>
            <a:ext uri="{FF2B5EF4-FFF2-40B4-BE49-F238E27FC236}">
              <a16:creationId xmlns:a16="http://schemas.microsoft.com/office/drawing/2014/main" id="{6ED76264-9087-48FA-9B9A-389638C9548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3" name="Picture 31">
          <a:extLst>
            <a:ext uri="{FF2B5EF4-FFF2-40B4-BE49-F238E27FC236}">
              <a16:creationId xmlns:a16="http://schemas.microsoft.com/office/drawing/2014/main" id="{95707C07-3F1A-413C-97C8-33CC3398EB6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4" name="Picture 31">
          <a:extLst>
            <a:ext uri="{FF2B5EF4-FFF2-40B4-BE49-F238E27FC236}">
              <a16:creationId xmlns:a16="http://schemas.microsoft.com/office/drawing/2014/main" id="{8A2B7676-ABA9-4077-8BA0-23D774BA18D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5" name="Picture 31">
          <a:extLst>
            <a:ext uri="{FF2B5EF4-FFF2-40B4-BE49-F238E27FC236}">
              <a16:creationId xmlns:a16="http://schemas.microsoft.com/office/drawing/2014/main" id="{49927B51-59BD-4431-B983-9379C84D02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6" name="Picture 31">
          <a:extLst>
            <a:ext uri="{FF2B5EF4-FFF2-40B4-BE49-F238E27FC236}">
              <a16:creationId xmlns:a16="http://schemas.microsoft.com/office/drawing/2014/main" id="{E8AA4194-CDFF-4352-9FF9-2DAF1B496F4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7" name="Picture 31">
          <a:extLst>
            <a:ext uri="{FF2B5EF4-FFF2-40B4-BE49-F238E27FC236}">
              <a16:creationId xmlns:a16="http://schemas.microsoft.com/office/drawing/2014/main" id="{AA0C89FF-27A1-41BC-971C-56A7CAD499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8" name="Picture 31">
          <a:extLst>
            <a:ext uri="{FF2B5EF4-FFF2-40B4-BE49-F238E27FC236}">
              <a16:creationId xmlns:a16="http://schemas.microsoft.com/office/drawing/2014/main" id="{2AF04DB5-F112-4D94-BEBA-8A9B88A20A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39" name="Picture 31">
          <a:extLst>
            <a:ext uri="{FF2B5EF4-FFF2-40B4-BE49-F238E27FC236}">
              <a16:creationId xmlns:a16="http://schemas.microsoft.com/office/drawing/2014/main" id="{9DE02526-A7C2-473C-B873-D837C3C327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0" name="Picture 31">
          <a:extLst>
            <a:ext uri="{FF2B5EF4-FFF2-40B4-BE49-F238E27FC236}">
              <a16:creationId xmlns:a16="http://schemas.microsoft.com/office/drawing/2014/main" id="{D395FC78-1BFB-4EF0-9302-63E6B64C300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1" name="Picture 31">
          <a:extLst>
            <a:ext uri="{FF2B5EF4-FFF2-40B4-BE49-F238E27FC236}">
              <a16:creationId xmlns:a16="http://schemas.microsoft.com/office/drawing/2014/main" id="{058E4450-3174-4C80-9FC2-3ED3687699B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2" name="Picture 31">
          <a:extLst>
            <a:ext uri="{FF2B5EF4-FFF2-40B4-BE49-F238E27FC236}">
              <a16:creationId xmlns:a16="http://schemas.microsoft.com/office/drawing/2014/main" id="{A0AD3CA2-6BBB-4B09-A899-352E62E1785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3" name="Picture 31">
          <a:extLst>
            <a:ext uri="{FF2B5EF4-FFF2-40B4-BE49-F238E27FC236}">
              <a16:creationId xmlns:a16="http://schemas.microsoft.com/office/drawing/2014/main" id="{0B6AE853-B088-40D3-9608-D73E42C634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4" name="Picture 31">
          <a:extLst>
            <a:ext uri="{FF2B5EF4-FFF2-40B4-BE49-F238E27FC236}">
              <a16:creationId xmlns:a16="http://schemas.microsoft.com/office/drawing/2014/main" id="{A4082D81-1836-4B03-AE9E-5556D87EA8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5" name="Picture 31">
          <a:extLst>
            <a:ext uri="{FF2B5EF4-FFF2-40B4-BE49-F238E27FC236}">
              <a16:creationId xmlns:a16="http://schemas.microsoft.com/office/drawing/2014/main" id="{E8340347-73A2-40F5-8D2A-3A99D40205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6" name="Picture 31">
          <a:extLst>
            <a:ext uri="{FF2B5EF4-FFF2-40B4-BE49-F238E27FC236}">
              <a16:creationId xmlns:a16="http://schemas.microsoft.com/office/drawing/2014/main" id="{B12F6F49-5819-4B82-B34C-CCF0CCB31D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7" name="Picture 31">
          <a:extLst>
            <a:ext uri="{FF2B5EF4-FFF2-40B4-BE49-F238E27FC236}">
              <a16:creationId xmlns:a16="http://schemas.microsoft.com/office/drawing/2014/main" id="{99BE8BED-D3D1-4E26-8676-24783E34BD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8" name="Picture 31">
          <a:extLst>
            <a:ext uri="{FF2B5EF4-FFF2-40B4-BE49-F238E27FC236}">
              <a16:creationId xmlns:a16="http://schemas.microsoft.com/office/drawing/2014/main" id="{28F953B7-32E7-4A4E-9211-A2FB6B60C0C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49" name="Picture 31">
          <a:extLst>
            <a:ext uri="{FF2B5EF4-FFF2-40B4-BE49-F238E27FC236}">
              <a16:creationId xmlns:a16="http://schemas.microsoft.com/office/drawing/2014/main" id="{C84B2940-12E6-4A71-8E81-3F4EF5AF01B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0" name="Picture 31">
          <a:extLst>
            <a:ext uri="{FF2B5EF4-FFF2-40B4-BE49-F238E27FC236}">
              <a16:creationId xmlns:a16="http://schemas.microsoft.com/office/drawing/2014/main" id="{7C4AB338-373D-486B-8E42-B778B643FB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1" name="Picture 31">
          <a:extLst>
            <a:ext uri="{FF2B5EF4-FFF2-40B4-BE49-F238E27FC236}">
              <a16:creationId xmlns:a16="http://schemas.microsoft.com/office/drawing/2014/main" id="{EF865C49-155F-4397-B848-3034A73087E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2" name="Picture 31">
          <a:extLst>
            <a:ext uri="{FF2B5EF4-FFF2-40B4-BE49-F238E27FC236}">
              <a16:creationId xmlns:a16="http://schemas.microsoft.com/office/drawing/2014/main" id="{F09D6E08-58AF-46AE-86ED-D8A80D5523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3" name="Picture 31">
          <a:extLst>
            <a:ext uri="{FF2B5EF4-FFF2-40B4-BE49-F238E27FC236}">
              <a16:creationId xmlns:a16="http://schemas.microsoft.com/office/drawing/2014/main" id="{FB77B5B7-AE63-44B6-810E-7F78247E02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4" name="Picture 31">
          <a:extLst>
            <a:ext uri="{FF2B5EF4-FFF2-40B4-BE49-F238E27FC236}">
              <a16:creationId xmlns:a16="http://schemas.microsoft.com/office/drawing/2014/main" id="{E6AFE12D-5BFD-40B3-AD88-E30AD12F9C0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5" name="Picture 31">
          <a:extLst>
            <a:ext uri="{FF2B5EF4-FFF2-40B4-BE49-F238E27FC236}">
              <a16:creationId xmlns:a16="http://schemas.microsoft.com/office/drawing/2014/main" id="{8323F810-675F-4272-95B9-91767525E19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6" name="Picture 31">
          <a:extLst>
            <a:ext uri="{FF2B5EF4-FFF2-40B4-BE49-F238E27FC236}">
              <a16:creationId xmlns:a16="http://schemas.microsoft.com/office/drawing/2014/main" id="{EA1937CC-B73C-494E-83F0-0D526F580B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7" name="Picture 31">
          <a:extLst>
            <a:ext uri="{FF2B5EF4-FFF2-40B4-BE49-F238E27FC236}">
              <a16:creationId xmlns:a16="http://schemas.microsoft.com/office/drawing/2014/main" id="{F01C70C8-010D-4EA8-B9CD-BC0353995D2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8" name="Picture 31">
          <a:extLst>
            <a:ext uri="{FF2B5EF4-FFF2-40B4-BE49-F238E27FC236}">
              <a16:creationId xmlns:a16="http://schemas.microsoft.com/office/drawing/2014/main" id="{E9575C2A-61DF-4F86-89CF-13859C0A22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59" name="Picture 31">
          <a:extLst>
            <a:ext uri="{FF2B5EF4-FFF2-40B4-BE49-F238E27FC236}">
              <a16:creationId xmlns:a16="http://schemas.microsoft.com/office/drawing/2014/main" id="{B04101BB-32F1-479C-8FFB-CE82C4CEA08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0" name="Picture 31">
          <a:extLst>
            <a:ext uri="{FF2B5EF4-FFF2-40B4-BE49-F238E27FC236}">
              <a16:creationId xmlns:a16="http://schemas.microsoft.com/office/drawing/2014/main" id="{BE417944-A47C-4B07-A5DC-05170394FA7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1" name="Picture 31">
          <a:extLst>
            <a:ext uri="{FF2B5EF4-FFF2-40B4-BE49-F238E27FC236}">
              <a16:creationId xmlns:a16="http://schemas.microsoft.com/office/drawing/2014/main" id="{D4874432-C55B-4CDD-AAA8-75C18A72C3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2" name="Picture 31">
          <a:extLst>
            <a:ext uri="{FF2B5EF4-FFF2-40B4-BE49-F238E27FC236}">
              <a16:creationId xmlns:a16="http://schemas.microsoft.com/office/drawing/2014/main" id="{57673AD9-CA83-40FA-91ED-99ED756C9ED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3" name="Picture 31">
          <a:extLst>
            <a:ext uri="{FF2B5EF4-FFF2-40B4-BE49-F238E27FC236}">
              <a16:creationId xmlns:a16="http://schemas.microsoft.com/office/drawing/2014/main" id="{D64E5B9E-FE11-4C53-97A3-23586EB4148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4" name="Picture 31">
          <a:extLst>
            <a:ext uri="{FF2B5EF4-FFF2-40B4-BE49-F238E27FC236}">
              <a16:creationId xmlns:a16="http://schemas.microsoft.com/office/drawing/2014/main" id="{B8971A97-E6FB-451F-BFB2-82D130473D9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5" name="Picture 31">
          <a:extLst>
            <a:ext uri="{FF2B5EF4-FFF2-40B4-BE49-F238E27FC236}">
              <a16:creationId xmlns:a16="http://schemas.microsoft.com/office/drawing/2014/main" id="{3857A0AD-80BC-48AB-B147-1801082145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6" name="Picture 31">
          <a:extLst>
            <a:ext uri="{FF2B5EF4-FFF2-40B4-BE49-F238E27FC236}">
              <a16:creationId xmlns:a16="http://schemas.microsoft.com/office/drawing/2014/main" id="{815F6FF2-8F60-493E-8BAF-27C7FF1DEAB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7" name="Picture 31">
          <a:extLst>
            <a:ext uri="{FF2B5EF4-FFF2-40B4-BE49-F238E27FC236}">
              <a16:creationId xmlns:a16="http://schemas.microsoft.com/office/drawing/2014/main" id="{718893DA-6E23-452C-A816-5504D89AB1B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8" name="Picture 31">
          <a:extLst>
            <a:ext uri="{FF2B5EF4-FFF2-40B4-BE49-F238E27FC236}">
              <a16:creationId xmlns:a16="http://schemas.microsoft.com/office/drawing/2014/main" id="{7852D595-50F5-4B16-AC3F-5E59310714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69" name="Picture 31">
          <a:extLst>
            <a:ext uri="{FF2B5EF4-FFF2-40B4-BE49-F238E27FC236}">
              <a16:creationId xmlns:a16="http://schemas.microsoft.com/office/drawing/2014/main" id="{2346B61F-5E69-4A83-A2E5-29C93D9782C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0" name="Picture 31">
          <a:extLst>
            <a:ext uri="{FF2B5EF4-FFF2-40B4-BE49-F238E27FC236}">
              <a16:creationId xmlns:a16="http://schemas.microsoft.com/office/drawing/2014/main" id="{A0FA91D5-B5C9-455A-A6F5-0D14B9EB8A3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1" name="Picture 31">
          <a:extLst>
            <a:ext uri="{FF2B5EF4-FFF2-40B4-BE49-F238E27FC236}">
              <a16:creationId xmlns:a16="http://schemas.microsoft.com/office/drawing/2014/main" id="{90836776-42C6-4B3F-8D0E-F452A426AA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2" name="Picture 31">
          <a:extLst>
            <a:ext uri="{FF2B5EF4-FFF2-40B4-BE49-F238E27FC236}">
              <a16:creationId xmlns:a16="http://schemas.microsoft.com/office/drawing/2014/main" id="{6DDD33B2-3AAB-4E70-8B58-35F94978D77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3" name="Picture 31">
          <a:extLst>
            <a:ext uri="{FF2B5EF4-FFF2-40B4-BE49-F238E27FC236}">
              <a16:creationId xmlns:a16="http://schemas.microsoft.com/office/drawing/2014/main" id="{172D32A6-0352-44FE-98C5-3235B23606B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4" name="Picture 31">
          <a:extLst>
            <a:ext uri="{FF2B5EF4-FFF2-40B4-BE49-F238E27FC236}">
              <a16:creationId xmlns:a16="http://schemas.microsoft.com/office/drawing/2014/main" id="{903E9868-AFE4-4E0A-A24E-8BDEB65DC26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5" name="Picture 31">
          <a:extLst>
            <a:ext uri="{FF2B5EF4-FFF2-40B4-BE49-F238E27FC236}">
              <a16:creationId xmlns:a16="http://schemas.microsoft.com/office/drawing/2014/main" id="{223BE757-F841-4EDC-804A-1B5F0BB3EC0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6" name="Picture 31">
          <a:extLst>
            <a:ext uri="{FF2B5EF4-FFF2-40B4-BE49-F238E27FC236}">
              <a16:creationId xmlns:a16="http://schemas.microsoft.com/office/drawing/2014/main" id="{FBB43D94-FB4D-4572-A58F-0CF7DF8E25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7" name="Picture 31">
          <a:extLst>
            <a:ext uri="{FF2B5EF4-FFF2-40B4-BE49-F238E27FC236}">
              <a16:creationId xmlns:a16="http://schemas.microsoft.com/office/drawing/2014/main" id="{1331DB15-4C10-4F50-8E02-888E252644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8" name="Picture 31">
          <a:extLst>
            <a:ext uri="{FF2B5EF4-FFF2-40B4-BE49-F238E27FC236}">
              <a16:creationId xmlns:a16="http://schemas.microsoft.com/office/drawing/2014/main" id="{48339FF7-5DC6-4C3F-9147-6CDC66D3EB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79" name="Picture 31">
          <a:extLst>
            <a:ext uri="{FF2B5EF4-FFF2-40B4-BE49-F238E27FC236}">
              <a16:creationId xmlns:a16="http://schemas.microsoft.com/office/drawing/2014/main" id="{8ACF3977-7E58-46EE-9F65-E4A3EC14B6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80" name="Picture 31">
          <a:extLst>
            <a:ext uri="{FF2B5EF4-FFF2-40B4-BE49-F238E27FC236}">
              <a16:creationId xmlns:a16="http://schemas.microsoft.com/office/drawing/2014/main" id="{BDAA9D30-2AD0-4710-9D6B-F26A08043E3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oneCellAnchor>
    <xdr:from>
      <xdr:col>2</xdr:col>
      <xdr:colOff>0</xdr:colOff>
      <xdr:row>359</xdr:row>
      <xdr:rowOff>0</xdr:rowOff>
    </xdr:from>
    <xdr:ext cx="0" cy="9525"/>
    <xdr:pic>
      <xdr:nvPicPr>
        <xdr:cNvPr id="2881" name="Picture 31">
          <a:extLst>
            <a:ext uri="{FF2B5EF4-FFF2-40B4-BE49-F238E27FC236}">
              <a16:creationId xmlns:a16="http://schemas.microsoft.com/office/drawing/2014/main" id="{35244E0A-89E9-480A-BF15-D82C1B2DD3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55900" y="138322050"/>
          <a:ext cx="0" cy="9525"/>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205740</xdr:colOff>
      <xdr:row>99</xdr:row>
      <xdr:rowOff>0</xdr:rowOff>
    </xdr:from>
    <xdr:ext cx="923978" cy="311803"/>
    <xdr:sp macro="" textlink="">
      <xdr:nvSpPr>
        <xdr:cNvPr id="2" name="TextBox 784">
          <a:extLst>
            <a:ext uri="{FF2B5EF4-FFF2-40B4-BE49-F238E27FC236}">
              <a16:creationId xmlns:a16="http://schemas.microsoft.com/office/drawing/2014/main" id="{205690B6-E533-4B24-ACF7-F9050F440B33}"/>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 name="TextBox 785">
          <a:extLst>
            <a:ext uri="{FF2B5EF4-FFF2-40B4-BE49-F238E27FC236}">
              <a16:creationId xmlns:a16="http://schemas.microsoft.com/office/drawing/2014/main" id="{204AF019-4CB0-4538-A8E1-D7F038ACDB79}"/>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 name="TextBox 786">
          <a:extLst>
            <a:ext uri="{FF2B5EF4-FFF2-40B4-BE49-F238E27FC236}">
              <a16:creationId xmlns:a16="http://schemas.microsoft.com/office/drawing/2014/main" id="{D6C164EC-30E1-43EA-B014-456C67392077}"/>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 name="TextBox 787">
          <a:extLst>
            <a:ext uri="{FF2B5EF4-FFF2-40B4-BE49-F238E27FC236}">
              <a16:creationId xmlns:a16="http://schemas.microsoft.com/office/drawing/2014/main" id="{659C6177-158A-4C8F-BDF1-8910D3998454}"/>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 name="TextBox 788">
          <a:extLst>
            <a:ext uri="{FF2B5EF4-FFF2-40B4-BE49-F238E27FC236}">
              <a16:creationId xmlns:a16="http://schemas.microsoft.com/office/drawing/2014/main" id="{25F6F28D-A0B2-4F16-B33B-6210B6B5FA46}"/>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7" name="TextBox 789">
          <a:extLst>
            <a:ext uri="{FF2B5EF4-FFF2-40B4-BE49-F238E27FC236}">
              <a16:creationId xmlns:a16="http://schemas.microsoft.com/office/drawing/2014/main" id="{8B3E6C8A-EECD-4477-91A0-146D0FD3224A}"/>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8" name="TextBox 790">
          <a:extLst>
            <a:ext uri="{FF2B5EF4-FFF2-40B4-BE49-F238E27FC236}">
              <a16:creationId xmlns:a16="http://schemas.microsoft.com/office/drawing/2014/main" id="{151D2F58-7623-47C4-8D49-3836CEBE3620}"/>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9" name="TextBox 791">
          <a:extLst>
            <a:ext uri="{FF2B5EF4-FFF2-40B4-BE49-F238E27FC236}">
              <a16:creationId xmlns:a16="http://schemas.microsoft.com/office/drawing/2014/main" id="{477F38A3-B026-4572-A828-D2FC9F968D41}"/>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10" name="TextBox 792">
          <a:extLst>
            <a:ext uri="{FF2B5EF4-FFF2-40B4-BE49-F238E27FC236}">
              <a16:creationId xmlns:a16="http://schemas.microsoft.com/office/drawing/2014/main" id="{2693A44A-E8C5-4D66-88F8-83003C336F78}"/>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11" name="TextBox 2097">
          <a:extLst>
            <a:ext uri="{FF2B5EF4-FFF2-40B4-BE49-F238E27FC236}">
              <a16:creationId xmlns:a16="http://schemas.microsoft.com/office/drawing/2014/main" id="{C6B8B2C5-A9D4-4A40-B687-90EE6800A3E0}"/>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12" name="TextBox 2098">
          <a:extLst>
            <a:ext uri="{FF2B5EF4-FFF2-40B4-BE49-F238E27FC236}">
              <a16:creationId xmlns:a16="http://schemas.microsoft.com/office/drawing/2014/main" id="{99B96686-2C69-41EF-B2D8-722D99A49FBF}"/>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13" name="TextBox 2099">
          <a:extLst>
            <a:ext uri="{FF2B5EF4-FFF2-40B4-BE49-F238E27FC236}">
              <a16:creationId xmlns:a16="http://schemas.microsoft.com/office/drawing/2014/main" id="{B2B11210-AE99-414E-AE9E-28028B776F65}"/>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14" name="TextBox 2100">
          <a:extLst>
            <a:ext uri="{FF2B5EF4-FFF2-40B4-BE49-F238E27FC236}">
              <a16:creationId xmlns:a16="http://schemas.microsoft.com/office/drawing/2014/main" id="{4822BE6E-9460-4DEC-8829-ABAAA137A08C}"/>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15" name="TextBox 2101">
          <a:extLst>
            <a:ext uri="{FF2B5EF4-FFF2-40B4-BE49-F238E27FC236}">
              <a16:creationId xmlns:a16="http://schemas.microsoft.com/office/drawing/2014/main" id="{234D7667-4013-4896-A939-5A4357787263}"/>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16" name="TextBox 2102">
          <a:extLst>
            <a:ext uri="{FF2B5EF4-FFF2-40B4-BE49-F238E27FC236}">
              <a16:creationId xmlns:a16="http://schemas.microsoft.com/office/drawing/2014/main" id="{014BAC57-B502-4BE6-9C0E-62B89B94AD1F}"/>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17" name="TextBox 2103">
          <a:extLst>
            <a:ext uri="{FF2B5EF4-FFF2-40B4-BE49-F238E27FC236}">
              <a16:creationId xmlns:a16="http://schemas.microsoft.com/office/drawing/2014/main" id="{95C710CE-475D-4C9E-9430-0CA569F5ABC8}"/>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18" name="TextBox 2104">
          <a:extLst>
            <a:ext uri="{FF2B5EF4-FFF2-40B4-BE49-F238E27FC236}">
              <a16:creationId xmlns:a16="http://schemas.microsoft.com/office/drawing/2014/main" id="{1F0B1FCB-C0B9-4861-BC8F-E6CCA4661CBC}"/>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19" name="TextBox 2105">
          <a:extLst>
            <a:ext uri="{FF2B5EF4-FFF2-40B4-BE49-F238E27FC236}">
              <a16:creationId xmlns:a16="http://schemas.microsoft.com/office/drawing/2014/main" id="{DE7B7CFA-5C55-4F79-890F-12B2E9CE8679}"/>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0" name="TextBox 783">
          <a:extLst>
            <a:ext uri="{FF2B5EF4-FFF2-40B4-BE49-F238E27FC236}">
              <a16:creationId xmlns:a16="http://schemas.microsoft.com/office/drawing/2014/main" id="{218FC995-E5CC-4DD1-852B-60A77013B6E7}"/>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1" name="TextBox 784">
          <a:extLst>
            <a:ext uri="{FF2B5EF4-FFF2-40B4-BE49-F238E27FC236}">
              <a16:creationId xmlns:a16="http://schemas.microsoft.com/office/drawing/2014/main" id="{F14C9B74-C741-4017-88D9-F45EC2C00234}"/>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2" name="TextBox 785">
          <a:extLst>
            <a:ext uri="{FF2B5EF4-FFF2-40B4-BE49-F238E27FC236}">
              <a16:creationId xmlns:a16="http://schemas.microsoft.com/office/drawing/2014/main" id="{04E8143C-CF95-427F-BAFA-056DD1C35680}"/>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3" name="TextBox 786">
          <a:extLst>
            <a:ext uri="{FF2B5EF4-FFF2-40B4-BE49-F238E27FC236}">
              <a16:creationId xmlns:a16="http://schemas.microsoft.com/office/drawing/2014/main" id="{BAFB4941-E71B-4C76-8016-F5A6E8063E41}"/>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4" name="TextBox 787">
          <a:extLst>
            <a:ext uri="{FF2B5EF4-FFF2-40B4-BE49-F238E27FC236}">
              <a16:creationId xmlns:a16="http://schemas.microsoft.com/office/drawing/2014/main" id="{A675209C-4C7E-4C68-9286-941891986383}"/>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5" name="TextBox 788">
          <a:extLst>
            <a:ext uri="{FF2B5EF4-FFF2-40B4-BE49-F238E27FC236}">
              <a16:creationId xmlns:a16="http://schemas.microsoft.com/office/drawing/2014/main" id="{69223DFD-FDC2-4B8A-9832-E08E07B6B3F2}"/>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26" name="TextBox 789">
          <a:extLst>
            <a:ext uri="{FF2B5EF4-FFF2-40B4-BE49-F238E27FC236}">
              <a16:creationId xmlns:a16="http://schemas.microsoft.com/office/drawing/2014/main" id="{1C7C4237-22AA-4343-B5CC-FABF33E83CD2}"/>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27" name="TextBox 790">
          <a:extLst>
            <a:ext uri="{FF2B5EF4-FFF2-40B4-BE49-F238E27FC236}">
              <a16:creationId xmlns:a16="http://schemas.microsoft.com/office/drawing/2014/main" id="{EA59F939-91FC-494A-83F6-08417541EA2B}"/>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28" name="TextBox 791">
          <a:extLst>
            <a:ext uri="{FF2B5EF4-FFF2-40B4-BE49-F238E27FC236}">
              <a16:creationId xmlns:a16="http://schemas.microsoft.com/office/drawing/2014/main" id="{B4F19FA5-19DF-4270-975F-6B619495DCDF}"/>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29" name="TextBox 2088">
          <a:extLst>
            <a:ext uri="{FF2B5EF4-FFF2-40B4-BE49-F238E27FC236}">
              <a16:creationId xmlns:a16="http://schemas.microsoft.com/office/drawing/2014/main" id="{9066ABFF-F0C2-47D6-B41F-5D1820741230}"/>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0" name="TextBox 2089">
          <a:extLst>
            <a:ext uri="{FF2B5EF4-FFF2-40B4-BE49-F238E27FC236}">
              <a16:creationId xmlns:a16="http://schemas.microsoft.com/office/drawing/2014/main" id="{26ECA816-E55D-404D-AFF9-A697F4666AFA}"/>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1" name="TextBox 2090">
          <a:extLst>
            <a:ext uri="{FF2B5EF4-FFF2-40B4-BE49-F238E27FC236}">
              <a16:creationId xmlns:a16="http://schemas.microsoft.com/office/drawing/2014/main" id="{B647B7C1-77B8-4F22-A2D1-9670959FFB6B}"/>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2" name="TextBox 2091">
          <a:extLst>
            <a:ext uri="{FF2B5EF4-FFF2-40B4-BE49-F238E27FC236}">
              <a16:creationId xmlns:a16="http://schemas.microsoft.com/office/drawing/2014/main" id="{543DAE16-93FC-42E7-8C82-BA8F9C106B44}"/>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3" name="TextBox 2092">
          <a:extLst>
            <a:ext uri="{FF2B5EF4-FFF2-40B4-BE49-F238E27FC236}">
              <a16:creationId xmlns:a16="http://schemas.microsoft.com/office/drawing/2014/main" id="{A5296C76-B8CC-469D-B54F-D18C5B5A9A54}"/>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4" name="TextBox 2093">
          <a:extLst>
            <a:ext uri="{FF2B5EF4-FFF2-40B4-BE49-F238E27FC236}">
              <a16:creationId xmlns:a16="http://schemas.microsoft.com/office/drawing/2014/main" id="{C6E40443-CC3C-4638-BF80-DC4096836D66}"/>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35" name="TextBox 2094">
          <a:extLst>
            <a:ext uri="{FF2B5EF4-FFF2-40B4-BE49-F238E27FC236}">
              <a16:creationId xmlns:a16="http://schemas.microsoft.com/office/drawing/2014/main" id="{84CFF302-FA91-4AA8-9D7C-1BE5F6A1C1EA}"/>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36" name="TextBox 2095">
          <a:extLst>
            <a:ext uri="{FF2B5EF4-FFF2-40B4-BE49-F238E27FC236}">
              <a16:creationId xmlns:a16="http://schemas.microsoft.com/office/drawing/2014/main" id="{0BC7B111-D8CE-4B6F-A5FF-5C7A0ED2ECB6}"/>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37" name="TextBox 2096">
          <a:extLst>
            <a:ext uri="{FF2B5EF4-FFF2-40B4-BE49-F238E27FC236}">
              <a16:creationId xmlns:a16="http://schemas.microsoft.com/office/drawing/2014/main" id="{FFC0E64E-B923-4D87-A848-1B844329570A}"/>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8" name="TextBox 784">
          <a:extLst>
            <a:ext uri="{FF2B5EF4-FFF2-40B4-BE49-F238E27FC236}">
              <a16:creationId xmlns:a16="http://schemas.microsoft.com/office/drawing/2014/main" id="{183A377B-E5C1-4777-BD0A-89B9C1AA80EF}"/>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39" name="TextBox 785">
          <a:extLst>
            <a:ext uri="{FF2B5EF4-FFF2-40B4-BE49-F238E27FC236}">
              <a16:creationId xmlns:a16="http://schemas.microsoft.com/office/drawing/2014/main" id="{DF4532B6-40FE-49D8-99A8-D74801E52F4B}"/>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0" name="TextBox 786">
          <a:extLst>
            <a:ext uri="{FF2B5EF4-FFF2-40B4-BE49-F238E27FC236}">
              <a16:creationId xmlns:a16="http://schemas.microsoft.com/office/drawing/2014/main" id="{B387FAD6-70A2-4D25-98A1-7D51E7C19472}"/>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1" name="TextBox 787">
          <a:extLst>
            <a:ext uri="{FF2B5EF4-FFF2-40B4-BE49-F238E27FC236}">
              <a16:creationId xmlns:a16="http://schemas.microsoft.com/office/drawing/2014/main" id="{CEA4E434-E4A2-4819-98DA-581894D96B8B}"/>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2" name="TextBox 788">
          <a:extLst>
            <a:ext uri="{FF2B5EF4-FFF2-40B4-BE49-F238E27FC236}">
              <a16:creationId xmlns:a16="http://schemas.microsoft.com/office/drawing/2014/main" id="{53664538-AAFB-4A0D-A3C9-A7F34A30A4A3}"/>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3" name="TextBox 789">
          <a:extLst>
            <a:ext uri="{FF2B5EF4-FFF2-40B4-BE49-F238E27FC236}">
              <a16:creationId xmlns:a16="http://schemas.microsoft.com/office/drawing/2014/main" id="{1338B32C-879A-4FF9-AA3C-15A78B1E9151}"/>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44" name="TextBox 790">
          <a:extLst>
            <a:ext uri="{FF2B5EF4-FFF2-40B4-BE49-F238E27FC236}">
              <a16:creationId xmlns:a16="http://schemas.microsoft.com/office/drawing/2014/main" id="{6F186E3B-973D-4422-BB3F-F490CEA35A3C}"/>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45" name="TextBox 791">
          <a:extLst>
            <a:ext uri="{FF2B5EF4-FFF2-40B4-BE49-F238E27FC236}">
              <a16:creationId xmlns:a16="http://schemas.microsoft.com/office/drawing/2014/main" id="{5E2172B1-0BAC-47FE-8288-370F4F76F9F2}"/>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46" name="TextBox 792">
          <a:extLst>
            <a:ext uri="{FF2B5EF4-FFF2-40B4-BE49-F238E27FC236}">
              <a16:creationId xmlns:a16="http://schemas.microsoft.com/office/drawing/2014/main" id="{54E8A1C1-0EC3-41F7-8A07-55899E563B3C}"/>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7" name="TextBox 2097">
          <a:extLst>
            <a:ext uri="{FF2B5EF4-FFF2-40B4-BE49-F238E27FC236}">
              <a16:creationId xmlns:a16="http://schemas.microsoft.com/office/drawing/2014/main" id="{F461758D-4B36-462D-88B3-9101B63FD3E9}"/>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8" name="TextBox 2098">
          <a:extLst>
            <a:ext uri="{FF2B5EF4-FFF2-40B4-BE49-F238E27FC236}">
              <a16:creationId xmlns:a16="http://schemas.microsoft.com/office/drawing/2014/main" id="{9B7FDE03-14DD-4323-8057-9FEF16D814DB}"/>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49" name="TextBox 2099">
          <a:extLst>
            <a:ext uri="{FF2B5EF4-FFF2-40B4-BE49-F238E27FC236}">
              <a16:creationId xmlns:a16="http://schemas.microsoft.com/office/drawing/2014/main" id="{B387C10A-01BD-4803-B7BF-386671FDF7E5}"/>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0" name="TextBox 2100">
          <a:extLst>
            <a:ext uri="{FF2B5EF4-FFF2-40B4-BE49-F238E27FC236}">
              <a16:creationId xmlns:a16="http://schemas.microsoft.com/office/drawing/2014/main" id="{33C572CC-7B4B-4EED-ADCE-95D7CA7CDEC0}"/>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1" name="TextBox 2101">
          <a:extLst>
            <a:ext uri="{FF2B5EF4-FFF2-40B4-BE49-F238E27FC236}">
              <a16:creationId xmlns:a16="http://schemas.microsoft.com/office/drawing/2014/main" id="{823CC672-FA8C-4A83-91B3-EF03F1261B4F}"/>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2" name="TextBox 2102">
          <a:extLst>
            <a:ext uri="{FF2B5EF4-FFF2-40B4-BE49-F238E27FC236}">
              <a16:creationId xmlns:a16="http://schemas.microsoft.com/office/drawing/2014/main" id="{45D9132F-35FC-4C4D-8D8D-06737947522D}"/>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53" name="TextBox 2103">
          <a:extLst>
            <a:ext uri="{FF2B5EF4-FFF2-40B4-BE49-F238E27FC236}">
              <a16:creationId xmlns:a16="http://schemas.microsoft.com/office/drawing/2014/main" id="{8F36C571-81AF-4C13-8B6D-49755305C8AB}"/>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54" name="TextBox 2104">
          <a:extLst>
            <a:ext uri="{FF2B5EF4-FFF2-40B4-BE49-F238E27FC236}">
              <a16:creationId xmlns:a16="http://schemas.microsoft.com/office/drawing/2014/main" id="{C0FBA038-16BE-4238-AFCE-7DEC6349C460}"/>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55" name="TextBox 2105">
          <a:extLst>
            <a:ext uri="{FF2B5EF4-FFF2-40B4-BE49-F238E27FC236}">
              <a16:creationId xmlns:a16="http://schemas.microsoft.com/office/drawing/2014/main" id="{7B1BE1AB-C66C-49D4-BFFF-897A34CDC309}"/>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6" name="TextBox 783">
          <a:extLst>
            <a:ext uri="{FF2B5EF4-FFF2-40B4-BE49-F238E27FC236}">
              <a16:creationId xmlns:a16="http://schemas.microsoft.com/office/drawing/2014/main" id="{2C2C26B9-3A01-4792-8A36-5A1C92B87C25}"/>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7" name="TextBox 784">
          <a:extLst>
            <a:ext uri="{FF2B5EF4-FFF2-40B4-BE49-F238E27FC236}">
              <a16:creationId xmlns:a16="http://schemas.microsoft.com/office/drawing/2014/main" id="{46655E67-F248-49B9-9B0C-39E2648E4955}"/>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8" name="TextBox 785">
          <a:extLst>
            <a:ext uri="{FF2B5EF4-FFF2-40B4-BE49-F238E27FC236}">
              <a16:creationId xmlns:a16="http://schemas.microsoft.com/office/drawing/2014/main" id="{549639CE-B359-4C34-A93D-7B5297E0A5DF}"/>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59" name="TextBox 786">
          <a:extLst>
            <a:ext uri="{FF2B5EF4-FFF2-40B4-BE49-F238E27FC236}">
              <a16:creationId xmlns:a16="http://schemas.microsoft.com/office/drawing/2014/main" id="{F61815A0-E607-45F9-88AD-3B18EB6280C1}"/>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0" name="TextBox 787">
          <a:extLst>
            <a:ext uri="{FF2B5EF4-FFF2-40B4-BE49-F238E27FC236}">
              <a16:creationId xmlns:a16="http://schemas.microsoft.com/office/drawing/2014/main" id="{0B981710-A8DC-4EEB-A78A-893B58BF16E8}"/>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1" name="TextBox 788">
          <a:extLst>
            <a:ext uri="{FF2B5EF4-FFF2-40B4-BE49-F238E27FC236}">
              <a16:creationId xmlns:a16="http://schemas.microsoft.com/office/drawing/2014/main" id="{89C87DAF-94E3-408B-926D-7E14EB43C964}"/>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62" name="TextBox 789">
          <a:extLst>
            <a:ext uri="{FF2B5EF4-FFF2-40B4-BE49-F238E27FC236}">
              <a16:creationId xmlns:a16="http://schemas.microsoft.com/office/drawing/2014/main" id="{A8F92ED0-D14C-4593-8178-9CAB5D1570CC}"/>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63" name="TextBox 790">
          <a:extLst>
            <a:ext uri="{FF2B5EF4-FFF2-40B4-BE49-F238E27FC236}">
              <a16:creationId xmlns:a16="http://schemas.microsoft.com/office/drawing/2014/main" id="{746817B3-2AC2-4CD9-B3EF-677EC08D586E}"/>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64" name="TextBox 791">
          <a:extLst>
            <a:ext uri="{FF2B5EF4-FFF2-40B4-BE49-F238E27FC236}">
              <a16:creationId xmlns:a16="http://schemas.microsoft.com/office/drawing/2014/main" id="{C5C174B5-520A-4CC8-9BFC-FB14658E69F1}"/>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5" name="TextBox 2088">
          <a:extLst>
            <a:ext uri="{FF2B5EF4-FFF2-40B4-BE49-F238E27FC236}">
              <a16:creationId xmlns:a16="http://schemas.microsoft.com/office/drawing/2014/main" id="{A1B2CA3E-9625-4260-9276-CB3EB4DB0F98}"/>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6" name="TextBox 2089">
          <a:extLst>
            <a:ext uri="{FF2B5EF4-FFF2-40B4-BE49-F238E27FC236}">
              <a16:creationId xmlns:a16="http://schemas.microsoft.com/office/drawing/2014/main" id="{977F33F4-6D28-4526-A7BB-C138F31E1371}"/>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7" name="TextBox 2090">
          <a:extLst>
            <a:ext uri="{FF2B5EF4-FFF2-40B4-BE49-F238E27FC236}">
              <a16:creationId xmlns:a16="http://schemas.microsoft.com/office/drawing/2014/main" id="{17545783-D97A-46AA-89F4-12A37AB2280D}"/>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8" name="TextBox 2091">
          <a:extLst>
            <a:ext uri="{FF2B5EF4-FFF2-40B4-BE49-F238E27FC236}">
              <a16:creationId xmlns:a16="http://schemas.microsoft.com/office/drawing/2014/main" id="{A42DFDCE-FCEB-4EC3-900C-5662B324BE50}"/>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69" name="TextBox 2092">
          <a:extLst>
            <a:ext uri="{FF2B5EF4-FFF2-40B4-BE49-F238E27FC236}">
              <a16:creationId xmlns:a16="http://schemas.microsoft.com/office/drawing/2014/main" id="{513FA19C-E056-4A52-B59F-8F026E0FEC53}"/>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99</xdr:row>
      <xdr:rowOff>0</xdr:rowOff>
    </xdr:from>
    <xdr:ext cx="923978" cy="311803"/>
    <xdr:sp macro="" textlink="">
      <xdr:nvSpPr>
        <xdr:cNvPr id="70" name="TextBox 2093">
          <a:extLst>
            <a:ext uri="{FF2B5EF4-FFF2-40B4-BE49-F238E27FC236}">
              <a16:creationId xmlns:a16="http://schemas.microsoft.com/office/drawing/2014/main" id="{829CF829-3D28-472E-B0CD-D6E56908861A}"/>
            </a:ext>
          </a:extLst>
        </xdr:cNvPr>
        <xdr:cNvSpPr txBox="1"/>
      </xdr:nvSpPr>
      <xdr:spPr>
        <a:xfrm>
          <a:off x="4136390" y="2847340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71" name="TextBox 2094">
          <a:extLst>
            <a:ext uri="{FF2B5EF4-FFF2-40B4-BE49-F238E27FC236}">
              <a16:creationId xmlns:a16="http://schemas.microsoft.com/office/drawing/2014/main" id="{F9C1017C-73D4-4B5E-9F61-0CCA6A8C9840}"/>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72" name="TextBox 2095">
          <a:extLst>
            <a:ext uri="{FF2B5EF4-FFF2-40B4-BE49-F238E27FC236}">
              <a16:creationId xmlns:a16="http://schemas.microsoft.com/office/drawing/2014/main" id="{7765D8A2-83D9-46DB-BDD8-9D685A360FC1}"/>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99</xdr:row>
      <xdr:rowOff>0</xdr:rowOff>
    </xdr:from>
    <xdr:ext cx="878878" cy="311803"/>
    <xdr:sp macro="" textlink="">
      <xdr:nvSpPr>
        <xdr:cNvPr id="73" name="TextBox 2096">
          <a:extLst>
            <a:ext uri="{FF2B5EF4-FFF2-40B4-BE49-F238E27FC236}">
              <a16:creationId xmlns:a16="http://schemas.microsoft.com/office/drawing/2014/main" id="{A0568ACB-771A-4CA4-8F0F-634EEF58EFE1}"/>
            </a:ext>
          </a:extLst>
        </xdr:cNvPr>
        <xdr:cNvSpPr txBox="1"/>
      </xdr:nvSpPr>
      <xdr:spPr>
        <a:xfrm>
          <a:off x="4151630" y="2847340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4</xdr:col>
      <xdr:colOff>40971</xdr:colOff>
      <xdr:row>32</xdr:row>
      <xdr:rowOff>0</xdr:rowOff>
    </xdr:from>
    <xdr:ext cx="184731" cy="274009"/>
    <xdr:sp macro="" textlink="">
      <xdr:nvSpPr>
        <xdr:cNvPr id="74" name="TextBox 4">
          <a:extLst>
            <a:ext uri="{FF2B5EF4-FFF2-40B4-BE49-F238E27FC236}">
              <a16:creationId xmlns:a16="http://schemas.microsoft.com/office/drawing/2014/main" id="{CEDCFF18-7037-4F07-A599-CD5263958B71}"/>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75" name="TextBox 5">
          <a:extLst>
            <a:ext uri="{FF2B5EF4-FFF2-40B4-BE49-F238E27FC236}">
              <a16:creationId xmlns:a16="http://schemas.microsoft.com/office/drawing/2014/main" id="{C8306606-0ED3-4666-8858-56161311BAFA}"/>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76" name="TextBox 6">
          <a:extLst>
            <a:ext uri="{FF2B5EF4-FFF2-40B4-BE49-F238E27FC236}">
              <a16:creationId xmlns:a16="http://schemas.microsoft.com/office/drawing/2014/main" id="{3A3D7CA3-4DCB-4835-9B10-70D06818E676}"/>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77" name="TextBox 76">
          <a:extLst>
            <a:ext uri="{FF2B5EF4-FFF2-40B4-BE49-F238E27FC236}">
              <a16:creationId xmlns:a16="http://schemas.microsoft.com/office/drawing/2014/main" id="{7CB32834-11B7-4E7E-9805-589BEC09C3C5}"/>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78" name="TextBox 77">
          <a:extLst>
            <a:ext uri="{FF2B5EF4-FFF2-40B4-BE49-F238E27FC236}">
              <a16:creationId xmlns:a16="http://schemas.microsoft.com/office/drawing/2014/main" id="{C7796B54-5FC6-41AB-B885-DE074A21BA52}"/>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79" name="TextBox 78">
          <a:extLst>
            <a:ext uri="{FF2B5EF4-FFF2-40B4-BE49-F238E27FC236}">
              <a16:creationId xmlns:a16="http://schemas.microsoft.com/office/drawing/2014/main" id="{B4AC353E-3175-4A5D-98F7-59744ED26FFA}"/>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80" name="TextBox 4">
          <a:extLst>
            <a:ext uri="{FF2B5EF4-FFF2-40B4-BE49-F238E27FC236}">
              <a16:creationId xmlns:a16="http://schemas.microsoft.com/office/drawing/2014/main" id="{CB26C9E1-BED6-4279-839C-53AEE9DC6E02}"/>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81" name="TextBox 5">
          <a:extLst>
            <a:ext uri="{FF2B5EF4-FFF2-40B4-BE49-F238E27FC236}">
              <a16:creationId xmlns:a16="http://schemas.microsoft.com/office/drawing/2014/main" id="{33688A23-56D7-4C70-A104-A8C552FD2C80}"/>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82" name="TextBox 6">
          <a:extLst>
            <a:ext uri="{FF2B5EF4-FFF2-40B4-BE49-F238E27FC236}">
              <a16:creationId xmlns:a16="http://schemas.microsoft.com/office/drawing/2014/main" id="{D5E3EB42-B334-4975-A4D6-1E484224F552}"/>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3" name="TextBox 4">
          <a:extLst>
            <a:ext uri="{FF2B5EF4-FFF2-40B4-BE49-F238E27FC236}">
              <a16:creationId xmlns:a16="http://schemas.microsoft.com/office/drawing/2014/main" id="{EED8B8F8-C7B8-412B-BBFF-E514C6C2EB06}"/>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4" name="TextBox 5">
          <a:extLst>
            <a:ext uri="{FF2B5EF4-FFF2-40B4-BE49-F238E27FC236}">
              <a16:creationId xmlns:a16="http://schemas.microsoft.com/office/drawing/2014/main" id="{AFFE9505-E02A-4326-8DC8-5BC87C0DB76A}"/>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5" name="TextBox 6">
          <a:extLst>
            <a:ext uri="{FF2B5EF4-FFF2-40B4-BE49-F238E27FC236}">
              <a16:creationId xmlns:a16="http://schemas.microsoft.com/office/drawing/2014/main" id="{083652FF-9F9E-4219-9001-CDDE2921D104}"/>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6" name="TextBox 4">
          <a:extLst>
            <a:ext uri="{FF2B5EF4-FFF2-40B4-BE49-F238E27FC236}">
              <a16:creationId xmlns:a16="http://schemas.microsoft.com/office/drawing/2014/main" id="{18A62A85-8B41-4445-BDC7-B1C0012F1770}"/>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7" name="TextBox 5">
          <a:extLst>
            <a:ext uri="{FF2B5EF4-FFF2-40B4-BE49-F238E27FC236}">
              <a16:creationId xmlns:a16="http://schemas.microsoft.com/office/drawing/2014/main" id="{E931D6E2-A0B4-4C91-8977-9B91187734D3}"/>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8" name="TextBox 6">
          <a:extLst>
            <a:ext uri="{FF2B5EF4-FFF2-40B4-BE49-F238E27FC236}">
              <a16:creationId xmlns:a16="http://schemas.microsoft.com/office/drawing/2014/main" id="{27143E45-7001-4103-A3D9-622924C5C510}"/>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89" name="TextBox 4">
          <a:extLst>
            <a:ext uri="{FF2B5EF4-FFF2-40B4-BE49-F238E27FC236}">
              <a16:creationId xmlns:a16="http://schemas.microsoft.com/office/drawing/2014/main" id="{81D6E967-2E0E-427B-8AB0-504A8A3DD9B3}"/>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90" name="TextBox 5">
          <a:extLst>
            <a:ext uri="{FF2B5EF4-FFF2-40B4-BE49-F238E27FC236}">
              <a16:creationId xmlns:a16="http://schemas.microsoft.com/office/drawing/2014/main" id="{25B7AD2F-6F34-4E92-9AD4-AEA3EF61BF9F}"/>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38</xdr:row>
      <xdr:rowOff>0</xdr:rowOff>
    </xdr:from>
    <xdr:ext cx="184731" cy="274009"/>
    <xdr:sp macro="" textlink="">
      <xdr:nvSpPr>
        <xdr:cNvPr id="91" name="TextBox 6">
          <a:extLst>
            <a:ext uri="{FF2B5EF4-FFF2-40B4-BE49-F238E27FC236}">
              <a16:creationId xmlns:a16="http://schemas.microsoft.com/office/drawing/2014/main" id="{1E44549E-2A7E-474E-BF1B-C16438B239AC}"/>
            </a:ext>
          </a:extLst>
        </xdr:cNvPr>
        <xdr:cNvSpPr txBox="1"/>
      </xdr:nvSpPr>
      <xdr:spPr>
        <a:xfrm>
          <a:off x="4441521" y="131953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41</xdr:row>
      <xdr:rowOff>0</xdr:rowOff>
    </xdr:from>
    <xdr:ext cx="184731" cy="274359"/>
    <xdr:sp macro="" textlink="">
      <xdr:nvSpPr>
        <xdr:cNvPr id="92" name="TextBox 4">
          <a:extLst>
            <a:ext uri="{FF2B5EF4-FFF2-40B4-BE49-F238E27FC236}">
              <a16:creationId xmlns:a16="http://schemas.microsoft.com/office/drawing/2014/main" id="{2559624E-D7FE-4C4B-BFF5-70D4A73C61E5}"/>
            </a:ext>
          </a:extLst>
        </xdr:cNvPr>
        <xdr:cNvSpPr txBox="1"/>
      </xdr:nvSpPr>
      <xdr:spPr>
        <a:xfrm>
          <a:off x="4441521" y="136842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41</xdr:row>
      <xdr:rowOff>0</xdr:rowOff>
    </xdr:from>
    <xdr:ext cx="184731" cy="274359"/>
    <xdr:sp macro="" textlink="">
      <xdr:nvSpPr>
        <xdr:cNvPr id="93" name="TextBox 5">
          <a:extLst>
            <a:ext uri="{FF2B5EF4-FFF2-40B4-BE49-F238E27FC236}">
              <a16:creationId xmlns:a16="http://schemas.microsoft.com/office/drawing/2014/main" id="{4DC0E453-8739-468B-9A83-F2DB88E7D92D}"/>
            </a:ext>
          </a:extLst>
        </xdr:cNvPr>
        <xdr:cNvSpPr txBox="1"/>
      </xdr:nvSpPr>
      <xdr:spPr>
        <a:xfrm>
          <a:off x="4441521" y="136842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41</xdr:row>
      <xdr:rowOff>0</xdr:rowOff>
    </xdr:from>
    <xdr:ext cx="184731" cy="274359"/>
    <xdr:sp macro="" textlink="">
      <xdr:nvSpPr>
        <xdr:cNvPr id="94" name="TextBox 6">
          <a:extLst>
            <a:ext uri="{FF2B5EF4-FFF2-40B4-BE49-F238E27FC236}">
              <a16:creationId xmlns:a16="http://schemas.microsoft.com/office/drawing/2014/main" id="{50A497B7-A667-429D-AF93-6CB9DCFC38C9}"/>
            </a:ext>
          </a:extLst>
        </xdr:cNvPr>
        <xdr:cNvSpPr txBox="1"/>
      </xdr:nvSpPr>
      <xdr:spPr>
        <a:xfrm>
          <a:off x="4441521" y="136842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95" name="TextBox 4">
          <a:extLst>
            <a:ext uri="{FF2B5EF4-FFF2-40B4-BE49-F238E27FC236}">
              <a16:creationId xmlns:a16="http://schemas.microsoft.com/office/drawing/2014/main" id="{7F847D75-245A-420C-B43B-0B3726E4E49F}"/>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96" name="TextBox 5">
          <a:extLst>
            <a:ext uri="{FF2B5EF4-FFF2-40B4-BE49-F238E27FC236}">
              <a16:creationId xmlns:a16="http://schemas.microsoft.com/office/drawing/2014/main" id="{B0637464-56FF-4C33-B728-EAA4AD54D5C7}"/>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97" name="TextBox 6">
          <a:extLst>
            <a:ext uri="{FF2B5EF4-FFF2-40B4-BE49-F238E27FC236}">
              <a16:creationId xmlns:a16="http://schemas.microsoft.com/office/drawing/2014/main" id="{52634848-8227-4D5D-9057-C5F8D1B9BD30}"/>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98" name="TextBox 4">
          <a:extLst>
            <a:ext uri="{FF2B5EF4-FFF2-40B4-BE49-F238E27FC236}">
              <a16:creationId xmlns:a16="http://schemas.microsoft.com/office/drawing/2014/main" id="{32758E4F-CC66-4C2E-A51E-CDC2ECA05423}"/>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99" name="TextBox 5">
          <a:extLst>
            <a:ext uri="{FF2B5EF4-FFF2-40B4-BE49-F238E27FC236}">
              <a16:creationId xmlns:a16="http://schemas.microsoft.com/office/drawing/2014/main" id="{65A711C7-3A47-4E18-B864-BD24FF4EC07A}"/>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32</xdr:row>
      <xdr:rowOff>0</xdr:rowOff>
    </xdr:from>
    <xdr:ext cx="184731" cy="274009"/>
    <xdr:sp macro="" textlink="">
      <xdr:nvSpPr>
        <xdr:cNvPr id="100" name="TextBox 6">
          <a:extLst>
            <a:ext uri="{FF2B5EF4-FFF2-40B4-BE49-F238E27FC236}">
              <a16:creationId xmlns:a16="http://schemas.microsoft.com/office/drawing/2014/main" id="{542DEB3A-556E-4B6A-B93F-A4F0A80B414D}"/>
            </a:ext>
          </a:extLst>
        </xdr:cNvPr>
        <xdr:cNvSpPr txBox="1"/>
      </xdr:nvSpPr>
      <xdr:spPr>
        <a:xfrm>
          <a:off x="4441521" y="10617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1" name="TextBox 4">
          <a:extLst>
            <a:ext uri="{FF2B5EF4-FFF2-40B4-BE49-F238E27FC236}">
              <a16:creationId xmlns:a16="http://schemas.microsoft.com/office/drawing/2014/main" id="{C81A04D1-51C6-4BD0-A85B-95A746B059E1}"/>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2" name="TextBox 5">
          <a:extLst>
            <a:ext uri="{FF2B5EF4-FFF2-40B4-BE49-F238E27FC236}">
              <a16:creationId xmlns:a16="http://schemas.microsoft.com/office/drawing/2014/main" id="{747DA1D3-82DB-4DED-A12C-B5B29BF16118}"/>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3" name="TextBox 6">
          <a:extLst>
            <a:ext uri="{FF2B5EF4-FFF2-40B4-BE49-F238E27FC236}">
              <a16:creationId xmlns:a16="http://schemas.microsoft.com/office/drawing/2014/main" id="{67B40C5B-2759-4462-A9C4-FF4DEB3E89F2}"/>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4" name="TextBox 4">
          <a:extLst>
            <a:ext uri="{FF2B5EF4-FFF2-40B4-BE49-F238E27FC236}">
              <a16:creationId xmlns:a16="http://schemas.microsoft.com/office/drawing/2014/main" id="{8DB85467-1C44-419B-8C93-EDC7F83DC603}"/>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5" name="TextBox 5">
          <a:extLst>
            <a:ext uri="{FF2B5EF4-FFF2-40B4-BE49-F238E27FC236}">
              <a16:creationId xmlns:a16="http://schemas.microsoft.com/office/drawing/2014/main" id="{6134C729-ACE1-4347-8C09-2BDE92A8689E}"/>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6" name="TextBox 6">
          <a:extLst>
            <a:ext uri="{FF2B5EF4-FFF2-40B4-BE49-F238E27FC236}">
              <a16:creationId xmlns:a16="http://schemas.microsoft.com/office/drawing/2014/main" id="{9776CDD2-0B7F-48C6-8A42-6538DC55147E}"/>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7" name="TextBox 4">
          <a:extLst>
            <a:ext uri="{FF2B5EF4-FFF2-40B4-BE49-F238E27FC236}">
              <a16:creationId xmlns:a16="http://schemas.microsoft.com/office/drawing/2014/main" id="{3BDEED3E-9E3C-4D3F-B6F6-CCD7AA8FF5BC}"/>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8" name="TextBox 5">
          <a:extLst>
            <a:ext uri="{FF2B5EF4-FFF2-40B4-BE49-F238E27FC236}">
              <a16:creationId xmlns:a16="http://schemas.microsoft.com/office/drawing/2014/main" id="{7F0A7F3B-1E77-44C0-95DA-690EBD9DE8E1}"/>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61</xdr:row>
      <xdr:rowOff>0</xdr:rowOff>
    </xdr:from>
    <xdr:ext cx="184731" cy="264560"/>
    <xdr:sp macro="" textlink="">
      <xdr:nvSpPr>
        <xdr:cNvPr id="109" name="TextBox 6">
          <a:extLst>
            <a:ext uri="{FF2B5EF4-FFF2-40B4-BE49-F238E27FC236}">
              <a16:creationId xmlns:a16="http://schemas.microsoft.com/office/drawing/2014/main" id="{2DEBBCB2-22FF-4B35-BFE1-B0E805D01A18}"/>
            </a:ext>
          </a:extLst>
        </xdr:cNvPr>
        <xdr:cNvSpPr txBox="1"/>
      </xdr:nvSpPr>
      <xdr:spPr>
        <a:xfrm>
          <a:off x="4441521" y="18751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0" name="TextBox 4">
          <a:extLst>
            <a:ext uri="{FF2B5EF4-FFF2-40B4-BE49-F238E27FC236}">
              <a16:creationId xmlns:a16="http://schemas.microsoft.com/office/drawing/2014/main" id="{0B4CA5AE-B60F-4EDA-91BE-642A1ECD605B}"/>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1" name="TextBox 5">
          <a:extLst>
            <a:ext uri="{FF2B5EF4-FFF2-40B4-BE49-F238E27FC236}">
              <a16:creationId xmlns:a16="http://schemas.microsoft.com/office/drawing/2014/main" id="{909C9C50-B1D6-4A15-8951-7492058AE1FA}"/>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2" name="TextBox 6">
          <a:extLst>
            <a:ext uri="{FF2B5EF4-FFF2-40B4-BE49-F238E27FC236}">
              <a16:creationId xmlns:a16="http://schemas.microsoft.com/office/drawing/2014/main" id="{D0BCD90D-291D-43B0-B064-0B19425C934D}"/>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3" name="TextBox 4">
          <a:extLst>
            <a:ext uri="{FF2B5EF4-FFF2-40B4-BE49-F238E27FC236}">
              <a16:creationId xmlns:a16="http://schemas.microsoft.com/office/drawing/2014/main" id="{AD4F831E-FAC2-4C86-B79B-8BD5D179ACE7}"/>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4" name="TextBox 5">
          <a:extLst>
            <a:ext uri="{FF2B5EF4-FFF2-40B4-BE49-F238E27FC236}">
              <a16:creationId xmlns:a16="http://schemas.microsoft.com/office/drawing/2014/main" id="{2FC3768A-1165-44EE-8FC7-EE89B4A1EB64}"/>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5" name="TextBox 6">
          <a:extLst>
            <a:ext uri="{FF2B5EF4-FFF2-40B4-BE49-F238E27FC236}">
              <a16:creationId xmlns:a16="http://schemas.microsoft.com/office/drawing/2014/main" id="{E926FFE4-AA7A-42BC-A79F-BA5B249CD6AB}"/>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6" name="TextBox 4">
          <a:extLst>
            <a:ext uri="{FF2B5EF4-FFF2-40B4-BE49-F238E27FC236}">
              <a16:creationId xmlns:a16="http://schemas.microsoft.com/office/drawing/2014/main" id="{68802E92-9822-46A6-BFF5-57AA47C46FCD}"/>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7" name="TextBox 5">
          <a:extLst>
            <a:ext uri="{FF2B5EF4-FFF2-40B4-BE49-F238E27FC236}">
              <a16:creationId xmlns:a16="http://schemas.microsoft.com/office/drawing/2014/main" id="{5BD70505-43A1-4027-8A61-6184186059FE}"/>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42</xdr:row>
      <xdr:rowOff>0</xdr:rowOff>
    </xdr:from>
    <xdr:ext cx="184731" cy="264560"/>
    <xdr:sp macro="" textlink="">
      <xdr:nvSpPr>
        <xdr:cNvPr id="118" name="TextBox 6">
          <a:extLst>
            <a:ext uri="{FF2B5EF4-FFF2-40B4-BE49-F238E27FC236}">
              <a16:creationId xmlns:a16="http://schemas.microsoft.com/office/drawing/2014/main" id="{F98BF8B0-6A43-486C-80C4-0F04E74D16B9}"/>
            </a:ext>
          </a:extLst>
        </xdr:cNvPr>
        <xdr:cNvSpPr txBox="1"/>
      </xdr:nvSpPr>
      <xdr:spPr>
        <a:xfrm>
          <a:off x="4441521" y="14014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45</xdr:row>
      <xdr:rowOff>0</xdr:rowOff>
    </xdr:from>
    <xdr:ext cx="184731" cy="274009"/>
    <xdr:sp macro="" textlink="">
      <xdr:nvSpPr>
        <xdr:cNvPr id="119" name="TextBox 4">
          <a:extLst>
            <a:ext uri="{FF2B5EF4-FFF2-40B4-BE49-F238E27FC236}">
              <a16:creationId xmlns:a16="http://schemas.microsoft.com/office/drawing/2014/main" id="{C4F327B5-99DE-4803-8085-97A12DF52476}"/>
            </a:ext>
          </a:extLst>
        </xdr:cNvPr>
        <xdr:cNvSpPr txBox="1"/>
      </xdr:nvSpPr>
      <xdr:spPr>
        <a:xfrm>
          <a:off x="4441521" y="145097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45</xdr:row>
      <xdr:rowOff>0</xdr:rowOff>
    </xdr:from>
    <xdr:ext cx="184731" cy="274009"/>
    <xdr:sp macro="" textlink="">
      <xdr:nvSpPr>
        <xdr:cNvPr id="120" name="TextBox 5">
          <a:extLst>
            <a:ext uri="{FF2B5EF4-FFF2-40B4-BE49-F238E27FC236}">
              <a16:creationId xmlns:a16="http://schemas.microsoft.com/office/drawing/2014/main" id="{8047186E-04A0-4D5C-A0C1-16DD7E1B14E4}"/>
            </a:ext>
          </a:extLst>
        </xdr:cNvPr>
        <xdr:cNvSpPr txBox="1"/>
      </xdr:nvSpPr>
      <xdr:spPr>
        <a:xfrm>
          <a:off x="4441521" y="145097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45</xdr:row>
      <xdr:rowOff>0</xdr:rowOff>
    </xdr:from>
    <xdr:ext cx="184731" cy="274009"/>
    <xdr:sp macro="" textlink="">
      <xdr:nvSpPr>
        <xdr:cNvPr id="121" name="TextBox 6">
          <a:extLst>
            <a:ext uri="{FF2B5EF4-FFF2-40B4-BE49-F238E27FC236}">
              <a16:creationId xmlns:a16="http://schemas.microsoft.com/office/drawing/2014/main" id="{765D5AE9-9EA9-49C4-858C-7DCFF8080E71}"/>
            </a:ext>
          </a:extLst>
        </xdr:cNvPr>
        <xdr:cNvSpPr txBox="1"/>
      </xdr:nvSpPr>
      <xdr:spPr>
        <a:xfrm>
          <a:off x="4441521" y="145097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2" name="TextBox 4">
          <a:extLst>
            <a:ext uri="{FF2B5EF4-FFF2-40B4-BE49-F238E27FC236}">
              <a16:creationId xmlns:a16="http://schemas.microsoft.com/office/drawing/2014/main" id="{8C91BD1A-AADA-4939-8F5A-B1D64CA29E04}"/>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3" name="TextBox 5">
          <a:extLst>
            <a:ext uri="{FF2B5EF4-FFF2-40B4-BE49-F238E27FC236}">
              <a16:creationId xmlns:a16="http://schemas.microsoft.com/office/drawing/2014/main" id="{D6220AAE-1C66-48D7-9E07-E95A56A193A0}"/>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4" name="TextBox 6">
          <a:extLst>
            <a:ext uri="{FF2B5EF4-FFF2-40B4-BE49-F238E27FC236}">
              <a16:creationId xmlns:a16="http://schemas.microsoft.com/office/drawing/2014/main" id="{849FF7B5-ABE1-46A2-9AA2-1D95CCBE64A8}"/>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5" name="TextBox 124">
          <a:extLst>
            <a:ext uri="{FF2B5EF4-FFF2-40B4-BE49-F238E27FC236}">
              <a16:creationId xmlns:a16="http://schemas.microsoft.com/office/drawing/2014/main" id="{E18945D9-9D96-4967-9CF3-00DE564E8E58}"/>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6" name="TextBox 125">
          <a:extLst>
            <a:ext uri="{FF2B5EF4-FFF2-40B4-BE49-F238E27FC236}">
              <a16:creationId xmlns:a16="http://schemas.microsoft.com/office/drawing/2014/main" id="{050DF0D9-A071-47F6-B665-87E652C7A2F7}"/>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7" name="TextBox 126">
          <a:extLst>
            <a:ext uri="{FF2B5EF4-FFF2-40B4-BE49-F238E27FC236}">
              <a16:creationId xmlns:a16="http://schemas.microsoft.com/office/drawing/2014/main" id="{CD73C08A-C88E-4844-BA45-25642D1716A8}"/>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8" name="TextBox 4">
          <a:extLst>
            <a:ext uri="{FF2B5EF4-FFF2-40B4-BE49-F238E27FC236}">
              <a16:creationId xmlns:a16="http://schemas.microsoft.com/office/drawing/2014/main" id="{5A4E0B6B-9374-4761-8F4D-C20A1C601EA1}"/>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29" name="TextBox 5">
          <a:extLst>
            <a:ext uri="{FF2B5EF4-FFF2-40B4-BE49-F238E27FC236}">
              <a16:creationId xmlns:a16="http://schemas.microsoft.com/office/drawing/2014/main" id="{A3712CD4-82B4-4008-9505-EFCD2F928B93}"/>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0" name="TextBox 6">
          <a:extLst>
            <a:ext uri="{FF2B5EF4-FFF2-40B4-BE49-F238E27FC236}">
              <a16:creationId xmlns:a16="http://schemas.microsoft.com/office/drawing/2014/main" id="{DC70CCE6-9AD0-4515-B971-EF96B0F7B72F}"/>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1" name="TextBox 4">
          <a:extLst>
            <a:ext uri="{FF2B5EF4-FFF2-40B4-BE49-F238E27FC236}">
              <a16:creationId xmlns:a16="http://schemas.microsoft.com/office/drawing/2014/main" id="{BC2F6FAE-4B31-4530-9058-1E7D43A2CDE3}"/>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2" name="TextBox 5">
          <a:extLst>
            <a:ext uri="{FF2B5EF4-FFF2-40B4-BE49-F238E27FC236}">
              <a16:creationId xmlns:a16="http://schemas.microsoft.com/office/drawing/2014/main" id="{C7E00042-CC09-4DF3-9DC1-1E3B8E94297C}"/>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3" name="TextBox 6">
          <a:extLst>
            <a:ext uri="{FF2B5EF4-FFF2-40B4-BE49-F238E27FC236}">
              <a16:creationId xmlns:a16="http://schemas.microsoft.com/office/drawing/2014/main" id="{65C8D3FB-C159-4A4A-934D-24E77B16E1DB}"/>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4" name="TextBox 4">
          <a:extLst>
            <a:ext uri="{FF2B5EF4-FFF2-40B4-BE49-F238E27FC236}">
              <a16:creationId xmlns:a16="http://schemas.microsoft.com/office/drawing/2014/main" id="{94441C33-5A01-41B6-9763-87A17B9B4729}"/>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5" name="TextBox 5">
          <a:extLst>
            <a:ext uri="{FF2B5EF4-FFF2-40B4-BE49-F238E27FC236}">
              <a16:creationId xmlns:a16="http://schemas.microsoft.com/office/drawing/2014/main" id="{E7C8C5EC-8D46-41B7-83C6-777B674C1495}"/>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6" name="TextBox 6">
          <a:extLst>
            <a:ext uri="{FF2B5EF4-FFF2-40B4-BE49-F238E27FC236}">
              <a16:creationId xmlns:a16="http://schemas.microsoft.com/office/drawing/2014/main" id="{C4ABC39A-637A-4569-A188-57188596791D}"/>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7" name="TextBox 4">
          <a:extLst>
            <a:ext uri="{FF2B5EF4-FFF2-40B4-BE49-F238E27FC236}">
              <a16:creationId xmlns:a16="http://schemas.microsoft.com/office/drawing/2014/main" id="{DE524D2F-95C5-430E-AA75-6D6A435820DD}"/>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8" name="TextBox 5">
          <a:extLst>
            <a:ext uri="{FF2B5EF4-FFF2-40B4-BE49-F238E27FC236}">
              <a16:creationId xmlns:a16="http://schemas.microsoft.com/office/drawing/2014/main" id="{3BE28A82-8455-4241-9B58-08E4B4764CE3}"/>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39" name="TextBox 6">
          <a:extLst>
            <a:ext uri="{FF2B5EF4-FFF2-40B4-BE49-F238E27FC236}">
              <a16:creationId xmlns:a16="http://schemas.microsoft.com/office/drawing/2014/main" id="{C86A0E76-91A8-446B-9857-C384240412A0}"/>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359"/>
    <xdr:sp macro="" textlink="">
      <xdr:nvSpPr>
        <xdr:cNvPr id="140" name="TextBox 4">
          <a:extLst>
            <a:ext uri="{FF2B5EF4-FFF2-40B4-BE49-F238E27FC236}">
              <a16:creationId xmlns:a16="http://schemas.microsoft.com/office/drawing/2014/main" id="{910F797F-0D63-45CB-B5A1-926F93DF41A3}"/>
            </a:ext>
          </a:extLst>
        </xdr:cNvPr>
        <xdr:cNvSpPr txBox="1"/>
      </xdr:nvSpPr>
      <xdr:spPr>
        <a:xfrm>
          <a:off x="4441521" y="242125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359"/>
    <xdr:sp macro="" textlink="">
      <xdr:nvSpPr>
        <xdr:cNvPr id="141" name="TextBox 5">
          <a:extLst>
            <a:ext uri="{FF2B5EF4-FFF2-40B4-BE49-F238E27FC236}">
              <a16:creationId xmlns:a16="http://schemas.microsoft.com/office/drawing/2014/main" id="{5F489901-A0A4-49D7-94A3-2F580DFBAAD0}"/>
            </a:ext>
          </a:extLst>
        </xdr:cNvPr>
        <xdr:cNvSpPr txBox="1"/>
      </xdr:nvSpPr>
      <xdr:spPr>
        <a:xfrm>
          <a:off x="4441521" y="242125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359"/>
    <xdr:sp macro="" textlink="">
      <xdr:nvSpPr>
        <xdr:cNvPr id="142" name="TextBox 6">
          <a:extLst>
            <a:ext uri="{FF2B5EF4-FFF2-40B4-BE49-F238E27FC236}">
              <a16:creationId xmlns:a16="http://schemas.microsoft.com/office/drawing/2014/main" id="{68D6E154-6397-48AB-8430-9BBA1F283961}"/>
            </a:ext>
          </a:extLst>
        </xdr:cNvPr>
        <xdr:cNvSpPr txBox="1"/>
      </xdr:nvSpPr>
      <xdr:spPr>
        <a:xfrm>
          <a:off x="4441521" y="242125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43" name="TextBox 4">
          <a:extLst>
            <a:ext uri="{FF2B5EF4-FFF2-40B4-BE49-F238E27FC236}">
              <a16:creationId xmlns:a16="http://schemas.microsoft.com/office/drawing/2014/main" id="{70AAF783-589A-4DB4-9710-218B6854DB74}"/>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44" name="TextBox 5">
          <a:extLst>
            <a:ext uri="{FF2B5EF4-FFF2-40B4-BE49-F238E27FC236}">
              <a16:creationId xmlns:a16="http://schemas.microsoft.com/office/drawing/2014/main" id="{F426EEF8-ED24-481C-8C92-B1A04B56727D}"/>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45" name="TextBox 6">
          <a:extLst>
            <a:ext uri="{FF2B5EF4-FFF2-40B4-BE49-F238E27FC236}">
              <a16:creationId xmlns:a16="http://schemas.microsoft.com/office/drawing/2014/main" id="{FA041D59-54D3-4432-A2C7-6E30B6374487}"/>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46" name="TextBox 4">
          <a:extLst>
            <a:ext uri="{FF2B5EF4-FFF2-40B4-BE49-F238E27FC236}">
              <a16:creationId xmlns:a16="http://schemas.microsoft.com/office/drawing/2014/main" id="{41E4EED3-0E69-47DA-B2BA-F27E3D19B8AA}"/>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47" name="TextBox 5">
          <a:extLst>
            <a:ext uri="{FF2B5EF4-FFF2-40B4-BE49-F238E27FC236}">
              <a16:creationId xmlns:a16="http://schemas.microsoft.com/office/drawing/2014/main" id="{5EE15760-8B26-46B9-8805-1B8232D466BF}"/>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48" name="TextBox 6">
          <a:extLst>
            <a:ext uri="{FF2B5EF4-FFF2-40B4-BE49-F238E27FC236}">
              <a16:creationId xmlns:a16="http://schemas.microsoft.com/office/drawing/2014/main" id="{41FCDD46-C2B1-4647-BE04-7DEEA4B4CFAB}"/>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49" name="TextBox 4">
          <a:extLst>
            <a:ext uri="{FF2B5EF4-FFF2-40B4-BE49-F238E27FC236}">
              <a16:creationId xmlns:a16="http://schemas.microsoft.com/office/drawing/2014/main" id="{F64F939E-2061-46AB-89C4-579800D7CA3A}"/>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0" name="TextBox 5">
          <a:extLst>
            <a:ext uri="{FF2B5EF4-FFF2-40B4-BE49-F238E27FC236}">
              <a16:creationId xmlns:a16="http://schemas.microsoft.com/office/drawing/2014/main" id="{7DF02FD7-D8F7-4803-8DC1-A8D08B2A9868}"/>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1" name="TextBox 6">
          <a:extLst>
            <a:ext uri="{FF2B5EF4-FFF2-40B4-BE49-F238E27FC236}">
              <a16:creationId xmlns:a16="http://schemas.microsoft.com/office/drawing/2014/main" id="{472D08D0-70CF-40F9-AC93-EDE70EFD6601}"/>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2" name="TextBox 4">
          <a:extLst>
            <a:ext uri="{FF2B5EF4-FFF2-40B4-BE49-F238E27FC236}">
              <a16:creationId xmlns:a16="http://schemas.microsoft.com/office/drawing/2014/main" id="{42DBD2D5-04BF-4006-B4DC-33D8C838C18E}"/>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3" name="TextBox 5">
          <a:extLst>
            <a:ext uri="{FF2B5EF4-FFF2-40B4-BE49-F238E27FC236}">
              <a16:creationId xmlns:a16="http://schemas.microsoft.com/office/drawing/2014/main" id="{C69B4019-3700-4D59-B8AC-D9FF187B6F93}"/>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4" name="TextBox 6">
          <a:extLst>
            <a:ext uri="{FF2B5EF4-FFF2-40B4-BE49-F238E27FC236}">
              <a16:creationId xmlns:a16="http://schemas.microsoft.com/office/drawing/2014/main" id="{4A68025B-A5C3-42D6-A837-F37798279946}"/>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5" name="TextBox 4">
          <a:extLst>
            <a:ext uri="{FF2B5EF4-FFF2-40B4-BE49-F238E27FC236}">
              <a16:creationId xmlns:a16="http://schemas.microsoft.com/office/drawing/2014/main" id="{AD610968-46DB-41B1-A10A-71FE68F5E398}"/>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6" name="TextBox 5">
          <a:extLst>
            <a:ext uri="{FF2B5EF4-FFF2-40B4-BE49-F238E27FC236}">
              <a16:creationId xmlns:a16="http://schemas.microsoft.com/office/drawing/2014/main" id="{A8F2D5EC-6FBA-44D1-805D-CCC8C4B614D1}"/>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7" name="TextBox 6">
          <a:extLst>
            <a:ext uri="{FF2B5EF4-FFF2-40B4-BE49-F238E27FC236}">
              <a16:creationId xmlns:a16="http://schemas.microsoft.com/office/drawing/2014/main" id="{B92EC3BF-BCEC-40BF-9DBE-80425FCF84EF}"/>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8" name="TextBox 4">
          <a:extLst>
            <a:ext uri="{FF2B5EF4-FFF2-40B4-BE49-F238E27FC236}">
              <a16:creationId xmlns:a16="http://schemas.microsoft.com/office/drawing/2014/main" id="{F81EAA47-B8FD-455A-B7F1-AB1B04BC3E74}"/>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59" name="TextBox 5">
          <a:extLst>
            <a:ext uri="{FF2B5EF4-FFF2-40B4-BE49-F238E27FC236}">
              <a16:creationId xmlns:a16="http://schemas.microsoft.com/office/drawing/2014/main" id="{6ABBC2F8-40F9-4F67-8960-10E14C4C9198}"/>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0" name="TextBox 6">
          <a:extLst>
            <a:ext uri="{FF2B5EF4-FFF2-40B4-BE49-F238E27FC236}">
              <a16:creationId xmlns:a16="http://schemas.microsoft.com/office/drawing/2014/main" id="{F785C572-EB98-4755-B0CE-FCAA4CF0BC82}"/>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1" name="TextBox 4">
          <a:extLst>
            <a:ext uri="{FF2B5EF4-FFF2-40B4-BE49-F238E27FC236}">
              <a16:creationId xmlns:a16="http://schemas.microsoft.com/office/drawing/2014/main" id="{9D3F72AB-3528-47A7-901E-E96038828701}"/>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2" name="TextBox 5">
          <a:extLst>
            <a:ext uri="{FF2B5EF4-FFF2-40B4-BE49-F238E27FC236}">
              <a16:creationId xmlns:a16="http://schemas.microsoft.com/office/drawing/2014/main" id="{1C077703-2764-402D-8FCE-06A449D33937}"/>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3" name="TextBox 6">
          <a:extLst>
            <a:ext uri="{FF2B5EF4-FFF2-40B4-BE49-F238E27FC236}">
              <a16:creationId xmlns:a16="http://schemas.microsoft.com/office/drawing/2014/main" id="{71F36B92-8FFB-43F2-B17D-7FF8C0A9BDA8}"/>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4" name="TextBox 4">
          <a:extLst>
            <a:ext uri="{FF2B5EF4-FFF2-40B4-BE49-F238E27FC236}">
              <a16:creationId xmlns:a16="http://schemas.microsoft.com/office/drawing/2014/main" id="{316939F6-AAA1-4469-96C2-2FAA170F6BD6}"/>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5" name="TextBox 5">
          <a:extLst>
            <a:ext uri="{FF2B5EF4-FFF2-40B4-BE49-F238E27FC236}">
              <a16:creationId xmlns:a16="http://schemas.microsoft.com/office/drawing/2014/main" id="{913C1062-FB53-4D05-B1C8-2ACDB7770422}"/>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64560"/>
    <xdr:sp macro="" textlink="">
      <xdr:nvSpPr>
        <xdr:cNvPr id="166" name="TextBox 6">
          <a:extLst>
            <a:ext uri="{FF2B5EF4-FFF2-40B4-BE49-F238E27FC236}">
              <a16:creationId xmlns:a16="http://schemas.microsoft.com/office/drawing/2014/main" id="{1A749D11-35C6-47F3-B0E5-DBD758F4A6D3}"/>
            </a:ext>
          </a:extLst>
        </xdr:cNvPr>
        <xdr:cNvSpPr txBox="1"/>
      </xdr:nvSpPr>
      <xdr:spPr>
        <a:xfrm>
          <a:off x="4441521" y="2421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67" name="TextBox 4">
          <a:extLst>
            <a:ext uri="{FF2B5EF4-FFF2-40B4-BE49-F238E27FC236}">
              <a16:creationId xmlns:a16="http://schemas.microsoft.com/office/drawing/2014/main" id="{906B93F9-C5EA-4E20-A9CC-E723DB8EC067}"/>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68" name="TextBox 5">
          <a:extLst>
            <a:ext uri="{FF2B5EF4-FFF2-40B4-BE49-F238E27FC236}">
              <a16:creationId xmlns:a16="http://schemas.microsoft.com/office/drawing/2014/main" id="{B03A5DC9-9E96-4D72-98BE-F8BAFA3F38F7}"/>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83</xdr:row>
      <xdr:rowOff>0</xdr:rowOff>
    </xdr:from>
    <xdr:ext cx="184731" cy="274009"/>
    <xdr:sp macro="" textlink="">
      <xdr:nvSpPr>
        <xdr:cNvPr id="169" name="TextBox 6">
          <a:extLst>
            <a:ext uri="{FF2B5EF4-FFF2-40B4-BE49-F238E27FC236}">
              <a16:creationId xmlns:a16="http://schemas.microsoft.com/office/drawing/2014/main" id="{47B943C2-C758-400C-865E-2CEC0EED4AD4}"/>
            </a:ext>
          </a:extLst>
        </xdr:cNvPr>
        <xdr:cNvSpPr txBox="1"/>
      </xdr:nvSpPr>
      <xdr:spPr>
        <a:xfrm>
          <a:off x="4441521" y="24212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twoCellAnchor>
    <xdr:from>
      <xdr:col>0</xdr:col>
      <xdr:colOff>0</xdr:colOff>
      <xdr:row>0</xdr:row>
      <xdr:rowOff>0</xdr:rowOff>
    </xdr:from>
    <xdr:to>
      <xdr:col>1</xdr:col>
      <xdr:colOff>295689</xdr:colOff>
      <xdr:row>0</xdr:row>
      <xdr:rowOff>161925</xdr:rowOff>
    </xdr:to>
    <xdr:pic>
      <xdr:nvPicPr>
        <xdr:cNvPr id="170" name="Picture 1574" descr="iC_ artprojekt-Logo-short-RGB">
          <a:extLst>
            <a:ext uri="{FF2B5EF4-FFF2-40B4-BE49-F238E27FC236}">
              <a16:creationId xmlns:a16="http://schemas.microsoft.com/office/drawing/2014/main" id="{6A339A14-23EC-4245-91BE-58AF3C76B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5589"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205740</xdr:colOff>
      <xdr:row>152</xdr:row>
      <xdr:rowOff>0</xdr:rowOff>
    </xdr:from>
    <xdr:ext cx="923978" cy="311803"/>
    <xdr:sp macro="" textlink="">
      <xdr:nvSpPr>
        <xdr:cNvPr id="171" name="TextBox 784">
          <a:extLst>
            <a:ext uri="{FF2B5EF4-FFF2-40B4-BE49-F238E27FC236}">
              <a16:creationId xmlns:a16="http://schemas.microsoft.com/office/drawing/2014/main" id="{210F55F1-BE7B-45E2-A0A2-28C229A7734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72" name="TextBox 785">
          <a:extLst>
            <a:ext uri="{FF2B5EF4-FFF2-40B4-BE49-F238E27FC236}">
              <a16:creationId xmlns:a16="http://schemas.microsoft.com/office/drawing/2014/main" id="{B498EF3D-5924-469A-82AC-9E999D1631D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73" name="TextBox 786">
          <a:extLst>
            <a:ext uri="{FF2B5EF4-FFF2-40B4-BE49-F238E27FC236}">
              <a16:creationId xmlns:a16="http://schemas.microsoft.com/office/drawing/2014/main" id="{DFF592CC-9690-4DD7-BC16-32ECED064F3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74" name="TextBox 787">
          <a:extLst>
            <a:ext uri="{FF2B5EF4-FFF2-40B4-BE49-F238E27FC236}">
              <a16:creationId xmlns:a16="http://schemas.microsoft.com/office/drawing/2014/main" id="{F02F0A98-005C-4384-9F53-5906FCAC1723}"/>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75" name="TextBox 788">
          <a:extLst>
            <a:ext uri="{FF2B5EF4-FFF2-40B4-BE49-F238E27FC236}">
              <a16:creationId xmlns:a16="http://schemas.microsoft.com/office/drawing/2014/main" id="{AD09115F-CAEB-4205-99EB-2C82A721292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76" name="TextBox 789">
          <a:extLst>
            <a:ext uri="{FF2B5EF4-FFF2-40B4-BE49-F238E27FC236}">
              <a16:creationId xmlns:a16="http://schemas.microsoft.com/office/drawing/2014/main" id="{8378CF20-B56A-4FED-8987-B53F5D153CA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77" name="TextBox 790">
          <a:extLst>
            <a:ext uri="{FF2B5EF4-FFF2-40B4-BE49-F238E27FC236}">
              <a16:creationId xmlns:a16="http://schemas.microsoft.com/office/drawing/2014/main" id="{672FB6DC-FE96-4D4F-A7AF-40ED2F5053AF}"/>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78" name="TextBox 791">
          <a:extLst>
            <a:ext uri="{FF2B5EF4-FFF2-40B4-BE49-F238E27FC236}">
              <a16:creationId xmlns:a16="http://schemas.microsoft.com/office/drawing/2014/main" id="{954EF9DF-CB60-4DB2-99BB-BE48F18CC8CC}"/>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79" name="TextBox 792">
          <a:extLst>
            <a:ext uri="{FF2B5EF4-FFF2-40B4-BE49-F238E27FC236}">
              <a16:creationId xmlns:a16="http://schemas.microsoft.com/office/drawing/2014/main" id="{C9167F58-F584-4D1A-8372-E9E3D060508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0" name="TextBox 2097">
          <a:extLst>
            <a:ext uri="{FF2B5EF4-FFF2-40B4-BE49-F238E27FC236}">
              <a16:creationId xmlns:a16="http://schemas.microsoft.com/office/drawing/2014/main" id="{5DD72DE1-0C44-4B6D-A4ED-658427269D3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1" name="TextBox 2098">
          <a:extLst>
            <a:ext uri="{FF2B5EF4-FFF2-40B4-BE49-F238E27FC236}">
              <a16:creationId xmlns:a16="http://schemas.microsoft.com/office/drawing/2014/main" id="{64467EF0-4541-4487-BF78-FC463726B04F}"/>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2" name="TextBox 2099">
          <a:extLst>
            <a:ext uri="{FF2B5EF4-FFF2-40B4-BE49-F238E27FC236}">
              <a16:creationId xmlns:a16="http://schemas.microsoft.com/office/drawing/2014/main" id="{69569C48-3301-45B8-9390-65096EBE391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3" name="TextBox 2100">
          <a:extLst>
            <a:ext uri="{FF2B5EF4-FFF2-40B4-BE49-F238E27FC236}">
              <a16:creationId xmlns:a16="http://schemas.microsoft.com/office/drawing/2014/main" id="{73BA7D83-4809-48AF-AB72-C29152D7CC8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4" name="TextBox 2101">
          <a:extLst>
            <a:ext uri="{FF2B5EF4-FFF2-40B4-BE49-F238E27FC236}">
              <a16:creationId xmlns:a16="http://schemas.microsoft.com/office/drawing/2014/main" id="{F5EEA669-E8EF-4945-8E2E-056CF557648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5" name="TextBox 2102">
          <a:extLst>
            <a:ext uri="{FF2B5EF4-FFF2-40B4-BE49-F238E27FC236}">
              <a16:creationId xmlns:a16="http://schemas.microsoft.com/office/drawing/2014/main" id="{3D3D0963-BBA1-43FA-9637-905FF655BDF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86" name="TextBox 2103">
          <a:extLst>
            <a:ext uri="{FF2B5EF4-FFF2-40B4-BE49-F238E27FC236}">
              <a16:creationId xmlns:a16="http://schemas.microsoft.com/office/drawing/2014/main" id="{376C2BA4-9656-4EA3-B21E-3E46A768CCE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87" name="TextBox 2104">
          <a:extLst>
            <a:ext uri="{FF2B5EF4-FFF2-40B4-BE49-F238E27FC236}">
              <a16:creationId xmlns:a16="http://schemas.microsoft.com/office/drawing/2014/main" id="{65D8C8F7-9A26-4CCE-81AA-6AB0EF88E4A5}"/>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88" name="TextBox 2105">
          <a:extLst>
            <a:ext uri="{FF2B5EF4-FFF2-40B4-BE49-F238E27FC236}">
              <a16:creationId xmlns:a16="http://schemas.microsoft.com/office/drawing/2014/main" id="{3D946F74-02B4-4A81-8DA6-B409D288EE8E}"/>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89" name="TextBox 783">
          <a:extLst>
            <a:ext uri="{FF2B5EF4-FFF2-40B4-BE49-F238E27FC236}">
              <a16:creationId xmlns:a16="http://schemas.microsoft.com/office/drawing/2014/main" id="{1FAE8881-7F22-4C34-BEAA-014EECF504D8}"/>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0" name="TextBox 784">
          <a:extLst>
            <a:ext uri="{FF2B5EF4-FFF2-40B4-BE49-F238E27FC236}">
              <a16:creationId xmlns:a16="http://schemas.microsoft.com/office/drawing/2014/main" id="{1085B2E1-47ED-4870-AA68-7182E3E62878}"/>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1" name="TextBox 785">
          <a:extLst>
            <a:ext uri="{FF2B5EF4-FFF2-40B4-BE49-F238E27FC236}">
              <a16:creationId xmlns:a16="http://schemas.microsoft.com/office/drawing/2014/main" id="{2644D620-9EFF-44F9-B808-F27A9A9BF57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2" name="TextBox 786">
          <a:extLst>
            <a:ext uri="{FF2B5EF4-FFF2-40B4-BE49-F238E27FC236}">
              <a16:creationId xmlns:a16="http://schemas.microsoft.com/office/drawing/2014/main" id="{702F4780-250D-4712-87D6-D256C16B65D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3" name="TextBox 787">
          <a:extLst>
            <a:ext uri="{FF2B5EF4-FFF2-40B4-BE49-F238E27FC236}">
              <a16:creationId xmlns:a16="http://schemas.microsoft.com/office/drawing/2014/main" id="{60646EF4-4A88-4563-A647-E3209891260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4" name="TextBox 788">
          <a:extLst>
            <a:ext uri="{FF2B5EF4-FFF2-40B4-BE49-F238E27FC236}">
              <a16:creationId xmlns:a16="http://schemas.microsoft.com/office/drawing/2014/main" id="{2B1F2500-484C-40FC-92A5-7636A5F787B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95" name="TextBox 789">
          <a:extLst>
            <a:ext uri="{FF2B5EF4-FFF2-40B4-BE49-F238E27FC236}">
              <a16:creationId xmlns:a16="http://schemas.microsoft.com/office/drawing/2014/main" id="{C55F09A9-857A-4DCD-837D-2574569F6F3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96" name="TextBox 790">
          <a:extLst>
            <a:ext uri="{FF2B5EF4-FFF2-40B4-BE49-F238E27FC236}">
              <a16:creationId xmlns:a16="http://schemas.microsoft.com/office/drawing/2014/main" id="{8A8A70BF-D469-496F-850F-1519B4091A6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197" name="TextBox 791">
          <a:extLst>
            <a:ext uri="{FF2B5EF4-FFF2-40B4-BE49-F238E27FC236}">
              <a16:creationId xmlns:a16="http://schemas.microsoft.com/office/drawing/2014/main" id="{498B4AC1-4465-4C08-A1E9-8706A0CE0138}"/>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8" name="TextBox 2088">
          <a:extLst>
            <a:ext uri="{FF2B5EF4-FFF2-40B4-BE49-F238E27FC236}">
              <a16:creationId xmlns:a16="http://schemas.microsoft.com/office/drawing/2014/main" id="{74F298D7-A016-48D2-B8A1-23BB909BE43F}"/>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199" name="TextBox 2089">
          <a:extLst>
            <a:ext uri="{FF2B5EF4-FFF2-40B4-BE49-F238E27FC236}">
              <a16:creationId xmlns:a16="http://schemas.microsoft.com/office/drawing/2014/main" id="{44FE3D98-721B-492E-B915-03F0F9417F1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0" name="TextBox 2090">
          <a:extLst>
            <a:ext uri="{FF2B5EF4-FFF2-40B4-BE49-F238E27FC236}">
              <a16:creationId xmlns:a16="http://schemas.microsoft.com/office/drawing/2014/main" id="{0071AA63-944E-49EB-B850-4925D7C0005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1" name="TextBox 2091">
          <a:extLst>
            <a:ext uri="{FF2B5EF4-FFF2-40B4-BE49-F238E27FC236}">
              <a16:creationId xmlns:a16="http://schemas.microsoft.com/office/drawing/2014/main" id="{835417DB-D684-4430-8119-58F36AD8B74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2" name="TextBox 2092">
          <a:extLst>
            <a:ext uri="{FF2B5EF4-FFF2-40B4-BE49-F238E27FC236}">
              <a16:creationId xmlns:a16="http://schemas.microsoft.com/office/drawing/2014/main" id="{F93CA814-F7C3-4807-839D-CA540308D1E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3" name="TextBox 2093">
          <a:extLst>
            <a:ext uri="{FF2B5EF4-FFF2-40B4-BE49-F238E27FC236}">
              <a16:creationId xmlns:a16="http://schemas.microsoft.com/office/drawing/2014/main" id="{A86631F5-81C0-4560-89EB-F0DA36830F23}"/>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04" name="TextBox 2094">
          <a:extLst>
            <a:ext uri="{FF2B5EF4-FFF2-40B4-BE49-F238E27FC236}">
              <a16:creationId xmlns:a16="http://schemas.microsoft.com/office/drawing/2014/main" id="{DF080F81-C904-43A0-81D6-CFADFBEAAB9E}"/>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05" name="TextBox 2095">
          <a:extLst>
            <a:ext uri="{FF2B5EF4-FFF2-40B4-BE49-F238E27FC236}">
              <a16:creationId xmlns:a16="http://schemas.microsoft.com/office/drawing/2014/main" id="{DE817788-7B55-4163-BA3D-BA49499E2FC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06" name="TextBox 2096">
          <a:extLst>
            <a:ext uri="{FF2B5EF4-FFF2-40B4-BE49-F238E27FC236}">
              <a16:creationId xmlns:a16="http://schemas.microsoft.com/office/drawing/2014/main" id="{FE324730-7C43-42B8-81F7-29693EF7C455}"/>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7" name="TextBox 784">
          <a:extLst>
            <a:ext uri="{FF2B5EF4-FFF2-40B4-BE49-F238E27FC236}">
              <a16:creationId xmlns:a16="http://schemas.microsoft.com/office/drawing/2014/main" id="{51DB54AC-8543-48C6-9BF1-3A5217D885F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8" name="TextBox 785">
          <a:extLst>
            <a:ext uri="{FF2B5EF4-FFF2-40B4-BE49-F238E27FC236}">
              <a16:creationId xmlns:a16="http://schemas.microsoft.com/office/drawing/2014/main" id="{17F958A2-6963-4AB7-B73E-491F8D2225DC}"/>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09" name="TextBox 786">
          <a:extLst>
            <a:ext uri="{FF2B5EF4-FFF2-40B4-BE49-F238E27FC236}">
              <a16:creationId xmlns:a16="http://schemas.microsoft.com/office/drawing/2014/main" id="{AF9CD97D-545A-421D-AE07-0527B75DBF2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0" name="TextBox 787">
          <a:extLst>
            <a:ext uri="{FF2B5EF4-FFF2-40B4-BE49-F238E27FC236}">
              <a16:creationId xmlns:a16="http://schemas.microsoft.com/office/drawing/2014/main" id="{D8892825-C95E-452D-87B5-B2E01E5FEDF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1" name="TextBox 788">
          <a:extLst>
            <a:ext uri="{FF2B5EF4-FFF2-40B4-BE49-F238E27FC236}">
              <a16:creationId xmlns:a16="http://schemas.microsoft.com/office/drawing/2014/main" id="{3C25868B-6C69-4686-9084-28AE786E9BD1}"/>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2" name="TextBox 789">
          <a:extLst>
            <a:ext uri="{FF2B5EF4-FFF2-40B4-BE49-F238E27FC236}">
              <a16:creationId xmlns:a16="http://schemas.microsoft.com/office/drawing/2014/main" id="{30A69EFD-F665-4949-BDD7-61D0661A7D5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13" name="TextBox 790">
          <a:extLst>
            <a:ext uri="{FF2B5EF4-FFF2-40B4-BE49-F238E27FC236}">
              <a16:creationId xmlns:a16="http://schemas.microsoft.com/office/drawing/2014/main" id="{B937DDD3-6510-41E6-9E97-526A3D3B20E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14" name="TextBox 791">
          <a:extLst>
            <a:ext uri="{FF2B5EF4-FFF2-40B4-BE49-F238E27FC236}">
              <a16:creationId xmlns:a16="http://schemas.microsoft.com/office/drawing/2014/main" id="{A3AB4106-8E47-46EB-B3AF-856C1EF62FC5}"/>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15" name="TextBox 792">
          <a:extLst>
            <a:ext uri="{FF2B5EF4-FFF2-40B4-BE49-F238E27FC236}">
              <a16:creationId xmlns:a16="http://schemas.microsoft.com/office/drawing/2014/main" id="{80D76BC8-C4EF-4111-83D1-583D3B855D4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6" name="TextBox 2097">
          <a:extLst>
            <a:ext uri="{FF2B5EF4-FFF2-40B4-BE49-F238E27FC236}">
              <a16:creationId xmlns:a16="http://schemas.microsoft.com/office/drawing/2014/main" id="{264FE6E1-A195-4F50-AE6B-884D9C0F7AD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7" name="TextBox 2098">
          <a:extLst>
            <a:ext uri="{FF2B5EF4-FFF2-40B4-BE49-F238E27FC236}">
              <a16:creationId xmlns:a16="http://schemas.microsoft.com/office/drawing/2014/main" id="{6EBF0BF3-411A-48E5-A09E-B65904E24B0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8" name="TextBox 2099">
          <a:extLst>
            <a:ext uri="{FF2B5EF4-FFF2-40B4-BE49-F238E27FC236}">
              <a16:creationId xmlns:a16="http://schemas.microsoft.com/office/drawing/2014/main" id="{A2311231-1585-4A76-83D1-25567FC7CDD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19" name="TextBox 2100">
          <a:extLst>
            <a:ext uri="{FF2B5EF4-FFF2-40B4-BE49-F238E27FC236}">
              <a16:creationId xmlns:a16="http://schemas.microsoft.com/office/drawing/2014/main" id="{15DB9459-FC45-4CED-B79B-6DB521B5480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0" name="TextBox 2101">
          <a:extLst>
            <a:ext uri="{FF2B5EF4-FFF2-40B4-BE49-F238E27FC236}">
              <a16:creationId xmlns:a16="http://schemas.microsoft.com/office/drawing/2014/main" id="{6F70C634-958B-43DA-B400-39BF46442FA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1" name="TextBox 2102">
          <a:extLst>
            <a:ext uri="{FF2B5EF4-FFF2-40B4-BE49-F238E27FC236}">
              <a16:creationId xmlns:a16="http://schemas.microsoft.com/office/drawing/2014/main" id="{DEC80FD6-A243-4CE1-8CBA-25864E23731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22" name="TextBox 2103">
          <a:extLst>
            <a:ext uri="{FF2B5EF4-FFF2-40B4-BE49-F238E27FC236}">
              <a16:creationId xmlns:a16="http://schemas.microsoft.com/office/drawing/2014/main" id="{35CCE957-4BAD-4889-B32C-A2F8D2E51934}"/>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23" name="TextBox 2104">
          <a:extLst>
            <a:ext uri="{FF2B5EF4-FFF2-40B4-BE49-F238E27FC236}">
              <a16:creationId xmlns:a16="http://schemas.microsoft.com/office/drawing/2014/main" id="{B5EDA752-3FBB-49BF-9A40-8F394DE3212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24" name="TextBox 2105">
          <a:extLst>
            <a:ext uri="{FF2B5EF4-FFF2-40B4-BE49-F238E27FC236}">
              <a16:creationId xmlns:a16="http://schemas.microsoft.com/office/drawing/2014/main" id="{C0FC19BD-BB6E-4813-B70D-8B0CFD20C630}"/>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5" name="TextBox 783">
          <a:extLst>
            <a:ext uri="{FF2B5EF4-FFF2-40B4-BE49-F238E27FC236}">
              <a16:creationId xmlns:a16="http://schemas.microsoft.com/office/drawing/2014/main" id="{B5634F17-EBBB-440E-BB20-606B021D67D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6" name="TextBox 784">
          <a:extLst>
            <a:ext uri="{FF2B5EF4-FFF2-40B4-BE49-F238E27FC236}">
              <a16:creationId xmlns:a16="http://schemas.microsoft.com/office/drawing/2014/main" id="{B6D736C9-38CE-4E54-8BE4-B79342957B3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7" name="TextBox 785">
          <a:extLst>
            <a:ext uri="{FF2B5EF4-FFF2-40B4-BE49-F238E27FC236}">
              <a16:creationId xmlns:a16="http://schemas.microsoft.com/office/drawing/2014/main" id="{BAB77C90-912C-4769-9647-97C5C4EF932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8" name="TextBox 786">
          <a:extLst>
            <a:ext uri="{FF2B5EF4-FFF2-40B4-BE49-F238E27FC236}">
              <a16:creationId xmlns:a16="http://schemas.microsoft.com/office/drawing/2014/main" id="{30FE2E08-4C6C-41F5-817B-2A07620E50F3}"/>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29" name="TextBox 787">
          <a:extLst>
            <a:ext uri="{FF2B5EF4-FFF2-40B4-BE49-F238E27FC236}">
              <a16:creationId xmlns:a16="http://schemas.microsoft.com/office/drawing/2014/main" id="{3C4A898E-9CA6-4F56-909C-3D980B7BFA1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0" name="TextBox 788">
          <a:extLst>
            <a:ext uri="{FF2B5EF4-FFF2-40B4-BE49-F238E27FC236}">
              <a16:creationId xmlns:a16="http://schemas.microsoft.com/office/drawing/2014/main" id="{F64945F8-0011-4125-900E-89FDA2DF7AD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31" name="TextBox 789">
          <a:extLst>
            <a:ext uri="{FF2B5EF4-FFF2-40B4-BE49-F238E27FC236}">
              <a16:creationId xmlns:a16="http://schemas.microsoft.com/office/drawing/2014/main" id="{C143508C-CDC7-4F17-A185-9D56BEAFDEC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32" name="TextBox 790">
          <a:extLst>
            <a:ext uri="{FF2B5EF4-FFF2-40B4-BE49-F238E27FC236}">
              <a16:creationId xmlns:a16="http://schemas.microsoft.com/office/drawing/2014/main" id="{89B6E6C7-21FF-4FA1-A9A9-8FEE97F25623}"/>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33" name="TextBox 791">
          <a:extLst>
            <a:ext uri="{FF2B5EF4-FFF2-40B4-BE49-F238E27FC236}">
              <a16:creationId xmlns:a16="http://schemas.microsoft.com/office/drawing/2014/main" id="{40536480-9DBC-42D1-8E61-645B4F9BBE8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4" name="TextBox 2088">
          <a:extLst>
            <a:ext uri="{FF2B5EF4-FFF2-40B4-BE49-F238E27FC236}">
              <a16:creationId xmlns:a16="http://schemas.microsoft.com/office/drawing/2014/main" id="{7ABC97EA-E130-4249-9818-57892626745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5" name="TextBox 2089">
          <a:extLst>
            <a:ext uri="{FF2B5EF4-FFF2-40B4-BE49-F238E27FC236}">
              <a16:creationId xmlns:a16="http://schemas.microsoft.com/office/drawing/2014/main" id="{8B248007-2F9D-4434-AF4E-DBA29062C601}"/>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6" name="TextBox 2090">
          <a:extLst>
            <a:ext uri="{FF2B5EF4-FFF2-40B4-BE49-F238E27FC236}">
              <a16:creationId xmlns:a16="http://schemas.microsoft.com/office/drawing/2014/main" id="{DE8D5D43-5663-4DC4-8A1D-2DB0933491E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7" name="TextBox 2091">
          <a:extLst>
            <a:ext uri="{FF2B5EF4-FFF2-40B4-BE49-F238E27FC236}">
              <a16:creationId xmlns:a16="http://schemas.microsoft.com/office/drawing/2014/main" id="{C43E9107-B314-4E86-A364-C706629EA9D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8" name="TextBox 2092">
          <a:extLst>
            <a:ext uri="{FF2B5EF4-FFF2-40B4-BE49-F238E27FC236}">
              <a16:creationId xmlns:a16="http://schemas.microsoft.com/office/drawing/2014/main" id="{18F7129A-C4AC-4498-9E90-C9687C5F181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239" name="TextBox 2093">
          <a:extLst>
            <a:ext uri="{FF2B5EF4-FFF2-40B4-BE49-F238E27FC236}">
              <a16:creationId xmlns:a16="http://schemas.microsoft.com/office/drawing/2014/main" id="{6FEF0184-8169-4336-A106-3830494AB3E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40" name="TextBox 2094">
          <a:extLst>
            <a:ext uri="{FF2B5EF4-FFF2-40B4-BE49-F238E27FC236}">
              <a16:creationId xmlns:a16="http://schemas.microsoft.com/office/drawing/2014/main" id="{B9701ACE-0D6F-4805-B6BC-F6385A3057D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41" name="TextBox 2095">
          <a:extLst>
            <a:ext uri="{FF2B5EF4-FFF2-40B4-BE49-F238E27FC236}">
              <a16:creationId xmlns:a16="http://schemas.microsoft.com/office/drawing/2014/main" id="{FDE0D14E-725C-4055-B614-599258D72DB6}"/>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242" name="TextBox 2096">
          <a:extLst>
            <a:ext uri="{FF2B5EF4-FFF2-40B4-BE49-F238E27FC236}">
              <a16:creationId xmlns:a16="http://schemas.microsoft.com/office/drawing/2014/main" id="{A8B7F942-CB4C-4BF0-B1E7-489001755CE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4</xdr:col>
      <xdr:colOff>40971</xdr:colOff>
      <xdr:row>152</xdr:row>
      <xdr:rowOff>0</xdr:rowOff>
    </xdr:from>
    <xdr:ext cx="184731" cy="274009"/>
    <xdr:sp macro="" textlink="">
      <xdr:nvSpPr>
        <xdr:cNvPr id="243" name="TextBox 4">
          <a:extLst>
            <a:ext uri="{FF2B5EF4-FFF2-40B4-BE49-F238E27FC236}">
              <a16:creationId xmlns:a16="http://schemas.microsoft.com/office/drawing/2014/main" id="{338EF7B7-E63E-4FA7-B757-1A63DD71C2AB}"/>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44" name="TextBox 5">
          <a:extLst>
            <a:ext uri="{FF2B5EF4-FFF2-40B4-BE49-F238E27FC236}">
              <a16:creationId xmlns:a16="http://schemas.microsoft.com/office/drawing/2014/main" id="{53FEB852-8A7B-49FD-8CE0-59E05416734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45" name="TextBox 6">
          <a:extLst>
            <a:ext uri="{FF2B5EF4-FFF2-40B4-BE49-F238E27FC236}">
              <a16:creationId xmlns:a16="http://schemas.microsoft.com/office/drawing/2014/main" id="{4B3E1D77-ED41-4736-96AA-F10155F49B8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46" name="TextBox 108">
          <a:extLst>
            <a:ext uri="{FF2B5EF4-FFF2-40B4-BE49-F238E27FC236}">
              <a16:creationId xmlns:a16="http://schemas.microsoft.com/office/drawing/2014/main" id="{CC8EE950-F0C6-4002-BB07-48621FF1250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47" name="TextBox 109">
          <a:extLst>
            <a:ext uri="{FF2B5EF4-FFF2-40B4-BE49-F238E27FC236}">
              <a16:creationId xmlns:a16="http://schemas.microsoft.com/office/drawing/2014/main" id="{86A8765B-0BEF-4CB4-A608-33E83FDA2B9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48" name="TextBox 110">
          <a:extLst>
            <a:ext uri="{FF2B5EF4-FFF2-40B4-BE49-F238E27FC236}">
              <a16:creationId xmlns:a16="http://schemas.microsoft.com/office/drawing/2014/main" id="{2D58CCC7-89EC-428F-ABDC-A182983B3DDD}"/>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49" name="TextBox 4">
          <a:extLst>
            <a:ext uri="{FF2B5EF4-FFF2-40B4-BE49-F238E27FC236}">
              <a16:creationId xmlns:a16="http://schemas.microsoft.com/office/drawing/2014/main" id="{3F92668C-576F-4244-901C-09485BE4D76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0" name="TextBox 5">
          <a:extLst>
            <a:ext uri="{FF2B5EF4-FFF2-40B4-BE49-F238E27FC236}">
              <a16:creationId xmlns:a16="http://schemas.microsoft.com/office/drawing/2014/main" id="{85089289-B70A-4A85-A9FC-FE6DFA14D256}"/>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1" name="TextBox 6">
          <a:extLst>
            <a:ext uri="{FF2B5EF4-FFF2-40B4-BE49-F238E27FC236}">
              <a16:creationId xmlns:a16="http://schemas.microsoft.com/office/drawing/2014/main" id="{10A4C9E3-D514-4759-BAD8-C3C6FDC9C09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2" name="TextBox 4">
          <a:extLst>
            <a:ext uri="{FF2B5EF4-FFF2-40B4-BE49-F238E27FC236}">
              <a16:creationId xmlns:a16="http://schemas.microsoft.com/office/drawing/2014/main" id="{71E95E2F-80CE-4794-B7CF-7E5BAEDB0D4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3" name="TextBox 5">
          <a:extLst>
            <a:ext uri="{FF2B5EF4-FFF2-40B4-BE49-F238E27FC236}">
              <a16:creationId xmlns:a16="http://schemas.microsoft.com/office/drawing/2014/main" id="{D0FB2B48-1DC4-4180-B518-3EE3746150AB}"/>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4" name="TextBox 6">
          <a:extLst>
            <a:ext uri="{FF2B5EF4-FFF2-40B4-BE49-F238E27FC236}">
              <a16:creationId xmlns:a16="http://schemas.microsoft.com/office/drawing/2014/main" id="{7A529B1A-A6B1-4622-B712-1DD3C826DC36}"/>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5" name="TextBox 4">
          <a:extLst>
            <a:ext uri="{FF2B5EF4-FFF2-40B4-BE49-F238E27FC236}">
              <a16:creationId xmlns:a16="http://schemas.microsoft.com/office/drawing/2014/main" id="{566A4A14-75E4-42C8-8BF0-3CFC5107608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6" name="TextBox 5">
          <a:extLst>
            <a:ext uri="{FF2B5EF4-FFF2-40B4-BE49-F238E27FC236}">
              <a16:creationId xmlns:a16="http://schemas.microsoft.com/office/drawing/2014/main" id="{18235182-5335-4F96-92CD-878C26613EE6}"/>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7" name="TextBox 6">
          <a:extLst>
            <a:ext uri="{FF2B5EF4-FFF2-40B4-BE49-F238E27FC236}">
              <a16:creationId xmlns:a16="http://schemas.microsoft.com/office/drawing/2014/main" id="{1BB9604F-0E81-4AA1-A7C7-6F683D34DCA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8" name="TextBox 4">
          <a:extLst>
            <a:ext uri="{FF2B5EF4-FFF2-40B4-BE49-F238E27FC236}">
              <a16:creationId xmlns:a16="http://schemas.microsoft.com/office/drawing/2014/main" id="{36FDBBCB-95E0-4AC6-AB8A-E14337A3A32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59" name="TextBox 5">
          <a:extLst>
            <a:ext uri="{FF2B5EF4-FFF2-40B4-BE49-F238E27FC236}">
              <a16:creationId xmlns:a16="http://schemas.microsoft.com/office/drawing/2014/main" id="{DCE4BF36-698E-4E4D-9498-C82B0645DBFC}"/>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0" name="TextBox 6">
          <a:extLst>
            <a:ext uri="{FF2B5EF4-FFF2-40B4-BE49-F238E27FC236}">
              <a16:creationId xmlns:a16="http://schemas.microsoft.com/office/drawing/2014/main" id="{0A5AB2CE-2A78-43EA-BFC9-AE013237DD2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261" name="TextBox 4">
          <a:extLst>
            <a:ext uri="{FF2B5EF4-FFF2-40B4-BE49-F238E27FC236}">
              <a16:creationId xmlns:a16="http://schemas.microsoft.com/office/drawing/2014/main" id="{D6F44211-08BB-41C2-8F99-3293A4411EDD}"/>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262" name="TextBox 5">
          <a:extLst>
            <a:ext uri="{FF2B5EF4-FFF2-40B4-BE49-F238E27FC236}">
              <a16:creationId xmlns:a16="http://schemas.microsoft.com/office/drawing/2014/main" id="{097356FC-DD91-4CF4-8B5E-B9BEAC2F3835}"/>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263" name="TextBox 6">
          <a:extLst>
            <a:ext uri="{FF2B5EF4-FFF2-40B4-BE49-F238E27FC236}">
              <a16:creationId xmlns:a16="http://schemas.microsoft.com/office/drawing/2014/main" id="{262BDE9A-F080-42D1-8B50-6CB08EB1A5F0}"/>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4" name="TextBox 4">
          <a:extLst>
            <a:ext uri="{FF2B5EF4-FFF2-40B4-BE49-F238E27FC236}">
              <a16:creationId xmlns:a16="http://schemas.microsoft.com/office/drawing/2014/main" id="{03E97801-D0AC-4EAF-874B-B23B9C0C13E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5" name="TextBox 5">
          <a:extLst>
            <a:ext uri="{FF2B5EF4-FFF2-40B4-BE49-F238E27FC236}">
              <a16:creationId xmlns:a16="http://schemas.microsoft.com/office/drawing/2014/main" id="{FBC4924B-DB2B-4FD1-B3F9-5D1A9114BC4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6" name="TextBox 6">
          <a:extLst>
            <a:ext uri="{FF2B5EF4-FFF2-40B4-BE49-F238E27FC236}">
              <a16:creationId xmlns:a16="http://schemas.microsoft.com/office/drawing/2014/main" id="{93AB1B79-6904-4FAA-AB67-5B25C0835BC6}"/>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7" name="TextBox 4">
          <a:extLst>
            <a:ext uri="{FF2B5EF4-FFF2-40B4-BE49-F238E27FC236}">
              <a16:creationId xmlns:a16="http://schemas.microsoft.com/office/drawing/2014/main" id="{02D4F22E-2FC1-4CE2-9A20-845FA0F91E3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8" name="TextBox 5">
          <a:extLst>
            <a:ext uri="{FF2B5EF4-FFF2-40B4-BE49-F238E27FC236}">
              <a16:creationId xmlns:a16="http://schemas.microsoft.com/office/drawing/2014/main" id="{09619789-381E-4CD7-94FE-11C8B186506F}"/>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69" name="TextBox 6">
          <a:extLst>
            <a:ext uri="{FF2B5EF4-FFF2-40B4-BE49-F238E27FC236}">
              <a16:creationId xmlns:a16="http://schemas.microsoft.com/office/drawing/2014/main" id="{D6926204-1295-4EE4-B258-FC9EAFC62DE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0" name="TextBox 4">
          <a:extLst>
            <a:ext uri="{FF2B5EF4-FFF2-40B4-BE49-F238E27FC236}">
              <a16:creationId xmlns:a16="http://schemas.microsoft.com/office/drawing/2014/main" id="{5B35566B-0BD5-4F4B-9945-F18E44343AB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1" name="TextBox 5">
          <a:extLst>
            <a:ext uri="{FF2B5EF4-FFF2-40B4-BE49-F238E27FC236}">
              <a16:creationId xmlns:a16="http://schemas.microsoft.com/office/drawing/2014/main" id="{E47064DD-D362-4769-AC21-CC89A319B9C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2" name="TextBox 6">
          <a:extLst>
            <a:ext uri="{FF2B5EF4-FFF2-40B4-BE49-F238E27FC236}">
              <a16:creationId xmlns:a16="http://schemas.microsoft.com/office/drawing/2014/main" id="{F9DFB9B6-E8F9-4634-BE64-2EC58D1E97EA}"/>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3" name="TextBox 4">
          <a:extLst>
            <a:ext uri="{FF2B5EF4-FFF2-40B4-BE49-F238E27FC236}">
              <a16:creationId xmlns:a16="http://schemas.microsoft.com/office/drawing/2014/main" id="{9A88C2CE-8041-4EB2-A7FA-35D50A0B90C1}"/>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4" name="TextBox 5">
          <a:extLst>
            <a:ext uri="{FF2B5EF4-FFF2-40B4-BE49-F238E27FC236}">
              <a16:creationId xmlns:a16="http://schemas.microsoft.com/office/drawing/2014/main" id="{C5DDBE0C-BDB3-47CE-8E95-19A606E7C6D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5" name="TextBox 6">
          <a:extLst>
            <a:ext uri="{FF2B5EF4-FFF2-40B4-BE49-F238E27FC236}">
              <a16:creationId xmlns:a16="http://schemas.microsoft.com/office/drawing/2014/main" id="{D9E9EF39-9355-41B8-B575-066B5FBAAFFC}"/>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6" name="TextBox 4">
          <a:extLst>
            <a:ext uri="{FF2B5EF4-FFF2-40B4-BE49-F238E27FC236}">
              <a16:creationId xmlns:a16="http://schemas.microsoft.com/office/drawing/2014/main" id="{314F9E85-9903-478A-92B9-1A8F4900910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7" name="TextBox 5">
          <a:extLst>
            <a:ext uri="{FF2B5EF4-FFF2-40B4-BE49-F238E27FC236}">
              <a16:creationId xmlns:a16="http://schemas.microsoft.com/office/drawing/2014/main" id="{D10F9E90-8DE7-44F8-8376-710A404015FC}"/>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8" name="TextBox 6">
          <a:extLst>
            <a:ext uri="{FF2B5EF4-FFF2-40B4-BE49-F238E27FC236}">
              <a16:creationId xmlns:a16="http://schemas.microsoft.com/office/drawing/2014/main" id="{792CCE1B-7F0A-4266-AEB6-372F53E91CE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79" name="TextBox 4">
          <a:extLst>
            <a:ext uri="{FF2B5EF4-FFF2-40B4-BE49-F238E27FC236}">
              <a16:creationId xmlns:a16="http://schemas.microsoft.com/office/drawing/2014/main" id="{C84FDEF0-BE06-422C-99BF-765283E69A0E}"/>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0" name="TextBox 5">
          <a:extLst>
            <a:ext uri="{FF2B5EF4-FFF2-40B4-BE49-F238E27FC236}">
              <a16:creationId xmlns:a16="http://schemas.microsoft.com/office/drawing/2014/main" id="{A605E037-3951-479A-B4A0-0E0602613387}"/>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1" name="TextBox 6">
          <a:extLst>
            <a:ext uri="{FF2B5EF4-FFF2-40B4-BE49-F238E27FC236}">
              <a16:creationId xmlns:a16="http://schemas.microsoft.com/office/drawing/2014/main" id="{58F70F08-57D2-4950-AB67-975963F4E898}"/>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2" name="TextBox 4">
          <a:extLst>
            <a:ext uri="{FF2B5EF4-FFF2-40B4-BE49-F238E27FC236}">
              <a16:creationId xmlns:a16="http://schemas.microsoft.com/office/drawing/2014/main" id="{BD23BE22-AF42-4B73-B489-0EE0414EB9CF}"/>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3" name="TextBox 5">
          <a:extLst>
            <a:ext uri="{FF2B5EF4-FFF2-40B4-BE49-F238E27FC236}">
              <a16:creationId xmlns:a16="http://schemas.microsoft.com/office/drawing/2014/main" id="{626FE5EF-ACD8-4A0D-AE9E-A0364D58DBE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4" name="TextBox 6">
          <a:extLst>
            <a:ext uri="{FF2B5EF4-FFF2-40B4-BE49-F238E27FC236}">
              <a16:creationId xmlns:a16="http://schemas.microsoft.com/office/drawing/2014/main" id="{6830BA5B-73AB-4AFB-BE4D-DC84C608207F}"/>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5" name="TextBox 4">
          <a:extLst>
            <a:ext uri="{FF2B5EF4-FFF2-40B4-BE49-F238E27FC236}">
              <a16:creationId xmlns:a16="http://schemas.microsoft.com/office/drawing/2014/main" id="{FDC354DB-A128-4F66-87D5-C969B7146287}"/>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6" name="TextBox 5">
          <a:extLst>
            <a:ext uri="{FF2B5EF4-FFF2-40B4-BE49-F238E27FC236}">
              <a16:creationId xmlns:a16="http://schemas.microsoft.com/office/drawing/2014/main" id="{B55959AC-483C-44D6-ADA9-C7AB055229A2}"/>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287" name="TextBox 6">
          <a:extLst>
            <a:ext uri="{FF2B5EF4-FFF2-40B4-BE49-F238E27FC236}">
              <a16:creationId xmlns:a16="http://schemas.microsoft.com/office/drawing/2014/main" id="{FE585E71-0783-4A94-B3D6-8AA8695DEF9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88" name="TextBox 4">
          <a:extLst>
            <a:ext uri="{FF2B5EF4-FFF2-40B4-BE49-F238E27FC236}">
              <a16:creationId xmlns:a16="http://schemas.microsoft.com/office/drawing/2014/main" id="{BCF3F529-D690-4EF2-8C05-3975ABB64CA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89" name="TextBox 5">
          <a:extLst>
            <a:ext uri="{FF2B5EF4-FFF2-40B4-BE49-F238E27FC236}">
              <a16:creationId xmlns:a16="http://schemas.microsoft.com/office/drawing/2014/main" id="{79E68952-456D-4667-A129-02B6454EF20D}"/>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0" name="TextBox 6">
          <a:extLst>
            <a:ext uri="{FF2B5EF4-FFF2-40B4-BE49-F238E27FC236}">
              <a16:creationId xmlns:a16="http://schemas.microsoft.com/office/drawing/2014/main" id="{0F1BFA3B-473A-461E-8A20-0E824320669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1" name="TextBox 4">
          <a:extLst>
            <a:ext uri="{FF2B5EF4-FFF2-40B4-BE49-F238E27FC236}">
              <a16:creationId xmlns:a16="http://schemas.microsoft.com/office/drawing/2014/main" id="{4B23D714-4D4D-4964-B5A5-BC929A6C8A5A}"/>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2" name="TextBox 5">
          <a:extLst>
            <a:ext uri="{FF2B5EF4-FFF2-40B4-BE49-F238E27FC236}">
              <a16:creationId xmlns:a16="http://schemas.microsoft.com/office/drawing/2014/main" id="{E92DF082-E4CE-48F7-9AEF-F8FF37CCD5B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3" name="TextBox 6">
          <a:extLst>
            <a:ext uri="{FF2B5EF4-FFF2-40B4-BE49-F238E27FC236}">
              <a16:creationId xmlns:a16="http://schemas.microsoft.com/office/drawing/2014/main" id="{09511417-6855-474F-9D63-E6A2513B901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4" name="TextBox 156">
          <a:extLst>
            <a:ext uri="{FF2B5EF4-FFF2-40B4-BE49-F238E27FC236}">
              <a16:creationId xmlns:a16="http://schemas.microsoft.com/office/drawing/2014/main" id="{E6937AFA-1DC4-471B-A62C-1402B6351F0C}"/>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5" name="TextBox 157">
          <a:extLst>
            <a:ext uri="{FF2B5EF4-FFF2-40B4-BE49-F238E27FC236}">
              <a16:creationId xmlns:a16="http://schemas.microsoft.com/office/drawing/2014/main" id="{E12DC615-1D66-4978-92FC-236836B207D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6" name="TextBox 158">
          <a:extLst>
            <a:ext uri="{FF2B5EF4-FFF2-40B4-BE49-F238E27FC236}">
              <a16:creationId xmlns:a16="http://schemas.microsoft.com/office/drawing/2014/main" id="{E411A884-46AA-47C0-BE11-F022240BC5D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7" name="TextBox 4">
          <a:extLst>
            <a:ext uri="{FF2B5EF4-FFF2-40B4-BE49-F238E27FC236}">
              <a16:creationId xmlns:a16="http://schemas.microsoft.com/office/drawing/2014/main" id="{54267EC3-D41C-462F-880B-5D4D91956E8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8" name="TextBox 5">
          <a:extLst>
            <a:ext uri="{FF2B5EF4-FFF2-40B4-BE49-F238E27FC236}">
              <a16:creationId xmlns:a16="http://schemas.microsoft.com/office/drawing/2014/main" id="{AD710907-07E7-4884-AA48-EC045A5A999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299" name="TextBox 6">
          <a:extLst>
            <a:ext uri="{FF2B5EF4-FFF2-40B4-BE49-F238E27FC236}">
              <a16:creationId xmlns:a16="http://schemas.microsoft.com/office/drawing/2014/main" id="{D16A2B03-61E6-46EC-B6ED-0024B08DA33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0" name="TextBox 4">
          <a:extLst>
            <a:ext uri="{FF2B5EF4-FFF2-40B4-BE49-F238E27FC236}">
              <a16:creationId xmlns:a16="http://schemas.microsoft.com/office/drawing/2014/main" id="{E2E1641A-94DC-4BC1-9D38-D9D076BF6A62}"/>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1" name="TextBox 5">
          <a:extLst>
            <a:ext uri="{FF2B5EF4-FFF2-40B4-BE49-F238E27FC236}">
              <a16:creationId xmlns:a16="http://schemas.microsoft.com/office/drawing/2014/main" id="{8BC51AE3-770D-4F7D-9397-2D91B025E28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2" name="TextBox 6">
          <a:extLst>
            <a:ext uri="{FF2B5EF4-FFF2-40B4-BE49-F238E27FC236}">
              <a16:creationId xmlns:a16="http://schemas.microsoft.com/office/drawing/2014/main" id="{FC7CE9CD-0EF1-47EF-BDBF-AE65AA8C387E}"/>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3" name="TextBox 4">
          <a:extLst>
            <a:ext uri="{FF2B5EF4-FFF2-40B4-BE49-F238E27FC236}">
              <a16:creationId xmlns:a16="http://schemas.microsoft.com/office/drawing/2014/main" id="{94E9E805-B332-474F-9847-5B9EE27AC93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4" name="TextBox 5">
          <a:extLst>
            <a:ext uri="{FF2B5EF4-FFF2-40B4-BE49-F238E27FC236}">
              <a16:creationId xmlns:a16="http://schemas.microsoft.com/office/drawing/2014/main" id="{347FA258-ABB3-4E52-99DF-6D7FF75EFA49}"/>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5" name="TextBox 6">
          <a:extLst>
            <a:ext uri="{FF2B5EF4-FFF2-40B4-BE49-F238E27FC236}">
              <a16:creationId xmlns:a16="http://schemas.microsoft.com/office/drawing/2014/main" id="{76222394-D7CF-47E5-96E2-52D7E7264F1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6" name="TextBox 4">
          <a:extLst>
            <a:ext uri="{FF2B5EF4-FFF2-40B4-BE49-F238E27FC236}">
              <a16:creationId xmlns:a16="http://schemas.microsoft.com/office/drawing/2014/main" id="{51F0000B-8FAF-485A-84A2-7E61AD7EB90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7" name="TextBox 5">
          <a:extLst>
            <a:ext uri="{FF2B5EF4-FFF2-40B4-BE49-F238E27FC236}">
              <a16:creationId xmlns:a16="http://schemas.microsoft.com/office/drawing/2014/main" id="{80304544-66C2-44CD-A691-509996612E2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08" name="TextBox 6">
          <a:extLst>
            <a:ext uri="{FF2B5EF4-FFF2-40B4-BE49-F238E27FC236}">
              <a16:creationId xmlns:a16="http://schemas.microsoft.com/office/drawing/2014/main" id="{8C65D39B-CA83-4D18-83CB-40BC73039FF9}"/>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309" name="TextBox 4">
          <a:extLst>
            <a:ext uri="{FF2B5EF4-FFF2-40B4-BE49-F238E27FC236}">
              <a16:creationId xmlns:a16="http://schemas.microsoft.com/office/drawing/2014/main" id="{E22AFA12-0ED5-43C3-B4AC-5C14F52D09F9}"/>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310" name="TextBox 5">
          <a:extLst>
            <a:ext uri="{FF2B5EF4-FFF2-40B4-BE49-F238E27FC236}">
              <a16:creationId xmlns:a16="http://schemas.microsoft.com/office/drawing/2014/main" id="{582EAEF3-BBBC-4462-8A54-F0FC0E5CC748}"/>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311" name="TextBox 6">
          <a:extLst>
            <a:ext uri="{FF2B5EF4-FFF2-40B4-BE49-F238E27FC236}">
              <a16:creationId xmlns:a16="http://schemas.microsoft.com/office/drawing/2014/main" id="{961A9674-8380-40A8-8545-E23022D69C27}"/>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12" name="TextBox 4">
          <a:extLst>
            <a:ext uri="{FF2B5EF4-FFF2-40B4-BE49-F238E27FC236}">
              <a16:creationId xmlns:a16="http://schemas.microsoft.com/office/drawing/2014/main" id="{DA8E6CD6-1EE7-4827-A486-52CB9823396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13" name="TextBox 5">
          <a:extLst>
            <a:ext uri="{FF2B5EF4-FFF2-40B4-BE49-F238E27FC236}">
              <a16:creationId xmlns:a16="http://schemas.microsoft.com/office/drawing/2014/main" id="{E536DDD3-96D1-4879-A80D-1383CC64163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14" name="TextBox 6">
          <a:extLst>
            <a:ext uri="{FF2B5EF4-FFF2-40B4-BE49-F238E27FC236}">
              <a16:creationId xmlns:a16="http://schemas.microsoft.com/office/drawing/2014/main" id="{1517A454-D42D-41EC-AE1E-E43C5FE6E76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15" name="TextBox 4">
          <a:extLst>
            <a:ext uri="{FF2B5EF4-FFF2-40B4-BE49-F238E27FC236}">
              <a16:creationId xmlns:a16="http://schemas.microsoft.com/office/drawing/2014/main" id="{437757E6-66F5-4ABA-8B3E-8C5A91111C1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16" name="TextBox 5">
          <a:extLst>
            <a:ext uri="{FF2B5EF4-FFF2-40B4-BE49-F238E27FC236}">
              <a16:creationId xmlns:a16="http://schemas.microsoft.com/office/drawing/2014/main" id="{BCD9B918-3CF3-4A1B-A03E-EAEA2E35A58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17" name="TextBox 6">
          <a:extLst>
            <a:ext uri="{FF2B5EF4-FFF2-40B4-BE49-F238E27FC236}">
              <a16:creationId xmlns:a16="http://schemas.microsoft.com/office/drawing/2014/main" id="{416EF58F-312A-4ABB-A341-DFE6294804E6}"/>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18" name="TextBox 4">
          <a:extLst>
            <a:ext uri="{FF2B5EF4-FFF2-40B4-BE49-F238E27FC236}">
              <a16:creationId xmlns:a16="http://schemas.microsoft.com/office/drawing/2014/main" id="{FAE822E1-489F-4E0F-8BE0-6B5ACC1F8B6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19" name="TextBox 5">
          <a:extLst>
            <a:ext uri="{FF2B5EF4-FFF2-40B4-BE49-F238E27FC236}">
              <a16:creationId xmlns:a16="http://schemas.microsoft.com/office/drawing/2014/main" id="{C232EFD4-6049-43AE-9C33-CE77767D5287}"/>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0" name="TextBox 6">
          <a:extLst>
            <a:ext uri="{FF2B5EF4-FFF2-40B4-BE49-F238E27FC236}">
              <a16:creationId xmlns:a16="http://schemas.microsoft.com/office/drawing/2014/main" id="{1F8C647E-DD76-440D-A890-E1F335500DB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1" name="TextBox 4">
          <a:extLst>
            <a:ext uri="{FF2B5EF4-FFF2-40B4-BE49-F238E27FC236}">
              <a16:creationId xmlns:a16="http://schemas.microsoft.com/office/drawing/2014/main" id="{A1CD0919-503F-42A8-AD7A-F72F4A71A54B}"/>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2" name="TextBox 5">
          <a:extLst>
            <a:ext uri="{FF2B5EF4-FFF2-40B4-BE49-F238E27FC236}">
              <a16:creationId xmlns:a16="http://schemas.microsoft.com/office/drawing/2014/main" id="{6EABCE6D-04C0-43E0-98FB-D7CB2023718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3" name="TextBox 6">
          <a:extLst>
            <a:ext uri="{FF2B5EF4-FFF2-40B4-BE49-F238E27FC236}">
              <a16:creationId xmlns:a16="http://schemas.microsoft.com/office/drawing/2014/main" id="{EEFC8ADB-C24E-4E40-9CA2-C0470B5631BE}"/>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4" name="TextBox 4">
          <a:extLst>
            <a:ext uri="{FF2B5EF4-FFF2-40B4-BE49-F238E27FC236}">
              <a16:creationId xmlns:a16="http://schemas.microsoft.com/office/drawing/2014/main" id="{9FF40C4B-C24A-43F1-8CC7-7BD53914FB9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5" name="TextBox 5">
          <a:extLst>
            <a:ext uri="{FF2B5EF4-FFF2-40B4-BE49-F238E27FC236}">
              <a16:creationId xmlns:a16="http://schemas.microsoft.com/office/drawing/2014/main" id="{9FDD9716-DCE0-4DD3-80BE-ED740A6B22F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6" name="TextBox 6">
          <a:extLst>
            <a:ext uri="{FF2B5EF4-FFF2-40B4-BE49-F238E27FC236}">
              <a16:creationId xmlns:a16="http://schemas.microsoft.com/office/drawing/2014/main" id="{DBEC1DAC-9D56-4379-AF7A-BCFDA019204E}"/>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7" name="TextBox 4">
          <a:extLst>
            <a:ext uri="{FF2B5EF4-FFF2-40B4-BE49-F238E27FC236}">
              <a16:creationId xmlns:a16="http://schemas.microsoft.com/office/drawing/2014/main" id="{82D90AA1-607C-436E-BDCB-A0D34BBD79A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8" name="TextBox 5">
          <a:extLst>
            <a:ext uri="{FF2B5EF4-FFF2-40B4-BE49-F238E27FC236}">
              <a16:creationId xmlns:a16="http://schemas.microsoft.com/office/drawing/2014/main" id="{753173A2-9B15-41C6-BCE6-B2F770E438E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29" name="TextBox 6">
          <a:extLst>
            <a:ext uri="{FF2B5EF4-FFF2-40B4-BE49-F238E27FC236}">
              <a16:creationId xmlns:a16="http://schemas.microsoft.com/office/drawing/2014/main" id="{05507657-F202-47ED-84C0-2DF4FC0AEBF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30" name="TextBox 4">
          <a:extLst>
            <a:ext uri="{FF2B5EF4-FFF2-40B4-BE49-F238E27FC236}">
              <a16:creationId xmlns:a16="http://schemas.microsoft.com/office/drawing/2014/main" id="{A06848D0-0199-4CC2-8DCC-43492CD14E2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31" name="TextBox 5">
          <a:extLst>
            <a:ext uri="{FF2B5EF4-FFF2-40B4-BE49-F238E27FC236}">
              <a16:creationId xmlns:a16="http://schemas.microsoft.com/office/drawing/2014/main" id="{AE8B8DBA-CB3E-44A9-948F-FA4149F49BFB}"/>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32" name="TextBox 6">
          <a:extLst>
            <a:ext uri="{FF2B5EF4-FFF2-40B4-BE49-F238E27FC236}">
              <a16:creationId xmlns:a16="http://schemas.microsoft.com/office/drawing/2014/main" id="{F3D84C41-D7C5-427D-BE52-0F2AB33455A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33" name="TextBox 4">
          <a:extLst>
            <a:ext uri="{FF2B5EF4-FFF2-40B4-BE49-F238E27FC236}">
              <a16:creationId xmlns:a16="http://schemas.microsoft.com/office/drawing/2014/main" id="{499ABBA4-5875-4AD1-8667-EB601F6B0CFE}"/>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34" name="TextBox 5">
          <a:extLst>
            <a:ext uri="{FF2B5EF4-FFF2-40B4-BE49-F238E27FC236}">
              <a16:creationId xmlns:a16="http://schemas.microsoft.com/office/drawing/2014/main" id="{A88EBC3D-6B48-46B7-922A-DF9800F41E10}"/>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335" name="TextBox 6">
          <a:extLst>
            <a:ext uri="{FF2B5EF4-FFF2-40B4-BE49-F238E27FC236}">
              <a16:creationId xmlns:a16="http://schemas.microsoft.com/office/drawing/2014/main" id="{A65B3BE1-6725-4F93-B349-3CBDD8901370}"/>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36" name="TextBox 4">
          <a:extLst>
            <a:ext uri="{FF2B5EF4-FFF2-40B4-BE49-F238E27FC236}">
              <a16:creationId xmlns:a16="http://schemas.microsoft.com/office/drawing/2014/main" id="{2A234CB9-A728-4F21-A0F9-B04C91E66FBF}"/>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37" name="TextBox 5">
          <a:extLst>
            <a:ext uri="{FF2B5EF4-FFF2-40B4-BE49-F238E27FC236}">
              <a16:creationId xmlns:a16="http://schemas.microsoft.com/office/drawing/2014/main" id="{8D26F9F0-EC7D-4B8C-9B1F-06D85F0D44B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338" name="TextBox 6">
          <a:extLst>
            <a:ext uri="{FF2B5EF4-FFF2-40B4-BE49-F238E27FC236}">
              <a16:creationId xmlns:a16="http://schemas.microsoft.com/office/drawing/2014/main" id="{14422CDE-9016-4D60-A478-F32E443645F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205740</xdr:colOff>
      <xdr:row>152</xdr:row>
      <xdr:rowOff>0</xdr:rowOff>
    </xdr:from>
    <xdr:ext cx="923978" cy="311803"/>
    <xdr:sp macro="" textlink="">
      <xdr:nvSpPr>
        <xdr:cNvPr id="339" name="TextBox 784">
          <a:extLst>
            <a:ext uri="{FF2B5EF4-FFF2-40B4-BE49-F238E27FC236}">
              <a16:creationId xmlns:a16="http://schemas.microsoft.com/office/drawing/2014/main" id="{341FC8B6-6DA0-4EEF-9160-521C04640B9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0" name="TextBox 785">
          <a:extLst>
            <a:ext uri="{FF2B5EF4-FFF2-40B4-BE49-F238E27FC236}">
              <a16:creationId xmlns:a16="http://schemas.microsoft.com/office/drawing/2014/main" id="{9F8D5A6A-8355-4A47-9FDF-9FBA76019CA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1" name="TextBox 786">
          <a:extLst>
            <a:ext uri="{FF2B5EF4-FFF2-40B4-BE49-F238E27FC236}">
              <a16:creationId xmlns:a16="http://schemas.microsoft.com/office/drawing/2014/main" id="{F35568AE-F008-4F63-B312-BFA6ECEE958B}"/>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2" name="TextBox 787">
          <a:extLst>
            <a:ext uri="{FF2B5EF4-FFF2-40B4-BE49-F238E27FC236}">
              <a16:creationId xmlns:a16="http://schemas.microsoft.com/office/drawing/2014/main" id="{310852D5-7052-465A-ADE8-383E0A529C4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3" name="TextBox 788">
          <a:extLst>
            <a:ext uri="{FF2B5EF4-FFF2-40B4-BE49-F238E27FC236}">
              <a16:creationId xmlns:a16="http://schemas.microsoft.com/office/drawing/2014/main" id="{F8B1C1A0-CD82-43F4-9CFE-76B0A7634F8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4" name="TextBox 789">
          <a:extLst>
            <a:ext uri="{FF2B5EF4-FFF2-40B4-BE49-F238E27FC236}">
              <a16:creationId xmlns:a16="http://schemas.microsoft.com/office/drawing/2014/main" id="{60EBF1BE-115E-4475-B9B3-316605682B7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45" name="TextBox 790">
          <a:extLst>
            <a:ext uri="{FF2B5EF4-FFF2-40B4-BE49-F238E27FC236}">
              <a16:creationId xmlns:a16="http://schemas.microsoft.com/office/drawing/2014/main" id="{77D50137-6E91-4F19-A427-024808500EE8}"/>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46" name="TextBox 791">
          <a:extLst>
            <a:ext uri="{FF2B5EF4-FFF2-40B4-BE49-F238E27FC236}">
              <a16:creationId xmlns:a16="http://schemas.microsoft.com/office/drawing/2014/main" id="{35356962-8CC5-4B40-98BD-3762C54F9725}"/>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47" name="TextBox 792">
          <a:extLst>
            <a:ext uri="{FF2B5EF4-FFF2-40B4-BE49-F238E27FC236}">
              <a16:creationId xmlns:a16="http://schemas.microsoft.com/office/drawing/2014/main" id="{CFA7EE91-742F-4256-BFAE-9B984930955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8" name="TextBox 2097">
          <a:extLst>
            <a:ext uri="{FF2B5EF4-FFF2-40B4-BE49-F238E27FC236}">
              <a16:creationId xmlns:a16="http://schemas.microsoft.com/office/drawing/2014/main" id="{0A31362C-F60F-4140-A39D-A1B9BBFD389C}"/>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49" name="TextBox 2098">
          <a:extLst>
            <a:ext uri="{FF2B5EF4-FFF2-40B4-BE49-F238E27FC236}">
              <a16:creationId xmlns:a16="http://schemas.microsoft.com/office/drawing/2014/main" id="{4DD6FA38-E249-4E2B-861C-A1E152846F9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0" name="TextBox 2099">
          <a:extLst>
            <a:ext uri="{FF2B5EF4-FFF2-40B4-BE49-F238E27FC236}">
              <a16:creationId xmlns:a16="http://schemas.microsoft.com/office/drawing/2014/main" id="{AB240822-C467-4C55-8759-A6D45947AE2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1" name="TextBox 2100">
          <a:extLst>
            <a:ext uri="{FF2B5EF4-FFF2-40B4-BE49-F238E27FC236}">
              <a16:creationId xmlns:a16="http://schemas.microsoft.com/office/drawing/2014/main" id="{AB3A14E4-0C16-4AEE-980A-0E9AC4CE5A5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2" name="TextBox 2101">
          <a:extLst>
            <a:ext uri="{FF2B5EF4-FFF2-40B4-BE49-F238E27FC236}">
              <a16:creationId xmlns:a16="http://schemas.microsoft.com/office/drawing/2014/main" id="{C2DB80AE-20FB-4163-B776-F7657CA24CD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3" name="TextBox 2102">
          <a:extLst>
            <a:ext uri="{FF2B5EF4-FFF2-40B4-BE49-F238E27FC236}">
              <a16:creationId xmlns:a16="http://schemas.microsoft.com/office/drawing/2014/main" id="{B0CCEF37-1BAB-4CA3-9844-FF38EFE2388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54" name="TextBox 2103">
          <a:extLst>
            <a:ext uri="{FF2B5EF4-FFF2-40B4-BE49-F238E27FC236}">
              <a16:creationId xmlns:a16="http://schemas.microsoft.com/office/drawing/2014/main" id="{DF77C70C-9F9D-48FA-AC06-FE3D05B1442D}"/>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55" name="TextBox 2104">
          <a:extLst>
            <a:ext uri="{FF2B5EF4-FFF2-40B4-BE49-F238E27FC236}">
              <a16:creationId xmlns:a16="http://schemas.microsoft.com/office/drawing/2014/main" id="{0C844DC9-70C3-4280-A1EE-8EEDD384F733}"/>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56" name="TextBox 2105">
          <a:extLst>
            <a:ext uri="{FF2B5EF4-FFF2-40B4-BE49-F238E27FC236}">
              <a16:creationId xmlns:a16="http://schemas.microsoft.com/office/drawing/2014/main" id="{D3740248-1FD1-4571-BCD3-72576B5A379D}"/>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7" name="TextBox 783">
          <a:extLst>
            <a:ext uri="{FF2B5EF4-FFF2-40B4-BE49-F238E27FC236}">
              <a16:creationId xmlns:a16="http://schemas.microsoft.com/office/drawing/2014/main" id="{E2745383-6B4E-415D-99FC-0EC374F4323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8" name="TextBox 784">
          <a:extLst>
            <a:ext uri="{FF2B5EF4-FFF2-40B4-BE49-F238E27FC236}">
              <a16:creationId xmlns:a16="http://schemas.microsoft.com/office/drawing/2014/main" id="{FF2B5EEE-54BE-4D84-A4B0-46D25236E9F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59" name="TextBox 785">
          <a:extLst>
            <a:ext uri="{FF2B5EF4-FFF2-40B4-BE49-F238E27FC236}">
              <a16:creationId xmlns:a16="http://schemas.microsoft.com/office/drawing/2014/main" id="{007C2564-7599-480A-8CF1-C5EBB2DBB4C3}"/>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0" name="TextBox 786">
          <a:extLst>
            <a:ext uri="{FF2B5EF4-FFF2-40B4-BE49-F238E27FC236}">
              <a16:creationId xmlns:a16="http://schemas.microsoft.com/office/drawing/2014/main" id="{03FB8260-6821-42A5-8A26-728B8CDC59B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1" name="TextBox 787">
          <a:extLst>
            <a:ext uri="{FF2B5EF4-FFF2-40B4-BE49-F238E27FC236}">
              <a16:creationId xmlns:a16="http://schemas.microsoft.com/office/drawing/2014/main" id="{50A6F37B-AE9C-45A5-B480-9578CCC362A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2" name="TextBox 788">
          <a:extLst>
            <a:ext uri="{FF2B5EF4-FFF2-40B4-BE49-F238E27FC236}">
              <a16:creationId xmlns:a16="http://schemas.microsoft.com/office/drawing/2014/main" id="{899765C9-A957-41FE-BFCC-CA19239C238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63" name="TextBox 789">
          <a:extLst>
            <a:ext uri="{FF2B5EF4-FFF2-40B4-BE49-F238E27FC236}">
              <a16:creationId xmlns:a16="http://schemas.microsoft.com/office/drawing/2014/main" id="{B5E5632A-4BA1-4BD0-A781-48DAE03BC263}"/>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64" name="TextBox 790">
          <a:extLst>
            <a:ext uri="{FF2B5EF4-FFF2-40B4-BE49-F238E27FC236}">
              <a16:creationId xmlns:a16="http://schemas.microsoft.com/office/drawing/2014/main" id="{021D85FA-67B6-4E32-933E-77EDF9AA0BA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65" name="TextBox 791">
          <a:extLst>
            <a:ext uri="{FF2B5EF4-FFF2-40B4-BE49-F238E27FC236}">
              <a16:creationId xmlns:a16="http://schemas.microsoft.com/office/drawing/2014/main" id="{61E9AE65-557B-4B25-A3E8-F144033BAD2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6" name="TextBox 2088">
          <a:extLst>
            <a:ext uri="{FF2B5EF4-FFF2-40B4-BE49-F238E27FC236}">
              <a16:creationId xmlns:a16="http://schemas.microsoft.com/office/drawing/2014/main" id="{B7334646-DF05-4C8D-93D2-814D6805B31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7" name="TextBox 2089">
          <a:extLst>
            <a:ext uri="{FF2B5EF4-FFF2-40B4-BE49-F238E27FC236}">
              <a16:creationId xmlns:a16="http://schemas.microsoft.com/office/drawing/2014/main" id="{A3572037-99A2-4CBD-8D7A-E2E429D6673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8" name="TextBox 2090">
          <a:extLst>
            <a:ext uri="{FF2B5EF4-FFF2-40B4-BE49-F238E27FC236}">
              <a16:creationId xmlns:a16="http://schemas.microsoft.com/office/drawing/2014/main" id="{07E26212-E018-409A-9290-1A5F062E752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69" name="TextBox 2091">
          <a:extLst>
            <a:ext uri="{FF2B5EF4-FFF2-40B4-BE49-F238E27FC236}">
              <a16:creationId xmlns:a16="http://schemas.microsoft.com/office/drawing/2014/main" id="{BFDD94DB-CA7D-4C80-9332-86CEE2A6D53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0" name="TextBox 2092">
          <a:extLst>
            <a:ext uri="{FF2B5EF4-FFF2-40B4-BE49-F238E27FC236}">
              <a16:creationId xmlns:a16="http://schemas.microsoft.com/office/drawing/2014/main" id="{96B6BA53-4855-4511-9A95-232D021A561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1" name="TextBox 2093">
          <a:extLst>
            <a:ext uri="{FF2B5EF4-FFF2-40B4-BE49-F238E27FC236}">
              <a16:creationId xmlns:a16="http://schemas.microsoft.com/office/drawing/2014/main" id="{24D2EE12-04B3-4856-BAA9-4A584493BAC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72" name="TextBox 2094">
          <a:extLst>
            <a:ext uri="{FF2B5EF4-FFF2-40B4-BE49-F238E27FC236}">
              <a16:creationId xmlns:a16="http://schemas.microsoft.com/office/drawing/2014/main" id="{CBE1F078-B5FB-4804-ADE7-542E24EDF0C1}"/>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73" name="TextBox 2095">
          <a:extLst>
            <a:ext uri="{FF2B5EF4-FFF2-40B4-BE49-F238E27FC236}">
              <a16:creationId xmlns:a16="http://schemas.microsoft.com/office/drawing/2014/main" id="{9DD25A6E-2524-4771-A943-B079E042A256}"/>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74" name="TextBox 2096">
          <a:extLst>
            <a:ext uri="{FF2B5EF4-FFF2-40B4-BE49-F238E27FC236}">
              <a16:creationId xmlns:a16="http://schemas.microsoft.com/office/drawing/2014/main" id="{BE0CA3CB-5CA0-47FE-8565-8EE4D08CC3A4}"/>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5" name="TextBox 784">
          <a:extLst>
            <a:ext uri="{FF2B5EF4-FFF2-40B4-BE49-F238E27FC236}">
              <a16:creationId xmlns:a16="http://schemas.microsoft.com/office/drawing/2014/main" id="{3C0750AC-F9EF-40C6-A1DD-710BD42DF1DF}"/>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6" name="TextBox 785">
          <a:extLst>
            <a:ext uri="{FF2B5EF4-FFF2-40B4-BE49-F238E27FC236}">
              <a16:creationId xmlns:a16="http://schemas.microsoft.com/office/drawing/2014/main" id="{829010D7-FB40-49DC-92F0-009DE861469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7" name="TextBox 786">
          <a:extLst>
            <a:ext uri="{FF2B5EF4-FFF2-40B4-BE49-F238E27FC236}">
              <a16:creationId xmlns:a16="http://schemas.microsoft.com/office/drawing/2014/main" id="{A7BE35FF-71A2-4BD5-AC8F-083E4DA88D4F}"/>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8" name="TextBox 787">
          <a:extLst>
            <a:ext uri="{FF2B5EF4-FFF2-40B4-BE49-F238E27FC236}">
              <a16:creationId xmlns:a16="http://schemas.microsoft.com/office/drawing/2014/main" id="{0BCE671E-2ECF-4BC0-9051-BC84F567FE1F}"/>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79" name="TextBox 788">
          <a:extLst>
            <a:ext uri="{FF2B5EF4-FFF2-40B4-BE49-F238E27FC236}">
              <a16:creationId xmlns:a16="http://schemas.microsoft.com/office/drawing/2014/main" id="{6D72326C-4D3A-4CC2-AF00-C7A8C33F4E9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0" name="TextBox 789">
          <a:extLst>
            <a:ext uri="{FF2B5EF4-FFF2-40B4-BE49-F238E27FC236}">
              <a16:creationId xmlns:a16="http://schemas.microsoft.com/office/drawing/2014/main" id="{D067C669-7CF1-4406-9D0F-CFDFB5BF9ED3}"/>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81" name="TextBox 790">
          <a:extLst>
            <a:ext uri="{FF2B5EF4-FFF2-40B4-BE49-F238E27FC236}">
              <a16:creationId xmlns:a16="http://schemas.microsoft.com/office/drawing/2014/main" id="{27F38FB7-DD89-45AA-BD47-F70EE8485043}"/>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82" name="TextBox 791">
          <a:extLst>
            <a:ext uri="{FF2B5EF4-FFF2-40B4-BE49-F238E27FC236}">
              <a16:creationId xmlns:a16="http://schemas.microsoft.com/office/drawing/2014/main" id="{C7200557-1792-4AD2-A0E5-7202DDC8CF7B}"/>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83" name="TextBox 792">
          <a:extLst>
            <a:ext uri="{FF2B5EF4-FFF2-40B4-BE49-F238E27FC236}">
              <a16:creationId xmlns:a16="http://schemas.microsoft.com/office/drawing/2014/main" id="{5CBB8F38-668C-4815-89D9-42FE7C62D6E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4" name="TextBox 2097">
          <a:extLst>
            <a:ext uri="{FF2B5EF4-FFF2-40B4-BE49-F238E27FC236}">
              <a16:creationId xmlns:a16="http://schemas.microsoft.com/office/drawing/2014/main" id="{387CC103-78A5-41DA-B034-D6825D4A9078}"/>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5" name="TextBox 2098">
          <a:extLst>
            <a:ext uri="{FF2B5EF4-FFF2-40B4-BE49-F238E27FC236}">
              <a16:creationId xmlns:a16="http://schemas.microsoft.com/office/drawing/2014/main" id="{CB93E110-F45E-4707-96F9-A324A733951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6" name="TextBox 2099">
          <a:extLst>
            <a:ext uri="{FF2B5EF4-FFF2-40B4-BE49-F238E27FC236}">
              <a16:creationId xmlns:a16="http://schemas.microsoft.com/office/drawing/2014/main" id="{DC8A6893-BE0E-4CA7-8952-78F9551025B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7" name="TextBox 2100">
          <a:extLst>
            <a:ext uri="{FF2B5EF4-FFF2-40B4-BE49-F238E27FC236}">
              <a16:creationId xmlns:a16="http://schemas.microsoft.com/office/drawing/2014/main" id="{2F8B5F50-809F-4371-85EA-D908D68496D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8" name="TextBox 2101">
          <a:extLst>
            <a:ext uri="{FF2B5EF4-FFF2-40B4-BE49-F238E27FC236}">
              <a16:creationId xmlns:a16="http://schemas.microsoft.com/office/drawing/2014/main" id="{233FA184-7961-4C2C-AE78-3D8BF475FD6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89" name="TextBox 2102">
          <a:extLst>
            <a:ext uri="{FF2B5EF4-FFF2-40B4-BE49-F238E27FC236}">
              <a16:creationId xmlns:a16="http://schemas.microsoft.com/office/drawing/2014/main" id="{DE4FADF3-4CC0-458E-9CCE-FFEBE255F3C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90" name="TextBox 2103">
          <a:extLst>
            <a:ext uri="{FF2B5EF4-FFF2-40B4-BE49-F238E27FC236}">
              <a16:creationId xmlns:a16="http://schemas.microsoft.com/office/drawing/2014/main" id="{065DB6C9-1246-42C8-BAA9-14F37D46B29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91" name="TextBox 2104">
          <a:extLst>
            <a:ext uri="{FF2B5EF4-FFF2-40B4-BE49-F238E27FC236}">
              <a16:creationId xmlns:a16="http://schemas.microsoft.com/office/drawing/2014/main" id="{12FE910D-0DF3-4D5F-B805-41E7D3BDA180}"/>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92" name="TextBox 2105">
          <a:extLst>
            <a:ext uri="{FF2B5EF4-FFF2-40B4-BE49-F238E27FC236}">
              <a16:creationId xmlns:a16="http://schemas.microsoft.com/office/drawing/2014/main" id="{285F9816-165E-41DC-A306-E0387E16B64B}"/>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93" name="TextBox 783">
          <a:extLst>
            <a:ext uri="{FF2B5EF4-FFF2-40B4-BE49-F238E27FC236}">
              <a16:creationId xmlns:a16="http://schemas.microsoft.com/office/drawing/2014/main" id="{981B5EE2-F5FF-4336-85CB-7718F074F3F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94" name="TextBox 784">
          <a:extLst>
            <a:ext uri="{FF2B5EF4-FFF2-40B4-BE49-F238E27FC236}">
              <a16:creationId xmlns:a16="http://schemas.microsoft.com/office/drawing/2014/main" id="{E13DF538-671E-4A7D-9667-193C8305595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95" name="TextBox 785">
          <a:extLst>
            <a:ext uri="{FF2B5EF4-FFF2-40B4-BE49-F238E27FC236}">
              <a16:creationId xmlns:a16="http://schemas.microsoft.com/office/drawing/2014/main" id="{24F62D6A-BCAD-4504-B16C-6E77D6A29831}"/>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96" name="TextBox 786">
          <a:extLst>
            <a:ext uri="{FF2B5EF4-FFF2-40B4-BE49-F238E27FC236}">
              <a16:creationId xmlns:a16="http://schemas.microsoft.com/office/drawing/2014/main" id="{347C1F63-6463-41C6-89DD-21692F1E26E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97" name="TextBox 787">
          <a:extLst>
            <a:ext uri="{FF2B5EF4-FFF2-40B4-BE49-F238E27FC236}">
              <a16:creationId xmlns:a16="http://schemas.microsoft.com/office/drawing/2014/main" id="{D42E4A9C-7347-45FA-B0D9-B276A55C8817}"/>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398" name="TextBox 788">
          <a:extLst>
            <a:ext uri="{FF2B5EF4-FFF2-40B4-BE49-F238E27FC236}">
              <a16:creationId xmlns:a16="http://schemas.microsoft.com/office/drawing/2014/main" id="{21C3C369-B244-4C8D-837D-4EDBA0D36DF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399" name="TextBox 789">
          <a:extLst>
            <a:ext uri="{FF2B5EF4-FFF2-40B4-BE49-F238E27FC236}">
              <a16:creationId xmlns:a16="http://schemas.microsoft.com/office/drawing/2014/main" id="{0CC28E9F-888B-4A7F-8CF8-B6A3A974DE38}"/>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400" name="TextBox 790">
          <a:extLst>
            <a:ext uri="{FF2B5EF4-FFF2-40B4-BE49-F238E27FC236}">
              <a16:creationId xmlns:a16="http://schemas.microsoft.com/office/drawing/2014/main" id="{AAA771DD-8654-4EBC-B143-133C249E7EB0}"/>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401" name="TextBox 791">
          <a:extLst>
            <a:ext uri="{FF2B5EF4-FFF2-40B4-BE49-F238E27FC236}">
              <a16:creationId xmlns:a16="http://schemas.microsoft.com/office/drawing/2014/main" id="{2A9AA73E-5BBF-41B0-8BB3-FDE04F0BED24}"/>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402" name="TextBox 2088">
          <a:extLst>
            <a:ext uri="{FF2B5EF4-FFF2-40B4-BE49-F238E27FC236}">
              <a16:creationId xmlns:a16="http://schemas.microsoft.com/office/drawing/2014/main" id="{CA70457E-5B7E-49E9-A433-6B3A241C71D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403" name="TextBox 2089">
          <a:extLst>
            <a:ext uri="{FF2B5EF4-FFF2-40B4-BE49-F238E27FC236}">
              <a16:creationId xmlns:a16="http://schemas.microsoft.com/office/drawing/2014/main" id="{EF4B07D2-8254-4125-B5E5-9FE9E0940DFB}"/>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404" name="TextBox 2090">
          <a:extLst>
            <a:ext uri="{FF2B5EF4-FFF2-40B4-BE49-F238E27FC236}">
              <a16:creationId xmlns:a16="http://schemas.microsoft.com/office/drawing/2014/main" id="{F59AB46C-FF08-4FC7-99FE-D554F47100A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405" name="TextBox 2091">
          <a:extLst>
            <a:ext uri="{FF2B5EF4-FFF2-40B4-BE49-F238E27FC236}">
              <a16:creationId xmlns:a16="http://schemas.microsoft.com/office/drawing/2014/main" id="{A69AE89D-AA99-4C96-BB7E-58AA3DA2827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406" name="TextBox 2092">
          <a:extLst>
            <a:ext uri="{FF2B5EF4-FFF2-40B4-BE49-F238E27FC236}">
              <a16:creationId xmlns:a16="http://schemas.microsoft.com/office/drawing/2014/main" id="{4689B5CC-D567-45CD-90C0-9B011ABDE478}"/>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407" name="TextBox 2093">
          <a:extLst>
            <a:ext uri="{FF2B5EF4-FFF2-40B4-BE49-F238E27FC236}">
              <a16:creationId xmlns:a16="http://schemas.microsoft.com/office/drawing/2014/main" id="{CC1C9D3D-B423-4A6F-B156-0B82FD00FB3C}"/>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408" name="TextBox 2094">
          <a:extLst>
            <a:ext uri="{FF2B5EF4-FFF2-40B4-BE49-F238E27FC236}">
              <a16:creationId xmlns:a16="http://schemas.microsoft.com/office/drawing/2014/main" id="{86E9EC53-3EC1-4A28-A767-58E99B95CCA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409" name="TextBox 2095">
          <a:extLst>
            <a:ext uri="{FF2B5EF4-FFF2-40B4-BE49-F238E27FC236}">
              <a16:creationId xmlns:a16="http://schemas.microsoft.com/office/drawing/2014/main" id="{02E92C45-2C4E-403B-BD9B-3F69BDAC4E3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410" name="TextBox 2096">
          <a:extLst>
            <a:ext uri="{FF2B5EF4-FFF2-40B4-BE49-F238E27FC236}">
              <a16:creationId xmlns:a16="http://schemas.microsoft.com/office/drawing/2014/main" id="{B14EE01B-96B0-4D48-BF61-0F462992BE1B}"/>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4</xdr:col>
      <xdr:colOff>40971</xdr:colOff>
      <xdr:row>152</xdr:row>
      <xdr:rowOff>0</xdr:rowOff>
    </xdr:from>
    <xdr:ext cx="184731" cy="274009"/>
    <xdr:sp macro="" textlink="">
      <xdr:nvSpPr>
        <xdr:cNvPr id="411" name="TextBox 4">
          <a:extLst>
            <a:ext uri="{FF2B5EF4-FFF2-40B4-BE49-F238E27FC236}">
              <a16:creationId xmlns:a16="http://schemas.microsoft.com/office/drawing/2014/main" id="{769E2E02-7642-4BB0-9C5C-E5270FA219DA}"/>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2" name="TextBox 5">
          <a:extLst>
            <a:ext uri="{FF2B5EF4-FFF2-40B4-BE49-F238E27FC236}">
              <a16:creationId xmlns:a16="http://schemas.microsoft.com/office/drawing/2014/main" id="{AF943B44-0996-45C9-A966-C7777FC3599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3" name="TextBox 6">
          <a:extLst>
            <a:ext uri="{FF2B5EF4-FFF2-40B4-BE49-F238E27FC236}">
              <a16:creationId xmlns:a16="http://schemas.microsoft.com/office/drawing/2014/main" id="{90C8FEF8-1A44-42DE-A4E4-2C9DFDF3BE0B}"/>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4" name="TextBox 245">
          <a:extLst>
            <a:ext uri="{FF2B5EF4-FFF2-40B4-BE49-F238E27FC236}">
              <a16:creationId xmlns:a16="http://schemas.microsoft.com/office/drawing/2014/main" id="{30EF5F76-3BBE-4713-8E02-6FF053AA958D}"/>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5" name="TextBox 246">
          <a:extLst>
            <a:ext uri="{FF2B5EF4-FFF2-40B4-BE49-F238E27FC236}">
              <a16:creationId xmlns:a16="http://schemas.microsoft.com/office/drawing/2014/main" id="{D88C65F9-7FB4-4728-A4FC-A8EDFE16E53C}"/>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6" name="TextBox 247">
          <a:extLst>
            <a:ext uri="{FF2B5EF4-FFF2-40B4-BE49-F238E27FC236}">
              <a16:creationId xmlns:a16="http://schemas.microsoft.com/office/drawing/2014/main" id="{9C8A8584-C79F-4D58-8884-04BBC571ABB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7" name="TextBox 4">
          <a:extLst>
            <a:ext uri="{FF2B5EF4-FFF2-40B4-BE49-F238E27FC236}">
              <a16:creationId xmlns:a16="http://schemas.microsoft.com/office/drawing/2014/main" id="{0C523C96-6DE6-40F0-A233-10A72578BFB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8" name="TextBox 5">
          <a:extLst>
            <a:ext uri="{FF2B5EF4-FFF2-40B4-BE49-F238E27FC236}">
              <a16:creationId xmlns:a16="http://schemas.microsoft.com/office/drawing/2014/main" id="{4969BC37-4331-4198-B4BB-4146658D1E0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19" name="TextBox 6">
          <a:extLst>
            <a:ext uri="{FF2B5EF4-FFF2-40B4-BE49-F238E27FC236}">
              <a16:creationId xmlns:a16="http://schemas.microsoft.com/office/drawing/2014/main" id="{0024091B-EF5C-4146-B7C7-C155B059E26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0" name="TextBox 4">
          <a:extLst>
            <a:ext uri="{FF2B5EF4-FFF2-40B4-BE49-F238E27FC236}">
              <a16:creationId xmlns:a16="http://schemas.microsoft.com/office/drawing/2014/main" id="{431F78F2-DE40-454B-BF9C-990F2988E92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1" name="TextBox 5">
          <a:extLst>
            <a:ext uri="{FF2B5EF4-FFF2-40B4-BE49-F238E27FC236}">
              <a16:creationId xmlns:a16="http://schemas.microsoft.com/office/drawing/2014/main" id="{47369C7F-DF38-4F13-8076-73ECD94BCF49}"/>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2" name="TextBox 6">
          <a:extLst>
            <a:ext uri="{FF2B5EF4-FFF2-40B4-BE49-F238E27FC236}">
              <a16:creationId xmlns:a16="http://schemas.microsoft.com/office/drawing/2014/main" id="{AAFF362F-695E-4978-A827-B6B83C38D36F}"/>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3" name="TextBox 4">
          <a:extLst>
            <a:ext uri="{FF2B5EF4-FFF2-40B4-BE49-F238E27FC236}">
              <a16:creationId xmlns:a16="http://schemas.microsoft.com/office/drawing/2014/main" id="{988AB3E3-7A0F-4580-8987-D54048F20FA6}"/>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4" name="TextBox 5">
          <a:extLst>
            <a:ext uri="{FF2B5EF4-FFF2-40B4-BE49-F238E27FC236}">
              <a16:creationId xmlns:a16="http://schemas.microsoft.com/office/drawing/2014/main" id="{1F51A8D1-A73A-4C90-941C-C8C2CCBFE36C}"/>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5" name="TextBox 6">
          <a:extLst>
            <a:ext uri="{FF2B5EF4-FFF2-40B4-BE49-F238E27FC236}">
              <a16:creationId xmlns:a16="http://schemas.microsoft.com/office/drawing/2014/main" id="{CF9E59A6-184D-445B-BB53-C4A0544D75C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6" name="TextBox 4">
          <a:extLst>
            <a:ext uri="{FF2B5EF4-FFF2-40B4-BE49-F238E27FC236}">
              <a16:creationId xmlns:a16="http://schemas.microsoft.com/office/drawing/2014/main" id="{D0811A11-C3FC-4264-AC23-0200BCDDBDEB}"/>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7" name="TextBox 5">
          <a:extLst>
            <a:ext uri="{FF2B5EF4-FFF2-40B4-BE49-F238E27FC236}">
              <a16:creationId xmlns:a16="http://schemas.microsoft.com/office/drawing/2014/main" id="{F1485277-5A97-4533-A9F5-00C95816FB82}"/>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28" name="TextBox 6">
          <a:extLst>
            <a:ext uri="{FF2B5EF4-FFF2-40B4-BE49-F238E27FC236}">
              <a16:creationId xmlns:a16="http://schemas.microsoft.com/office/drawing/2014/main" id="{B8376678-FF2C-466F-92ED-E7C02D0C57F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429" name="TextBox 4">
          <a:extLst>
            <a:ext uri="{FF2B5EF4-FFF2-40B4-BE49-F238E27FC236}">
              <a16:creationId xmlns:a16="http://schemas.microsoft.com/office/drawing/2014/main" id="{350F92A4-3CB4-47D9-ABAE-AC9A8C1D1D22}"/>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430" name="TextBox 5">
          <a:extLst>
            <a:ext uri="{FF2B5EF4-FFF2-40B4-BE49-F238E27FC236}">
              <a16:creationId xmlns:a16="http://schemas.microsoft.com/office/drawing/2014/main" id="{23B5E8AC-0826-42D6-9069-DFDB10B40D5E}"/>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431" name="TextBox 6">
          <a:extLst>
            <a:ext uri="{FF2B5EF4-FFF2-40B4-BE49-F238E27FC236}">
              <a16:creationId xmlns:a16="http://schemas.microsoft.com/office/drawing/2014/main" id="{D5DFAA8B-F5BA-4BD7-B77A-F31FBDD41675}"/>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32" name="TextBox 4">
          <a:extLst>
            <a:ext uri="{FF2B5EF4-FFF2-40B4-BE49-F238E27FC236}">
              <a16:creationId xmlns:a16="http://schemas.microsoft.com/office/drawing/2014/main" id="{40CDE1D8-3975-4A08-9231-121108CC72C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33" name="TextBox 5">
          <a:extLst>
            <a:ext uri="{FF2B5EF4-FFF2-40B4-BE49-F238E27FC236}">
              <a16:creationId xmlns:a16="http://schemas.microsoft.com/office/drawing/2014/main" id="{E25C60BB-E907-4A47-9810-BF3C784BC339}"/>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34" name="TextBox 6">
          <a:extLst>
            <a:ext uri="{FF2B5EF4-FFF2-40B4-BE49-F238E27FC236}">
              <a16:creationId xmlns:a16="http://schemas.microsoft.com/office/drawing/2014/main" id="{9896F5E2-3182-4CCD-9329-B89E69AE3F88}"/>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35" name="TextBox 4">
          <a:extLst>
            <a:ext uri="{FF2B5EF4-FFF2-40B4-BE49-F238E27FC236}">
              <a16:creationId xmlns:a16="http://schemas.microsoft.com/office/drawing/2014/main" id="{FF885F75-26B7-4089-8F63-8F55239DE21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36" name="TextBox 5">
          <a:extLst>
            <a:ext uri="{FF2B5EF4-FFF2-40B4-BE49-F238E27FC236}">
              <a16:creationId xmlns:a16="http://schemas.microsoft.com/office/drawing/2014/main" id="{C3E0B89B-F71A-4975-90F6-AECF5F3A82E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37" name="TextBox 6">
          <a:extLst>
            <a:ext uri="{FF2B5EF4-FFF2-40B4-BE49-F238E27FC236}">
              <a16:creationId xmlns:a16="http://schemas.microsoft.com/office/drawing/2014/main" id="{D3346BB2-0C27-4381-8683-F30D49BCA33F}"/>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38" name="TextBox 4">
          <a:extLst>
            <a:ext uri="{FF2B5EF4-FFF2-40B4-BE49-F238E27FC236}">
              <a16:creationId xmlns:a16="http://schemas.microsoft.com/office/drawing/2014/main" id="{870DCDE4-5BC1-42FF-9394-7E0B59DC91E8}"/>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39" name="TextBox 5">
          <a:extLst>
            <a:ext uri="{FF2B5EF4-FFF2-40B4-BE49-F238E27FC236}">
              <a16:creationId xmlns:a16="http://schemas.microsoft.com/office/drawing/2014/main" id="{4DE3C5C6-F9B4-4392-9243-2A4F7955CDC7}"/>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0" name="TextBox 6">
          <a:extLst>
            <a:ext uri="{FF2B5EF4-FFF2-40B4-BE49-F238E27FC236}">
              <a16:creationId xmlns:a16="http://schemas.microsoft.com/office/drawing/2014/main" id="{BF1CAEE5-99CE-42B3-B8D5-BD799D303DFD}"/>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1" name="TextBox 4">
          <a:extLst>
            <a:ext uri="{FF2B5EF4-FFF2-40B4-BE49-F238E27FC236}">
              <a16:creationId xmlns:a16="http://schemas.microsoft.com/office/drawing/2014/main" id="{1C2B7CC9-5330-4890-8BD8-63FACE2E9C7F}"/>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2" name="TextBox 5">
          <a:extLst>
            <a:ext uri="{FF2B5EF4-FFF2-40B4-BE49-F238E27FC236}">
              <a16:creationId xmlns:a16="http://schemas.microsoft.com/office/drawing/2014/main" id="{264B837B-6066-4D22-A80C-1C903F977181}"/>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3" name="TextBox 6">
          <a:extLst>
            <a:ext uri="{FF2B5EF4-FFF2-40B4-BE49-F238E27FC236}">
              <a16:creationId xmlns:a16="http://schemas.microsoft.com/office/drawing/2014/main" id="{9C4C99D5-F94A-4B6D-8AB1-F9002589F018}"/>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4" name="TextBox 4">
          <a:extLst>
            <a:ext uri="{FF2B5EF4-FFF2-40B4-BE49-F238E27FC236}">
              <a16:creationId xmlns:a16="http://schemas.microsoft.com/office/drawing/2014/main" id="{5F496C8A-EA8A-469A-9625-5E02CC8F2FB1}"/>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5" name="TextBox 5">
          <a:extLst>
            <a:ext uri="{FF2B5EF4-FFF2-40B4-BE49-F238E27FC236}">
              <a16:creationId xmlns:a16="http://schemas.microsoft.com/office/drawing/2014/main" id="{19BF9F55-03C6-46C7-9211-1DB45B052265}"/>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6" name="TextBox 6">
          <a:extLst>
            <a:ext uri="{FF2B5EF4-FFF2-40B4-BE49-F238E27FC236}">
              <a16:creationId xmlns:a16="http://schemas.microsoft.com/office/drawing/2014/main" id="{7C2CC36F-C877-40DD-AC60-ADDE0C09BBB2}"/>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7" name="TextBox 4">
          <a:extLst>
            <a:ext uri="{FF2B5EF4-FFF2-40B4-BE49-F238E27FC236}">
              <a16:creationId xmlns:a16="http://schemas.microsoft.com/office/drawing/2014/main" id="{0B5A9910-8ECF-4E58-98C8-0E3736BFD10D}"/>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8" name="TextBox 5">
          <a:extLst>
            <a:ext uri="{FF2B5EF4-FFF2-40B4-BE49-F238E27FC236}">
              <a16:creationId xmlns:a16="http://schemas.microsoft.com/office/drawing/2014/main" id="{01A68508-8A56-463A-B80C-E577C482452A}"/>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49" name="TextBox 6">
          <a:extLst>
            <a:ext uri="{FF2B5EF4-FFF2-40B4-BE49-F238E27FC236}">
              <a16:creationId xmlns:a16="http://schemas.microsoft.com/office/drawing/2014/main" id="{A16AD9BB-A4C3-466D-B9A2-EBEE2FD0BF97}"/>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50" name="TextBox 4">
          <a:extLst>
            <a:ext uri="{FF2B5EF4-FFF2-40B4-BE49-F238E27FC236}">
              <a16:creationId xmlns:a16="http://schemas.microsoft.com/office/drawing/2014/main" id="{F5A46B52-7389-4B61-A5F9-0F57F5A20442}"/>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51" name="TextBox 5">
          <a:extLst>
            <a:ext uri="{FF2B5EF4-FFF2-40B4-BE49-F238E27FC236}">
              <a16:creationId xmlns:a16="http://schemas.microsoft.com/office/drawing/2014/main" id="{9519A398-01E6-4D93-8D1E-51B03783DBD5}"/>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52" name="TextBox 6">
          <a:extLst>
            <a:ext uri="{FF2B5EF4-FFF2-40B4-BE49-F238E27FC236}">
              <a16:creationId xmlns:a16="http://schemas.microsoft.com/office/drawing/2014/main" id="{D7A94DA4-42E0-4670-A749-A70C5635DE2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53" name="TextBox 4">
          <a:extLst>
            <a:ext uri="{FF2B5EF4-FFF2-40B4-BE49-F238E27FC236}">
              <a16:creationId xmlns:a16="http://schemas.microsoft.com/office/drawing/2014/main" id="{A0E1F75E-4312-4700-AA34-FEC3703E402D}"/>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54" name="TextBox 5">
          <a:extLst>
            <a:ext uri="{FF2B5EF4-FFF2-40B4-BE49-F238E27FC236}">
              <a16:creationId xmlns:a16="http://schemas.microsoft.com/office/drawing/2014/main" id="{13993A63-7A17-43CA-8695-0328597B3E1A}"/>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55" name="TextBox 6">
          <a:extLst>
            <a:ext uri="{FF2B5EF4-FFF2-40B4-BE49-F238E27FC236}">
              <a16:creationId xmlns:a16="http://schemas.microsoft.com/office/drawing/2014/main" id="{42CF9165-1163-47B9-9592-7913D390F646}"/>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56" name="TextBox 4">
          <a:extLst>
            <a:ext uri="{FF2B5EF4-FFF2-40B4-BE49-F238E27FC236}">
              <a16:creationId xmlns:a16="http://schemas.microsoft.com/office/drawing/2014/main" id="{541B7BBE-DF03-4ACB-BE81-91A51CC03DBA}"/>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57" name="TextBox 5">
          <a:extLst>
            <a:ext uri="{FF2B5EF4-FFF2-40B4-BE49-F238E27FC236}">
              <a16:creationId xmlns:a16="http://schemas.microsoft.com/office/drawing/2014/main" id="{4C950BCB-99D1-4922-B69A-E6EF00BEB512}"/>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58" name="TextBox 6">
          <a:extLst>
            <a:ext uri="{FF2B5EF4-FFF2-40B4-BE49-F238E27FC236}">
              <a16:creationId xmlns:a16="http://schemas.microsoft.com/office/drawing/2014/main" id="{FC99860E-BC13-45FD-B35E-1CFB1ECC692C}"/>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59" name="TextBox 4">
          <a:extLst>
            <a:ext uri="{FF2B5EF4-FFF2-40B4-BE49-F238E27FC236}">
              <a16:creationId xmlns:a16="http://schemas.microsoft.com/office/drawing/2014/main" id="{04EDD633-F7C5-46CB-ABBC-E7B0AD2EBD59}"/>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0" name="TextBox 5">
          <a:extLst>
            <a:ext uri="{FF2B5EF4-FFF2-40B4-BE49-F238E27FC236}">
              <a16:creationId xmlns:a16="http://schemas.microsoft.com/office/drawing/2014/main" id="{6DB64A09-2406-454B-A2E2-35D33ED1A61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1" name="TextBox 6">
          <a:extLst>
            <a:ext uri="{FF2B5EF4-FFF2-40B4-BE49-F238E27FC236}">
              <a16:creationId xmlns:a16="http://schemas.microsoft.com/office/drawing/2014/main" id="{553F8399-CFD5-450C-B775-7BDAA47E77D0}"/>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2" name="TextBox 293">
          <a:extLst>
            <a:ext uri="{FF2B5EF4-FFF2-40B4-BE49-F238E27FC236}">
              <a16:creationId xmlns:a16="http://schemas.microsoft.com/office/drawing/2014/main" id="{88996D68-95A5-47C1-97AF-A30DDBBF77D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3" name="TextBox 294">
          <a:extLst>
            <a:ext uri="{FF2B5EF4-FFF2-40B4-BE49-F238E27FC236}">
              <a16:creationId xmlns:a16="http://schemas.microsoft.com/office/drawing/2014/main" id="{59E29ABE-F060-49C3-9A4B-E25277AC465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4" name="TextBox 295">
          <a:extLst>
            <a:ext uri="{FF2B5EF4-FFF2-40B4-BE49-F238E27FC236}">
              <a16:creationId xmlns:a16="http://schemas.microsoft.com/office/drawing/2014/main" id="{D5F58AB4-B8F8-4E2B-BF76-AF9BD1365D4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5" name="TextBox 4">
          <a:extLst>
            <a:ext uri="{FF2B5EF4-FFF2-40B4-BE49-F238E27FC236}">
              <a16:creationId xmlns:a16="http://schemas.microsoft.com/office/drawing/2014/main" id="{6071B654-8B6F-4B21-ADAF-99B4DC5F974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6" name="TextBox 5">
          <a:extLst>
            <a:ext uri="{FF2B5EF4-FFF2-40B4-BE49-F238E27FC236}">
              <a16:creationId xmlns:a16="http://schemas.microsoft.com/office/drawing/2014/main" id="{E7BC879C-0F12-44F0-AD70-8B0D528CDCC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7" name="TextBox 6">
          <a:extLst>
            <a:ext uri="{FF2B5EF4-FFF2-40B4-BE49-F238E27FC236}">
              <a16:creationId xmlns:a16="http://schemas.microsoft.com/office/drawing/2014/main" id="{D5F71CBC-561B-4ECB-8830-A96F04ECECB2}"/>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8" name="TextBox 4">
          <a:extLst>
            <a:ext uri="{FF2B5EF4-FFF2-40B4-BE49-F238E27FC236}">
              <a16:creationId xmlns:a16="http://schemas.microsoft.com/office/drawing/2014/main" id="{CCD7F90B-B7AE-44F2-ACF1-62E011C9ACDE}"/>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69" name="TextBox 5">
          <a:extLst>
            <a:ext uri="{FF2B5EF4-FFF2-40B4-BE49-F238E27FC236}">
              <a16:creationId xmlns:a16="http://schemas.microsoft.com/office/drawing/2014/main" id="{BE406D3C-951E-4EE2-9A67-1D28B683D27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0" name="TextBox 6">
          <a:extLst>
            <a:ext uri="{FF2B5EF4-FFF2-40B4-BE49-F238E27FC236}">
              <a16:creationId xmlns:a16="http://schemas.microsoft.com/office/drawing/2014/main" id="{B0376A00-9364-4B2E-B842-6F247B9849D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1" name="TextBox 4">
          <a:extLst>
            <a:ext uri="{FF2B5EF4-FFF2-40B4-BE49-F238E27FC236}">
              <a16:creationId xmlns:a16="http://schemas.microsoft.com/office/drawing/2014/main" id="{CBF6F86C-6C2F-4B1A-AB19-963A14B67BF7}"/>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2" name="TextBox 5">
          <a:extLst>
            <a:ext uri="{FF2B5EF4-FFF2-40B4-BE49-F238E27FC236}">
              <a16:creationId xmlns:a16="http://schemas.microsoft.com/office/drawing/2014/main" id="{847029A8-CDF3-484E-A59F-8B15BEDACCEC}"/>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3" name="TextBox 6">
          <a:extLst>
            <a:ext uri="{FF2B5EF4-FFF2-40B4-BE49-F238E27FC236}">
              <a16:creationId xmlns:a16="http://schemas.microsoft.com/office/drawing/2014/main" id="{B4BEB3BD-9930-48CC-9E9F-BB4F3CACFB8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4" name="TextBox 4">
          <a:extLst>
            <a:ext uri="{FF2B5EF4-FFF2-40B4-BE49-F238E27FC236}">
              <a16:creationId xmlns:a16="http://schemas.microsoft.com/office/drawing/2014/main" id="{F765EE82-F704-41BF-B68F-5315C91E065A}"/>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5" name="TextBox 5">
          <a:extLst>
            <a:ext uri="{FF2B5EF4-FFF2-40B4-BE49-F238E27FC236}">
              <a16:creationId xmlns:a16="http://schemas.microsoft.com/office/drawing/2014/main" id="{BB096D8E-8A80-4137-8466-C75808CC5CC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76" name="TextBox 6">
          <a:extLst>
            <a:ext uri="{FF2B5EF4-FFF2-40B4-BE49-F238E27FC236}">
              <a16:creationId xmlns:a16="http://schemas.microsoft.com/office/drawing/2014/main" id="{0D3712A1-BA8B-424D-A017-EED35EE043E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477" name="TextBox 4">
          <a:extLst>
            <a:ext uri="{FF2B5EF4-FFF2-40B4-BE49-F238E27FC236}">
              <a16:creationId xmlns:a16="http://schemas.microsoft.com/office/drawing/2014/main" id="{561BA96C-589E-48BC-A553-7F88C34846EE}"/>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478" name="TextBox 5">
          <a:extLst>
            <a:ext uri="{FF2B5EF4-FFF2-40B4-BE49-F238E27FC236}">
              <a16:creationId xmlns:a16="http://schemas.microsoft.com/office/drawing/2014/main" id="{396A9147-BDE6-428B-B82D-964C28DBABFA}"/>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359"/>
    <xdr:sp macro="" textlink="">
      <xdr:nvSpPr>
        <xdr:cNvPr id="479" name="TextBox 6">
          <a:extLst>
            <a:ext uri="{FF2B5EF4-FFF2-40B4-BE49-F238E27FC236}">
              <a16:creationId xmlns:a16="http://schemas.microsoft.com/office/drawing/2014/main" id="{5E16C300-67AE-4B53-8908-D06C2AF098DC}"/>
            </a:ext>
          </a:extLst>
        </xdr:cNvPr>
        <xdr:cNvSpPr txBox="1"/>
      </xdr:nvSpPr>
      <xdr:spPr>
        <a:xfrm>
          <a:off x="4441521" y="58019950"/>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80" name="TextBox 4">
          <a:extLst>
            <a:ext uri="{FF2B5EF4-FFF2-40B4-BE49-F238E27FC236}">
              <a16:creationId xmlns:a16="http://schemas.microsoft.com/office/drawing/2014/main" id="{711A6CCC-5987-4841-B65F-6F691AC974AD}"/>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81" name="TextBox 5">
          <a:extLst>
            <a:ext uri="{FF2B5EF4-FFF2-40B4-BE49-F238E27FC236}">
              <a16:creationId xmlns:a16="http://schemas.microsoft.com/office/drawing/2014/main" id="{45E68F9F-EC76-4727-A5CF-5F6DF286347E}"/>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82" name="TextBox 6">
          <a:extLst>
            <a:ext uri="{FF2B5EF4-FFF2-40B4-BE49-F238E27FC236}">
              <a16:creationId xmlns:a16="http://schemas.microsoft.com/office/drawing/2014/main" id="{E3702D0F-9D2D-42D0-ADCF-AB7A5A0F98B5}"/>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83" name="TextBox 4">
          <a:extLst>
            <a:ext uri="{FF2B5EF4-FFF2-40B4-BE49-F238E27FC236}">
              <a16:creationId xmlns:a16="http://schemas.microsoft.com/office/drawing/2014/main" id="{5D292F03-62F7-4D58-A8A1-91D2865A882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84" name="TextBox 5">
          <a:extLst>
            <a:ext uri="{FF2B5EF4-FFF2-40B4-BE49-F238E27FC236}">
              <a16:creationId xmlns:a16="http://schemas.microsoft.com/office/drawing/2014/main" id="{7FBE6BFC-77ED-44E5-AB20-0D6726009064}"/>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485" name="TextBox 6">
          <a:extLst>
            <a:ext uri="{FF2B5EF4-FFF2-40B4-BE49-F238E27FC236}">
              <a16:creationId xmlns:a16="http://schemas.microsoft.com/office/drawing/2014/main" id="{48A8F7B8-DF06-4158-91EB-C3E6B2D7164B}"/>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86" name="TextBox 4">
          <a:extLst>
            <a:ext uri="{FF2B5EF4-FFF2-40B4-BE49-F238E27FC236}">
              <a16:creationId xmlns:a16="http://schemas.microsoft.com/office/drawing/2014/main" id="{2750023C-D732-456B-B1B2-B667831A9B81}"/>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87" name="TextBox 5">
          <a:extLst>
            <a:ext uri="{FF2B5EF4-FFF2-40B4-BE49-F238E27FC236}">
              <a16:creationId xmlns:a16="http://schemas.microsoft.com/office/drawing/2014/main" id="{292ACD38-BBFB-43F0-8773-9BCFA1387CB2}"/>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88" name="TextBox 6">
          <a:extLst>
            <a:ext uri="{FF2B5EF4-FFF2-40B4-BE49-F238E27FC236}">
              <a16:creationId xmlns:a16="http://schemas.microsoft.com/office/drawing/2014/main" id="{FFFE6050-F167-44E3-847B-7EE80F621EB2}"/>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89" name="TextBox 4">
          <a:extLst>
            <a:ext uri="{FF2B5EF4-FFF2-40B4-BE49-F238E27FC236}">
              <a16:creationId xmlns:a16="http://schemas.microsoft.com/office/drawing/2014/main" id="{15666ECE-88B4-4034-B5FD-420A59790FA2}"/>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0" name="TextBox 5">
          <a:extLst>
            <a:ext uri="{FF2B5EF4-FFF2-40B4-BE49-F238E27FC236}">
              <a16:creationId xmlns:a16="http://schemas.microsoft.com/office/drawing/2014/main" id="{C72F27AB-28AB-4B2C-AF6B-FDC31FC1CDCC}"/>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1" name="TextBox 6">
          <a:extLst>
            <a:ext uri="{FF2B5EF4-FFF2-40B4-BE49-F238E27FC236}">
              <a16:creationId xmlns:a16="http://schemas.microsoft.com/office/drawing/2014/main" id="{BC306680-EB74-4E2B-81A0-6ED3ECC65B0D}"/>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2" name="TextBox 4">
          <a:extLst>
            <a:ext uri="{FF2B5EF4-FFF2-40B4-BE49-F238E27FC236}">
              <a16:creationId xmlns:a16="http://schemas.microsoft.com/office/drawing/2014/main" id="{F9E1C808-D548-4706-B30B-C761597A0F4F}"/>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3" name="TextBox 5">
          <a:extLst>
            <a:ext uri="{FF2B5EF4-FFF2-40B4-BE49-F238E27FC236}">
              <a16:creationId xmlns:a16="http://schemas.microsoft.com/office/drawing/2014/main" id="{2A47DAC5-36FF-444D-8347-8145AE1ABF40}"/>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4" name="TextBox 6">
          <a:extLst>
            <a:ext uri="{FF2B5EF4-FFF2-40B4-BE49-F238E27FC236}">
              <a16:creationId xmlns:a16="http://schemas.microsoft.com/office/drawing/2014/main" id="{EE9A8E88-0669-499D-ABBE-013E0580D24B}"/>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5" name="TextBox 4">
          <a:extLst>
            <a:ext uri="{FF2B5EF4-FFF2-40B4-BE49-F238E27FC236}">
              <a16:creationId xmlns:a16="http://schemas.microsoft.com/office/drawing/2014/main" id="{5680303B-3E07-4DA7-9975-17035DAC195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6" name="TextBox 5">
          <a:extLst>
            <a:ext uri="{FF2B5EF4-FFF2-40B4-BE49-F238E27FC236}">
              <a16:creationId xmlns:a16="http://schemas.microsoft.com/office/drawing/2014/main" id="{346134E5-9182-46E1-A827-5D30F24B403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7" name="TextBox 6">
          <a:extLst>
            <a:ext uri="{FF2B5EF4-FFF2-40B4-BE49-F238E27FC236}">
              <a16:creationId xmlns:a16="http://schemas.microsoft.com/office/drawing/2014/main" id="{13D903BA-F019-467E-9931-B3C47595ACF9}"/>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8" name="TextBox 4">
          <a:extLst>
            <a:ext uri="{FF2B5EF4-FFF2-40B4-BE49-F238E27FC236}">
              <a16:creationId xmlns:a16="http://schemas.microsoft.com/office/drawing/2014/main" id="{E0112D0A-819A-489E-B676-98555BED3901}"/>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499" name="TextBox 5">
          <a:extLst>
            <a:ext uri="{FF2B5EF4-FFF2-40B4-BE49-F238E27FC236}">
              <a16:creationId xmlns:a16="http://schemas.microsoft.com/office/drawing/2014/main" id="{3D5B5F47-0FAE-4271-B54E-A6F74D2AF6E3}"/>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500" name="TextBox 6">
          <a:extLst>
            <a:ext uri="{FF2B5EF4-FFF2-40B4-BE49-F238E27FC236}">
              <a16:creationId xmlns:a16="http://schemas.microsoft.com/office/drawing/2014/main" id="{D3E69E5D-8F6C-4B39-8732-B7A43CF0B674}"/>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501" name="TextBox 4">
          <a:extLst>
            <a:ext uri="{FF2B5EF4-FFF2-40B4-BE49-F238E27FC236}">
              <a16:creationId xmlns:a16="http://schemas.microsoft.com/office/drawing/2014/main" id="{BE60529C-DC40-486C-9213-2FB99E80F650}"/>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502" name="TextBox 5">
          <a:extLst>
            <a:ext uri="{FF2B5EF4-FFF2-40B4-BE49-F238E27FC236}">
              <a16:creationId xmlns:a16="http://schemas.microsoft.com/office/drawing/2014/main" id="{CA16A832-C15C-4E64-96B3-E72AD06FE8B8}"/>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64560"/>
    <xdr:sp macro="" textlink="">
      <xdr:nvSpPr>
        <xdr:cNvPr id="503" name="TextBox 6">
          <a:extLst>
            <a:ext uri="{FF2B5EF4-FFF2-40B4-BE49-F238E27FC236}">
              <a16:creationId xmlns:a16="http://schemas.microsoft.com/office/drawing/2014/main" id="{7527B9E4-348C-4865-A45C-3DDC93E73E8F}"/>
            </a:ext>
          </a:extLst>
        </xdr:cNvPr>
        <xdr:cNvSpPr txBox="1"/>
      </xdr:nvSpPr>
      <xdr:spPr>
        <a:xfrm>
          <a:off x="4441521" y="5801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504" name="TextBox 4">
          <a:extLst>
            <a:ext uri="{FF2B5EF4-FFF2-40B4-BE49-F238E27FC236}">
              <a16:creationId xmlns:a16="http://schemas.microsoft.com/office/drawing/2014/main" id="{EDB5FBD4-9F03-4EE0-8F59-98CAE7091801}"/>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505" name="TextBox 5">
          <a:extLst>
            <a:ext uri="{FF2B5EF4-FFF2-40B4-BE49-F238E27FC236}">
              <a16:creationId xmlns:a16="http://schemas.microsoft.com/office/drawing/2014/main" id="{29746C8D-5C1E-42D4-BBA9-87FD3C6EBD53}"/>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4</xdr:col>
      <xdr:colOff>40971</xdr:colOff>
      <xdr:row>152</xdr:row>
      <xdr:rowOff>0</xdr:rowOff>
    </xdr:from>
    <xdr:ext cx="184731" cy="274009"/>
    <xdr:sp macro="" textlink="">
      <xdr:nvSpPr>
        <xdr:cNvPr id="506" name="TextBox 6">
          <a:extLst>
            <a:ext uri="{FF2B5EF4-FFF2-40B4-BE49-F238E27FC236}">
              <a16:creationId xmlns:a16="http://schemas.microsoft.com/office/drawing/2014/main" id="{D1CC7E73-FE6F-4C1E-9EF4-548E8EB83D0A}"/>
            </a:ext>
          </a:extLst>
        </xdr:cNvPr>
        <xdr:cNvSpPr txBox="1"/>
      </xdr:nvSpPr>
      <xdr:spPr>
        <a:xfrm>
          <a:off x="4441521" y="580199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205740</xdr:colOff>
      <xdr:row>152</xdr:row>
      <xdr:rowOff>0</xdr:rowOff>
    </xdr:from>
    <xdr:ext cx="923978" cy="311803"/>
    <xdr:sp macro="" textlink="">
      <xdr:nvSpPr>
        <xdr:cNvPr id="507" name="TextBox 784">
          <a:extLst>
            <a:ext uri="{FF2B5EF4-FFF2-40B4-BE49-F238E27FC236}">
              <a16:creationId xmlns:a16="http://schemas.microsoft.com/office/drawing/2014/main" id="{2C2E0FED-EE9E-4555-9FE8-BF159CEB740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08" name="TextBox 785">
          <a:extLst>
            <a:ext uri="{FF2B5EF4-FFF2-40B4-BE49-F238E27FC236}">
              <a16:creationId xmlns:a16="http://schemas.microsoft.com/office/drawing/2014/main" id="{E8FC53D7-E0EF-4069-90B8-E77652F3A9D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09" name="TextBox 786">
          <a:extLst>
            <a:ext uri="{FF2B5EF4-FFF2-40B4-BE49-F238E27FC236}">
              <a16:creationId xmlns:a16="http://schemas.microsoft.com/office/drawing/2014/main" id="{1D274D71-0ECC-4195-A145-00771F8EE6F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0" name="TextBox 787">
          <a:extLst>
            <a:ext uri="{FF2B5EF4-FFF2-40B4-BE49-F238E27FC236}">
              <a16:creationId xmlns:a16="http://schemas.microsoft.com/office/drawing/2014/main" id="{94D4ABE9-3DB2-483B-9116-D47A4150E9E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1" name="TextBox 788">
          <a:extLst>
            <a:ext uri="{FF2B5EF4-FFF2-40B4-BE49-F238E27FC236}">
              <a16:creationId xmlns:a16="http://schemas.microsoft.com/office/drawing/2014/main" id="{97227809-4CFE-4833-A982-A8282CBD216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2" name="TextBox 789">
          <a:extLst>
            <a:ext uri="{FF2B5EF4-FFF2-40B4-BE49-F238E27FC236}">
              <a16:creationId xmlns:a16="http://schemas.microsoft.com/office/drawing/2014/main" id="{05193177-DFCF-408C-90EF-A2D151C6F18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13" name="TextBox 790">
          <a:extLst>
            <a:ext uri="{FF2B5EF4-FFF2-40B4-BE49-F238E27FC236}">
              <a16:creationId xmlns:a16="http://schemas.microsoft.com/office/drawing/2014/main" id="{81F9D2C0-99D2-400D-9C80-5BE88FA919F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14" name="TextBox 791">
          <a:extLst>
            <a:ext uri="{FF2B5EF4-FFF2-40B4-BE49-F238E27FC236}">
              <a16:creationId xmlns:a16="http://schemas.microsoft.com/office/drawing/2014/main" id="{0F668854-3C76-4DB8-B496-DF3B4718A786}"/>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15" name="TextBox 792">
          <a:extLst>
            <a:ext uri="{FF2B5EF4-FFF2-40B4-BE49-F238E27FC236}">
              <a16:creationId xmlns:a16="http://schemas.microsoft.com/office/drawing/2014/main" id="{66620AE4-5FB7-4304-B265-5FEB46BFC201}"/>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6" name="TextBox 2097">
          <a:extLst>
            <a:ext uri="{FF2B5EF4-FFF2-40B4-BE49-F238E27FC236}">
              <a16:creationId xmlns:a16="http://schemas.microsoft.com/office/drawing/2014/main" id="{04103DFD-6DF9-4133-A63B-F152A8063D0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7" name="TextBox 2098">
          <a:extLst>
            <a:ext uri="{FF2B5EF4-FFF2-40B4-BE49-F238E27FC236}">
              <a16:creationId xmlns:a16="http://schemas.microsoft.com/office/drawing/2014/main" id="{F9C1AB28-54A2-47B9-B59D-66E23689A34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8" name="TextBox 2099">
          <a:extLst>
            <a:ext uri="{FF2B5EF4-FFF2-40B4-BE49-F238E27FC236}">
              <a16:creationId xmlns:a16="http://schemas.microsoft.com/office/drawing/2014/main" id="{2E8D3315-6C78-4635-9CB9-DE24CD8083DB}"/>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19" name="TextBox 2100">
          <a:extLst>
            <a:ext uri="{FF2B5EF4-FFF2-40B4-BE49-F238E27FC236}">
              <a16:creationId xmlns:a16="http://schemas.microsoft.com/office/drawing/2014/main" id="{C303BAFE-2683-4E26-8818-F500241E0AC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0" name="TextBox 2101">
          <a:extLst>
            <a:ext uri="{FF2B5EF4-FFF2-40B4-BE49-F238E27FC236}">
              <a16:creationId xmlns:a16="http://schemas.microsoft.com/office/drawing/2014/main" id="{C3D8B4ED-A53B-42C1-928E-D75CE4D976C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1" name="TextBox 2102">
          <a:extLst>
            <a:ext uri="{FF2B5EF4-FFF2-40B4-BE49-F238E27FC236}">
              <a16:creationId xmlns:a16="http://schemas.microsoft.com/office/drawing/2014/main" id="{EFEB210D-F2B6-4BEE-B6B3-6181AE95182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22" name="TextBox 2103">
          <a:extLst>
            <a:ext uri="{FF2B5EF4-FFF2-40B4-BE49-F238E27FC236}">
              <a16:creationId xmlns:a16="http://schemas.microsoft.com/office/drawing/2014/main" id="{0333C2AD-1F05-4F68-946E-F8A5ADF44462}"/>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23" name="TextBox 2104">
          <a:extLst>
            <a:ext uri="{FF2B5EF4-FFF2-40B4-BE49-F238E27FC236}">
              <a16:creationId xmlns:a16="http://schemas.microsoft.com/office/drawing/2014/main" id="{FEEAD637-9A21-4FA7-8BE6-6113CA4FF0BD}"/>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24" name="TextBox 2105">
          <a:extLst>
            <a:ext uri="{FF2B5EF4-FFF2-40B4-BE49-F238E27FC236}">
              <a16:creationId xmlns:a16="http://schemas.microsoft.com/office/drawing/2014/main" id="{37FEC7E6-404B-49E3-ABD2-7E142C15F96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5" name="TextBox 783">
          <a:extLst>
            <a:ext uri="{FF2B5EF4-FFF2-40B4-BE49-F238E27FC236}">
              <a16:creationId xmlns:a16="http://schemas.microsoft.com/office/drawing/2014/main" id="{6541444A-4DAB-4A93-BF3D-B3E6A00E2CB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6" name="TextBox 784">
          <a:extLst>
            <a:ext uri="{FF2B5EF4-FFF2-40B4-BE49-F238E27FC236}">
              <a16:creationId xmlns:a16="http://schemas.microsoft.com/office/drawing/2014/main" id="{C47F356A-B934-4295-ADEE-FA12B59F5E9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7" name="TextBox 785">
          <a:extLst>
            <a:ext uri="{FF2B5EF4-FFF2-40B4-BE49-F238E27FC236}">
              <a16:creationId xmlns:a16="http://schemas.microsoft.com/office/drawing/2014/main" id="{6B2EEC7A-CA1D-482E-AEE2-90612DF3237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8" name="TextBox 786">
          <a:extLst>
            <a:ext uri="{FF2B5EF4-FFF2-40B4-BE49-F238E27FC236}">
              <a16:creationId xmlns:a16="http://schemas.microsoft.com/office/drawing/2014/main" id="{48952186-7E75-49EF-BC7C-1FB6CC4D15A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29" name="TextBox 787">
          <a:extLst>
            <a:ext uri="{FF2B5EF4-FFF2-40B4-BE49-F238E27FC236}">
              <a16:creationId xmlns:a16="http://schemas.microsoft.com/office/drawing/2014/main" id="{6AD954AD-F8E0-4645-8EB2-9FF7D4E4B64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0" name="TextBox 788">
          <a:extLst>
            <a:ext uri="{FF2B5EF4-FFF2-40B4-BE49-F238E27FC236}">
              <a16:creationId xmlns:a16="http://schemas.microsoft.com/office/drawing/2014/main" id="{6DD78BFC-D788-4005-AB42-586800A594AD}"/>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31" name="TextBox 789">
          <a:extLst>
            <a:ext uri="{FF2B5EF4-FFF2-40B4-BE49-F238E27FC236}">
              <a16:creationId xmlns:a16="http://schemas.microsoft.com/office/drawing/2014/main" id="{15D8D062-0B26-49AA-9A8D-67EA8F8BC601}"/>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32" name="TextBox 790">
          <a:extLst>
            <a:ext uri="{FF2B5EF4-FFF2-40B4-BE49-F238E27FC236}">
              <a16:creationId xmlns:a16="http://schemas.microsoft.com/office/drawing/2014/main" id="{680A4B1A-BEA5-4009-B4B4-67B2EBA3887D}"/>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33" name="TextBox 791">
          <a:extLst>
            <a:ext uri="{FF2B5EF4-FFF2-40B4-BE49-F238E27FC236}">
              <a16:creationId xmlns:a16="http://schemas.microsoft.com/office/drawing/2014/main" id="{C6DBE2A3-CD4E-45A8-BF08-DE4A5BDEF7D1}"/>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4" name="TextBox 2088">
          <a:extLst>
            <a:ext uri="{FF2B5EF4-FFF2-40B4-BE49-F238E27FC236}">
              <a16:creationId xmlns:a16="http://schemas.microsoft.com/office/drawing/2014/main" id="{CD03FC4E-678E-4251-BCC9-AAAFE849D9E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5" name="TextBox 2089">
          <a:extLst>
            <a:ext uri="{FF2B5EF4-FFF2-40B4-BE49-F238E27FC236}">
              <a16:creationId xmlns:a16="http://schemas.microsoft.com/office/drawing/2014/main" id="{E52016A2-EE81-417D-8F45-4A0E2EACB07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6" name="TextBox 2090">
          <a:extLst>
            <a:ext uri="{FF2B5EF4-FFF2-40B4-BE49-F238E27FC236}">
              <a16:creationId xmlns:a16="http://schemas.microsoft.com/office/drawing/2014/main" id="{56E97564-7E97-40A8-B9AA-75C267B66EA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7" name="TextBox 2091">
          <a:extLst>
            <a:ext uri="{FF2B5EF4-FFF2-40B4-BE49-F238E27FC236}">
              <a16:creationId xmlns:a16="http://schemas.microsoft.com/office/drawing/2014/main" id="{5FA36576-518E-4873-8CD2-FD90945A6671}"/>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8" name="TextBox 2092">
          <a:extLst>
            <a:ext uri="{FF2B5EF4-FFF2-40B4-BE49-F238E27FC236}">
              <a16:creationId xmlns:a16="http://schemas.microsoft.com/office/drawing/2014/main" id="{C7BE1317-2847-41B8-9C7A-CB8D38A5A863}"/>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39" name="TextBox 2093">
          <a:extLst>
            <a:ext uri="{FF2B5EF4-FFF2-40B4-BE49-F238E27FC236}">
              <a16:creationId xmlns:a16="http://schemas.microsoft.com/office/drawing/2014/main" id="{B051A26F-C08E-4508-89F6-B65E6D90153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40" name="TextBox 2094">
          <a:extLst>
            <a:ext uri="{FF2B5EF4-FFF2-40B4-BE49-F238E27FC236}">
              <a16:creationId xmlns:a16="http://schemas.microsoft.com/office/drawing/2014/main" id="{23387A1F-D54E-4120-853C-904C9EDBD1A0}"/>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41" name="TextBox 2095">
          <a:extLst>
            <a:ext uri="{FF2B5EF4-FFF2-40B4-BE49-F238E27FC236}">
              <a16:creationId xmlns:a16="http://schemas.microsoft.com/office/drawing/2014/main" id="{8FDC6B15-3830-4D47-8C81-BB3E38FA095B}"/>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42" name="TextBox 2096">
          <a:extLst>
            <a:ext uri="{FF2B5EF4-FFF2-40B4-BE49-F238E27FC236}">
              <a16:creationId xmlns:a16="http://schemas.microsoft.com/office/drawing/2014/main" id="{2F389525-D5FE-4006-AEEE-1A056C7C8233}"/>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43" name="TextBox 784">
          <a:extLst>
            <a:ext uri="{FF2B5EF4-FFF2-40B4-BE49-F238E27FC236}">
              <a16:creationId xmlns:a16="http://schemas.microsoft.com/office/drawing/2014/main" id="{50FFD12F-8890-4597-9105-F54CE6D92615}"/>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44" name="TextBox 785">
          <a:extLst>
            <a:ext uri="{FF2B5EF4-FFF2-40B4-BE49-F238E27FC236}">
              <a16:creationId xmlns:a16="http://schemas.microsoft.com/office/drawing/2014/main" id="{A67E6052-A1A4-4190-A8B8-BE686333AA3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45" name="TextBox 786">
          <a:extLst>
            <a:ext uri="{FF2B5EF4-FFF2-40B4-BE49-F238E27FC236}">
              <a16:creationId xmlns:a16="http://schemas.microsoft.com/office/drawing/2014/main" id="{EBDF0A13-07E9-4B3E-B5E8-1AD09186655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46" name="TextBox 787">
          <a:extLst>
            <a:ext uri="{FF2B5EF4-FFF2-40B4-BE49-F238E27FC236}">
              <a16:creationId xmlns:a16="http://schemas.microsoft.com/office/drawing/2014/main" id="{8BA56B8F-FF42-4446-98C1-E026768F1BF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47" name="TextBox 788">
          <a:extLst>
            <a:ext uri="{FF2B5EF4-FFF2-40B4-BE49-F238E27FC236}">
              <a16:creationId xmlns:a16="http://schemas.microsoft.com/office/drawing/2014/main" id="{8FC19518-3D29-4625-B2CF-6CE626AF1DB1}"/>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48" name="TextBox 789">
          <a:extLst>
            <a:ext uri="{FF2B5EF4-FFF2-40B4-BE49-F238E27FC236}">
              <a16:creationId xmlns:a16="http://schemas.microsoft.com/office/drawing/2014/main" id="{01B298EE-8EEF-443B-AF0C-E3479B8B747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49" name="TextBox 790">
          <a:extLst>
            <a:ext uri="{FF2B5EF4-FFF2-40B4-BE49-F238E27FC236}">
              <a16:creationId xmlns:a16="http://schemas.microsoft.com/office/drawing/2014/main" id="{66D046B1-029D-4877-9EA2-0C838BFCF933}"/>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50" name="TextBox 791">
          <a:extLst>
            <a:ext uri="{FF2B5EF4-FFF2-40B4-BE49-F238E27FC236}">
              <a16:creationId xmlns:a16="http://schemas.microsoft.com/office/drawing/2014/main" id="{AEF495DE-0624-4AD7-8F61-4B9363ECC22A}"/>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51" name="TextBox 792">
          <a:extLst>
            <a:ext uri="{FF2B5EF4-FFF2-40B4-BE49-F238E27FC236}">
              <a16:creationId xmlns:a16="http://schemas.microsoft.com/office/drawing/2014/main" id="{FE33214D-B6E8-4A90-AE1D-6A1DB497C82F}"/>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52" name="TextBox 2097">
          <a:extLst>
            <a:ext uri="{FF2B5EF4-FFF2-40B4-BE49-F238E27FC236}">
              <a16:creationId xmlns:a16="http://schemas.microsoft.com/office/drawing/2014/main" id="{4058C880-5181-42E6-A6E8-5CD605079DF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53" name="TextBox 2098">
          <a:extLst>
            <a:ext uri="{FF2B5EF4-FFF2-40B4-BE49-F238E27FC236}">
              <a16:creationId xmlns:a16="http://schemas.microsoft.com/office/drawing/2014/main" id="{4D7DD14D-F17F-40C9-AEE1-FA5B65699D8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54" name="TextBox 2099">
          <a:extLst>
            <a:ext uri="{FF2B5EF4-FFF2-40B4-BE49-F238E27FC236}">
              <a16:creationId xmlns:a16="http://schemas.microsoft.com/office/drawing/2014/main" id="{0504E13F-5B4F-48B1-80F8-CF98949C984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55" name="TextBox 2100">
          <a:extLst>
            <a:ext uri="{FF2B5EF4-FFF2-40B4-BE49-F238E27FC236}">
              <a16:creationId xmlns:a16="http://schemas.microsoft.com/office/drawing/2014/main" id="{A1975D6C-E8E6-46CB-9B30-6EF80F0C3B9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56" name="TextBox 2101">
          <a:extLst>
            <a:ext uri="{FF2B5EF4-FFF2-40B4-BE49-F238E27FC236}">
              <a16:creationId xmlns:a16="http://schemas.microsoft.com/office/drawing/2014/main" id="{6D98799E-D3AA-4339-96C1-4164ABAE8B74}"/>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57" name="TextBox 2102">
          <a:extLst>
            <a:ext uri="{FF2B5EF4-FFF2-40B4-BE49-F238E27FC236}">
              <a16:creationId xmlns:a16="http://schemas.microsoft.com/office/drawing/2014/main" id="{95398DB0-8B21-4536-9B38-33C08876373E}"/>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58" name="TextBox 2103">
          <a:extLst>
            <a:ext uri="{FF2B5EF4-FFF2-40B4-BE49-F238E27FC236}">
              <a16:creationId xmlns:a16="http://schemas.microsoft.com/office/drawing/2014/main" id="{EAC97F4A-BF9A-4627-94C2-33970EB2C7E8}"/>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59" name="TextBox 2104">
          <a:extLst>
            <a:ext uri="{FF2B5EF4-FFF2-40B4-BE49-F238E27FC236}">
              <a16:creationId xmlns:a16="http://schemas.microsoft.com/office/drawing/2014/main" id="{9C250620-EAE9-4F26-BE3C-8B49B08D541B}"/>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60" name="TextBox 2105">
          <a:extLst>
            <a:ext uri="{FF2B5EF4-FFF2-40B4-BE49-F238E27FC236}">
              <a16:creationId xmlns:a16="http://schemas.microsoft.com/office/drawing/2014/main" id="{77B5D4A1-3CCD-41A0-84B5-791E6CFF5638}"/>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61" name="TextBox 783">
          <a:extLst>
            <a:ext uri="{FF2B5EF4-FFF2-40B4-BE49-F238E27FC236}">
              <a16:creationId xmlns:a16="http://schemas.microsoft.com/office/drawing/2014/main" id="{4A05A9AF-B862-4C7A-8EA8-D9208F379B1A}"/>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62" name="TextBox 784">
          <a:extLst>
            <a:ext uri="{FF2B5EF4-FFF2-40B4-BE49-F238E27FC236}">
              <a16:creationId xmlns:a16="http://schemas.microsoft.com/office/drawing/2014/main" id="{A112E60D-1FD4-45DF-B0D0-7F97B1FE72BB}"/>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63" name="TextBox 785">
          <a:extLst>
            <a:ext uri="{FF2B5EF4-FFF2-40B4-BE49-F238E27FC236}">
              <a16:creationId xmlns:a16="http://schemas.microsoft.com/office/drawing/2014/main" id="{E9262598-FA52-4AC9-809C-6FE47D5A6259}"/>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64" name="TextBox 786">
          <a:extLst>
            <a:ext uri="{FF2B5EF4-FFF2-40B4-BE49-F238E27FC236}">
              <a16:creationId xmlns:a16="http://schemas.microsoft.com/office/drawing/2014/main" id="{EFEB5F04-619E-434F-9E4C-E31A91E5627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65" name="TextBox 787">
          <a:extLst>
            <a:ext uri="{FF2B5EF4-FFF2-40B4-BE49-F238E27FC236}">
              <a16:creationId xmlns:a16="http://schemas.microsoft.com/office/drawing/2014/main" id="{56582833-11D2-46C3-B73A-802E747A65F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66" name="TextBox 788">
          <a:extLst>
            <a:ext uri="{FF2B5EF4-FFF2-40B4-BE49-F238E27FC236}">
              <a16:creationId xmlns:a16="http://schemas.microsoft.com/office/drawing/2014/main" id="{4E3260E6-D6FA-47EB-AD5E-58DE1DD5D9B6}"/>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67" name="TextBox 789">
          <a:extLst>
            <a:ext uri="{FF2B5EF4-FFF2-40B4-BE49-F238E27FC236}">
              <a16:creationId xmlns:a16="http://schemas.microsoft.com/office/drawing/2014/main" id="{256635DA-775E-4A71-AF09-06DC44C2F9A7}"/>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68" name="TextBox 790">
          <a:extLst>
            <a:ext uri="{FF2B5EF4-FFF2-40B4-BE49-F238E27FC236}">
              <a16:creationId xmlns:a16="http://schemas.microsoft.com/office/drawing/2014/main" id="{D7194336-47B1-4A3F-9899-E9E55A2C438B}"/>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69" name="TextBox 791">
          <a:extLst>
            <a:ext uri="{FF2B5EF4-FFF2-40B4-BE49-F238E27FC236}">
              <a16:creationId xmlns:a16="http://schemas.microsoft.com/office/drawing/2014/main" id="{4A44F5CD-007B-4704-A799-6A9AE1BBE13C}"/>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70" name="TextBox 2088">
          <a:extLst>
            <a:ext uri="{FF2B5EF4-FFF2-40B4-BE49-F238E27FC236}">
              <a16:creationId xmlns:a16="http://schemas.microsoft.com/office/drawing/2014/main" id="{E27588BE-1AE5-42E7-B406-760737467EB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71" name="TextBox 2089">
          <a:extLst>
            <a:ext uri="{FF2B5EF4-FFF2-40B4-BE49-F238E27FC236}">
              <a16:creationId xmlns:a16="http://schemas.microsoft.com/office/drawing/2014/main" id="{BC612A13-0FF2-4F29-A021-DCA0E430CFA2}"/>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72" name="TextBox 2090">
          <a:extLst>
            <a:ext uri="{FF2B5EF4-FFF2-40B4-BE49-F238E27FC236}">
              <a16:creationId xmlns:a16="http://schemas.microsoft.com/office/drawing/2014/main" id="{4898E419-4C76-4878-9D25-4F2D57E98EBB}"/>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73" name="TextBox 2091">
          <a:extLst>
            <a:ext uri="{FF2B5EF4-FFF2-40B4-BE49-F238E27FC236}">
              <a16:creationId xmlns:a16="http://schemas.microsoft.com/office/drawing/2014/main" id="{80715254-03CB-4E78-82EF-543367749460}"/>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74" name="TextBox 2092">
          <a:extLst>
            <a:ext uri="{FF2B5EF4-FFF2-40B4-BE49-F238E27FC236}">
              <a16:creationId xmlns:a16="http://schemas.microsoft.com/office/drawing/2014/main" id="{8941D209-93F7-4476-A863-2334F1485E9B}"/>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205740</xdr:colOff>
      <xdr:row>152</xdr:row>
      <xdr:rowOff>0</xdr:rowOff>
    </xdr:from>
    <xdr:ext cx="923978" cy="311803"/>
    <xdr:sp macro="" textlink="">
      <xdr:nvSpPr>
        <xdr:cNvPr id="575" name="TextBox 2093">
          <a:extLst>
            <a:ext uri="{FF2B5EF4-FFF2-40B4-BE49-F238E27FC236}">
              <a16:creationId xmlns:a16="http://schemas.microsoft.com/office/drawing/2014/main" id="{80E2EA83-A8F2-4465-8A74-836E306556D1}"/>
            </a:ext>
          </a:extLst>
        </xdr:cNvPr>
        <xdr:cNvSpPr txBox="1"/>
      </xdr:nvSpPr>
      <xdr:spPr>
        <a:xfrm>
          <a:off x="4136390" y="58019950"/>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76" name="TextBox 2094">
          <a:extLst>
            <a:ext uri="{FF2B5EF4-FFF2-40B4-BE49-F238E27FC236}">
              <a16:creationId xmlns:a16="http://schemas.microsoft.com/office/drawing/2014/main" id="{23E7F0D0-271F-41EF-9A42-FE0377B525AE}"/>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77" name="TextBox 2095">
          <a:extLst>
            <a:ext uri="{FF2B5EF4-FFF2-40B4-BE49-F238E27FC236}">
              <a16:creationId xmlns:a16="http://schemas.microsoft.com/office/drawing/2014/main" id="{7E54AD4E-E3D1-4BD3-BDE9-2AF0BC2BDCD1}"/>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3</xdr:col>
      <xdr:colOff>220980</xdr:colOff>
      <xdr:row>152</xdr:row>
      <xdr:rowOff>0</xdr:rowOff>
    </xdr:from>
    <xdr:ext cx="878878" cy="311803"/>
    <xdr:sp macro="" textlink="">
      <xdr:nvSpPr>
        <xdr:cNvPr id="578" name="TextBox 2096">
          <a:extLst>
            <a:ext uri="{FF2B5EF4-FFF2-40B4-BE49-F238E27FC236}">
              <a16:creationId xmlns:a16="http://schemas.microsoft.com/office/drawing/2014/main" id="{1E234BDC-7EC8-496C-891A-53E03839E120}"/>
            </a:ext>
          </a:extLst>
        </xdr:cNvPr>
        <xdr:cNvSpPr txBox="1"/>
      </xdr:nvSpPr>
      <xdr:spPr>
        <a:xfrm>
          <a:off x="4151630" y="58019950"/>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79" name="TextBox 784">
          <a:extLst>
            <a:ext uri="{FF2B5EF4-FFF2-40B4-BE49-F238E27FC236}">
              <a16:creationId xmlns:a16="http://schemas.microsoft.com/office/drawing/2014/main" id="{8602F6EA-AF62-4003-AE06-0DF892A28313}"/>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0" name="TextBox 785">
          <a:extLst>
            <a:ext uri="{FF2B5EF4-FFF2-40B4-BE49-F238E27FC236}">
              <a16:creationId xmlns:a16="http://schemas.microsoft.com/office/drawing/2014/main" id="{6F12F29E-9D5A-4D16-B764-0FCF0968420E}"/>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1" name="TextBox 786">
          <a:extLst>
            <a:ext uri="{FF2B5EF4-FFF2-40B4-BE49-F238E27FC236}">
              <a16:creationId xmlns:a16="http://schemas.microsoft.com/office/drawing/2014/main" id="{A72AAE04-1878-4E5D-939C-185A66C4F7A1}"/>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2" name="TextBox 787">
          <a:extLst>
            <a:ext uri="{FF2B5EF4-FFF2-40B4-BE49-F238E27FC236}">
              <a16:creationId xmlns:a16="http://schemas.microsoft.com/office/drawing/2014/main" id="{17034332-7D35-4D3C-A1B1-F60F08AE3E57}"/>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3" name="TextBox 788">
          <a:extLst>
            <a:ext uri="{FF2B5EF4-FFF2-40B4-BE49-F238E27FC236}">
              <a16:creationId xmlns:a16="http://schemas.microsoft.com/office/drawing/2014/main" id="{2B6D9CBC-B3A5-4BF6-972E-E55BB11FF6E5}"/>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4" name="TextBox 789">
          <a:extLst>
            <a:ext uri="{FF2B5EF4-FFF2-40B4-BE49-F238E27FC236}">
              <a16:creationId xmlns:a16="http://schemas.microsoft.com/office/drawing/2014/main" id="{8D797848-CD5B-4B02-A5BE-6270B4B67E6E}"/>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585" name="TextBox 790">
          <a:extLst>
            <a:ext uri="{FF2B5EF4-FFF2-40B4-BE49-F238E27FC236}">
              <a16:creationId xmlns:a16="http://schemas.microsoft.com/office/drawing/2014/main" id="{3A550DA2-9FC0-4937-BD55-59FBCDA5CF5F}"/>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586" name="TextBox 791">
          <a:extLst>
            <a:ext uri="{FF2B5EF4-FFF2-40B4-BE49-F238E27FC236}">
              <a16:creationId xmlns:a16="http://schemas.microsoft.com/office/drawing/2014/main" id="{CF5E71E6-1E8C-404B-B656-D4E112960D55}"/>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587" name="TextBox 792">
          <a:extLst>
            <a:ext uri="{FF2B5EF4-FFF2-40B4-BE49-F238E27FC236}">
              <a16:creationId xmlns:a16="http://schemas.microsoft.com/office/drawing/2014/main" id="{5258BEAF-703A-4340-9526-C56BF16B743C}"/>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8" name="TextBox 2097">
          <a:extLst>
            <a:ext uri="{FF2B5EF4-FFF2-40B4-BE49-F238E27FC236}">
              <a16:creationId xmlns:a16="http://schemas.microsoft.com/office/drawing/2014/main" id="{66ADBE89-7C80-4AB4-918D-D0F557E135BC}"/>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89" name="TextBox 2098">
          <a:extLst>
            <a:ext uri="{FF2B5EF4-FFF2-40B4-BE49-F238E27FC236}">
              <a16:creationId xmlns:a16="http://schemas.microsoft.com/office/drawing/2014/main" id="{F7CE9A7D-AFF0-4293-B894-3DE4F793FE34}"/>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0" name="TextBox 2099">
          <a:extLst>
            <a:ext uri="{FF2B5EF4-FFF2-40B4-BE49-F238E27FC236}">
              <a16:creationId xmlns:a16="http://schemas.microsoft.com/office/drawing/2014/main" id="{AB2071F2-2EE8-4857-94ED-46BC1F8D832B}"/>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1" name="TextBox 2100">
          <a:extLst>
            <a:ext uri="{FF2B5EF4-FFF2-40B4-BE49-F238E27FC236}">
              <a16:creationId xmlns:a16="http://schemas.microsoft.com/office/drawing/2014/main" id="{BACF062B-16A0-461B-BCC4-DCBE99260911}"/>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2" name="TextBox 2101">
          <a:extLst>
            <a:ext uri="{FF2B5EF4-FFF2-40B4-BE49-F238E27FC236}">
              <a16:creationId xmlns:a16="http://schemas.microsoft.com/office/drawing/2014/main" id="{CF5BE697-7426-4155-BB41-EEF374D727D9}"/>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3" name="TextBox 2102">
          <a:extLst>
            <a:ext uri="{FF2B5EF4-FFF2-40B4-BE49-F238E27FC236}">
              <a16:creationId xmlns:a16="http://schemas.microsoft.com/office/drawing/2014/main" id="{4B3086FB-4B14-434B-985C-602766659609}"/>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594" name="TextBox 2103">
          <a:extLst>
            <a:ext uri="{FF2B5EF4-FFF2-40B4-BE49-F238E27FC236}">
              <a16:creationId xmlns:a16="http://schemas.microsoft.com/office/drawing/2014/main" id="{AC17B1B3-53FD-401B-AD98-FD5DF3FD891C}"/>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595" name="TextBox 2104">
          <a:extLst>
            <a:ext uri="{FF2B5EF4-FFF2-40B4-BE49-F238E27FC236}">
              <a16:creationId xmlns:a16="http://schemas.microsoft.com/office/drawing/2014/main" id="{87F524A2-02BF-4ACC-985C-A0C7170AC978}"/>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596" name="TextBox 2105">
          <a:extLst>
            <a:ext uri="{FF2B5EF4-FFF2-40B4-BE49-F238E27FC236}">
              <a16:creationId xmlns:a16="http://schemas.microsoft.com/office/drawing/2014/main" id="{61DA9DB1-79C7-4698-9872-997E6A373235}"/>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7" name="TextBox 783">
          <a:extLst>
            <a:ext uri="{FF2B5EF4-FFF2-40B4-BE49-F238E27FC236}">
              <a16:creationId xmlns:a16="http://schemas.microsoft.com/office/drawing/2014/main" id="{DA675409-182B-4277-B34E-179FE765C10B}"/>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8" name="TextBox 784">
          <a:extLst>
            <a:ext uri="{FF2B5EF4-FFF2-40B4-BE49-F238E27FC236}">
              <a16:creationId xmlns:a16="http://schemas.microsoft.com/office/drawing/2014/main" id="{701634C9-DC38-46CD-B2E0-CB8AE2D6ADEA}"/>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599" name="TextBox 785">
          <a:extLst>
            <a:ext uri="{FF2B5EF4-FFF2-40B4-BE49-F238E27FC236}">
              <a16:creationId xmlns:a16="http://schemas.microsoft.com/office/drawing/2014/main" id="{BAD08C39-3FCE-4E5C-8384-5526A43D3517}"/>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0" name="TextBox 786">
          <a:extLst>
            <a:ext uri="{FF2B5EF4-FFF2-40B4-BE49-F238E27FC236}">
              <a16:creationId xmlns:a16="http://schemas.microsoft.com/office/drawing/2014/main" id="{99940C43-0E13-4EB6-B4A1-B806653D68A5}"/>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1" name="TextBox 787">
          <a:extLst>
            <a:ext uri="{FF2B5EF4-FFF2-40B4-BE49-F238E27FC236}">
              <a16:creationId xmlns:a16="http://schemas.microsoft.com/office/drawing/2014/main" id="{ACF94B08-27A0-471C-8B07-A0C408312102}"/>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2" name="TextBox 788">
          <a:extLst>
            <a:ext uri="{FF2B5EF4-FFF2-40B4-BE49-F238E27FC236}">
              <a16:creationId xmlns:a16="http://schemas.microsoft.com/office/drawing/2014/main" id="{CC450576-4A8E-4B03-B58B-E0AEBC4A3D03}"/>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03" name="TextBox 789">
          <a:extLst>
            <a:ext uri="{FF2B5EF4-FFF2-40B4-BE49-F238E27FC236}">
              <a16:creationId xmlns:a16="http://schemas.microsoft.com/office/drawing/2014/main" id="{5A6A6418-C028-4C2C-9497-738E69173ECB}"/>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04" name="TextBox 790">
          <a:extLst>
            <a:ext uri="{FF2B5EF4-FFF2-40B4-BE49-F238E27FC236}">
              <a16:creationId xmlns:a16="http://schemas.microsoft.com/office/drawing/2014/main" id="{B7968393-666A-4473-A65C-C577772AA7F5}"/>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05" name="TextBox 791">
          <a:extLst>
            <a:ext uri="{FF2B5EF4-FFF2-40B4-BE49-F238E27FC236}">
              <a16:creationId xmlns:a16="http://schemas.microsoft.com/office/drawing/2014/main" id="{D7D48974-3831-4394-AECD-B0B5462A306D}"/>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6" name="TextBox 2088">
          <a:extLst>
            <a:ext uri="{FF2B5EF4-FFF2-40B4-BE49-F238E27FC236}">
              <a16:creationId xmlns:a16="http://schemas.microsoft.com/office/drawing/2014/main" id="{D974248A-6AE0-4A9B-9091-6C2A64D0B924}"/>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7" name="TextBox 2089">
          <a:extLst>
            <a:ext uri="{FF2B5EF4-FFF2-40B4-BE49-F238E27FC236}">
              <a16:creationId xmlns:a16="http://schemas.microsoft.com/office/drawing/2014/main" id="{4842CD4E-032C-4BD1-B859-E9322CDBC036}"/>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8" name="TextBox 2090">
          <a:extLst>
            <a:ext uri="{FF2B5EF4-FFF2-40B4-BE49-F238E27FC236}">
              <a16:creationId xmlns:a16="http://schemas.microsoft.com/office/drawing/2014/main" id="{49B43501-DC1D-4E19-A193-0FECD00384E9}"/>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09" name="TextBox 2091">
          <a:extLst>
            <a:ext uri="{FF2B5EF4-FFF2-40B4-BE49-F238E27FC236}">
              <a16:creationId xmlns:a16="http://schemas.microsoft.com/office/drawing/2014/main" id="{52246767-F9D1-4662-82B2-9B777A704968}"/>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0" name="TextBox 2092">
          <a:extLst>
            <a:ext uri="{FF2B5EF4-FFF2-40B4-BE49-F238E27FC236}">
              <a16:creationId xmlns:a16="http://schemas.microsoft.com/office/drawing/2014/main" id="{E5D60777-D760-44E3-AE5F-AAE7CB2EF9F4}"/>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1" name="TextBox 2093">
          <a:extLst>
            <a:ext uri="{FF2B5EF4-FFF2-40B4-BE49-F238E27FC236}">
              <a16:creationId xmlns:a16="http://schemas.microsoft.com/office/drawing/2014/main" id="{5D0465FB-2D79-4A61-A3DF-4E6FF01A7F32}"/>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12" name="TextBox 2094">
          <a:extLst>
            <a:ext uri="{FF2B5EF4-FFF2-40B4-BE49-F238E27FC236}">
              <a16:creationId xmlns:a16="http://schemas.microsoft.com/office/drawing/2014/main" id="{E6053A84-6DA0-4979-8025-ADA4E3752633}"/>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13" name="TextBox 2095">
          <a:extLst>
            <a:ext uri="{FF2B5EF4-FFF2-40B4-BE49-F238E27FC236}">
              <a16:creationId xmlns:a16="http://schemas.microsoft.com/office/drawing/2014/main" id="{A8F55FDF-58C0-404A-8F7D-11A3E89D8548}"/>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14" name="TextBox 2096">
          <a:extLst>
            <a:ext uri="{FF2B5EF4-FFF2-40B4-BE49-F238E27FC236}">
              <a16:creationId xmlns:a16="http://schemas.microsoft.com/office/drawing/2014/main" id="{61D41682-45E3-4EE0-A68F-23AE7CB1B77F}"/>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5" name="TextBox 784">
          <a:extLst>
            <a:ext uri="{FF2B5EF4-FFF2-40B4-BE49-F238E27FC236}">
              <a16:creationId xmlns:a16="http://schemas.microsoft.com/office/drawing/2014/main" id="{9F4C1CFA-D24C-4BA4-8E5E-3FFD7C987F47}"/>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6" name="TextBox 785">
          <a:extLst>
            <a:ext uri="{FF2B5EF4-FFF2-40B4-BE49-F238E27FC236}">
              <a16:creationId xmlns:a16="http://schemas.microsoft.com/office/drawing/2014/main" id="{D953F9A2-A7EF-4451-BDCB-32E2048F1262}"/>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7" name="TextBox 786">
          <a:extLst>
            <a:ext uri="{FF2B5EF4-FFF2-40B4-BE49-F238E27FC236}">
              <a16:creationId xmlns:a16="http://schemas.microsoft.com/office/drawing/2014/main" id="{B592FC62-C0EB-4B9A-9F95-8B6B86588D7E}"/>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8" name="TextBox 787">
          <a:extLst>
            <a:ext uri="{FF2B5EF4-FFF2-40B4-BE49-F238E27FC236}">
              <a16:creationId xmlns:a16="http://schemas.microsoft.com/office/drawing/2014/main" id="{4F831C08-AC8B-44CC-BC96-5A65CA991E64}"/>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19" name="TextBox 788">
          <a:extLst>
            <a:ext uri="{FF2B5EF4-FFF2-40B4-BE49-F238E27FC236}">
              <a16:creationId xmlns:a16="http://schemas.microsoft.com/office/drawing/2014/main" id="{6874EEDA-2EC2-4222-8562-A79BC42C62B2}"/>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0" name="TextBox 789">
          <a:extLst>
            <a:ext uri="{FF2B5EF4-FFF2-40B4-BE49-F238E27FC236}">
              <a16:creationId xmlns:a16="http://schemas.microsoft.com/office/drawing/2014/main" id="{8C5512A4-952A-4C69-BA02-EF94EC4558DB}"/>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21" name="TextBox 790">
          <a:extLst>
            <a:ext uri="{FF2B5EF4-FFF2-40B4-BE49-F238E27FC236}">
              <a16:creationId xmlns:a16="http://schemas.microsoft.com/office/drawing/2014/main" id="{6EA0D53B-AC08-4A18-AC64-D976BBB5CB25}"/>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22" name="TextBox 791">
          <a:extLst>
            <a:ext uri="{FF2B5EF4-FFF2-40B4-BE49-F238E27FC236}">
              <a16:creationId xmlns:a16="http://schemas.microsoft.com/office/drawing/2014/main" id="{385DB9AA-67DC-45D7-9B76-9DB7B34A97B5}"/>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23" name="TextBox 792">
          <a:extLst>
            <a:ext uri="{FF2B5EF4-FFF2-40B4-BE49-F238E27FC236}">
              <a16:creationId xmlns:a16="http://schemas.microsoft.com/office/drawing/2014/main" id="{74B76AAB-0811-4500-B008-1CC118761DC9}"/>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4" name="TextBox 2097">
          <a:extLst>
            <a:ext uri="{FF2B5EF4-FFF2-40B4-BE49-F238E27FC236}">
              <a16:creationId xmlns:a16="http://schemas.microsoft.com/office/drawing/2014/main" id="{C9471B3B-1A56-4B5C-B42E-F4F54373BA0A}"/>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5" name="TextBox 2098">
          <a:extLst>
            <a:ext uri="{FF2B5EF4-FFF2-40B4-BE49-F238E27FC236}">
              <a16:creationId xmlns:a16="http://schemas.microsoft.com/office/drawing/2014/main" id="{89B31CE6-6FAF-43B7-9AA8-5378A1E8DB53}"/>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6" name="TextBox 2099">
          <a:extLst>
            <a:ext uri="{FF2B5EF4-FFF2-40B4-BE49-F238E27FC236}">
              <a16:creationId xmlns:a16="http://schemas.microsoft.com/office/drawing/2014/main" id="{3B7CE951-35F2-4F69-8097-11C119EBEF91}"/>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7" name="TextBox 2100">
          <a:extLst>
            <a:ext uri="{FF2B5EF4-FFF2-40B4-BE49-F238E27FC236}">
              <a16:creationId xmlns:a16="http://schemas.microsoft.com/office/drawing/2014/main" id="{CCC00935-A40D-4668-BFAF-3E55C92232A8}"/>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8" name="TextBox 2101">
          <a:extLst>
            <a:ext uri="{FF2B5EF4-FFF2-40B4-BE49-F238E27FC236}">
              <a16:creationId xmlns:a16="http://schemas.microsoft.com/office/drawing/2014/main" id="{B84ED49C-A4AA-415B-83CB-B91FF689FC3F}"/>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29" name="TextBox 2102">
          <a:extLst>
            <a:ext uri="{FF2B5EF4-FFF2-40B4-BE49-F238E27FC236}">
              <a16:creationId xmlns:a16="http://schemas.microsoft.com/office/drawing/2014/main" id="{4A4627B1-DC2A-4306-8818-6147A0B39892}"/>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30" name="TextBox 2103">
          <a:extLst>
            <a:ext uri="{FF2B5EF4-FFF2-40B4-BE49-F238E27FC236}">
              <a16:creationId xmlns:a16="http://schemas.microsoft.com/office/drawing/2014/main" id="{F737F9F5-3E9B-460C-9B70-F0F479D8342B}"/>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31" name="TextBox 2104">
          <a:extLst>
            <a:ext uri="{FF2B5EF4-FFF2-40B4-BE49-F238E27FC236}">
              <a16:creationId xmlns:a16="http://schemas.microsoft.com/office/drawing/2014/main" id="{32FD0298-D813-479A-B67D-043D50D7CD53}"/>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32" name="TextBox 2105">
          <a:extLst>
            <a:ext uri="{FF2B5EF4-FFF2-40B4-BE49-F238E27FC236}">
              <a16:creationId xmlns:a16="http://schemas.microsoft.com/office/drawing/2014/main" id="{56C13749-0566-4CA4-B8F2-498029C9DF48}"/>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33" name="TextBox 783">
          <a:extLst>
            <a:ext uri="{FF2B5EF4-FFF2-40B4-BE49-F238E27FC236}">
              <a16:creationId xmlns:a16="http://schemas.microsoft.com/office/drawing/2014/main" id="{175B412B-BB38-4070-BAAE-B2DE1478A821}"/>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34" name="TextBox 784">
          <a:extLst>
            <a:ext uri="{FF2B5EF4-FFF2-40B4-BE49-F238E27FC236}">
              <a16:creationId xmlns:a16="http://schemas.microsoft.com/office/drawing/2014/main" id="{E75A830F-F8F5-40DF-A7E0-6479C76F0184}"/>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35" name="TextBox 785">
          <a:extLst>
            <a:ext uri="{FF2B5EF4-FFF2-40B4-BE49-F238E27FC236}">
              <a16:creationId xmlns:a16="http://schemas.microsoft.com/office/drawing/2014/main" id="{0E37E897-B903-455E-99F9-A715DD5BCE53}"/>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36" name="TextBox 786">
          <a:extLst>
            <a:ext uri="{FF2B5EF4-FFF2-40B4-BE49-F238E27FC236}">
              <a16:creationId xmlns:a16="http://schemas.microsoft.com/office/drawing/2014/main" id="{48D70B66-3842-4CBC-8817-CAE3C2D7CC11}"/>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37" name="TextBox 787">
          <a:extLst>
            <a:ext uri="{FF2B5EF4-FFF2-40B4-BE49-F238E27FC236}">
              <a16:creationId xmlns:a16="http://schemas.microsoft.com/office/drawing/2014/main" id="{1F4C9514-5BED-4C96-9989-D2FB79096190}"/>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38" name="TextBox 788">
          <a:extLst>
            <a:ext uri="{FF2B5EF4-FFF2-40B4-BE49-F238E27FC236}">
              <a16:creationId xmlns:a16="http://schemas.microsoft.com/office/drawing/2014/main" id="{C3547BFA-4A30-4D8D-9083-2A42546F5CA7}"/>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39" name="TextBox 789">
          <a:extLst>
            <a:ext uri="{FF2B5EF4-FFF2-40B4-BE49-F238E27FC236}">
              <a16:creationId xmlns:a16="http://schemas.microsoft.com/office/drawing/2014/main" id="{8C425232-60CA-4074-A669-53CEEE5D8681}"/>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40" name="TextBox 790">
          <a:extLst>
            <a:ext uri="{FF2B5EF4-FFF2-40B4-BE49-F238E27FC236}">
              <a16:creationId xmlns:a16="http://schemas.microsoft.com/office/drawing/2014/main" id="{8ECF0FBA-C194-4796-AEBB-DD089E60D06D}"/>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41" name="TextBox 791">
          <a:extLst>
            <a:ext uri="{FF2B5EF4-FFF2-40B4-BE49-F238E27FC236}">
              <a16:creationId xmlns:a16="http://schemas.microsoft.com/office/drawing/2014/main" id="{5A12AFC4-7749-4E4D-A1D1-C8B1D2E54568}"/>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42" name="TextBox 2088">
          <a:extLst>
            <a:ext uri="{FF2B5EF4-FFF2-40B4-BE49-F238E27FC236}">
              <a16:creationId xmlns:a16="http://schemas.microsoft.com/office/drawing/2014/main" id="{C4FBDD66-E52B-4C60-835A-F195606A1CF4}"/>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43" name="TextBox 2089">
          <a:extLst>
            <a:ext uri="{FF2B5EF4-FFF2-40B4-BE49-F238E27FC236}">
              <a16:creationId xmlns:a16="http://schemas.microsoft.com/office/drawing/2014/main" id="{54DF58C4-6535-4673-8E62-6D2A9EE47395}"/>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44" name="TextBox 2090">
          <a:extLst>
            <a:ext uri="{FF2B5EF4-FFF2-40B4-BE49-F238E27FC236}">
              <a16:creationId xmlns:a16="http://schemas.microsoft.com/office/drawing/2014/main" id="{A8F19C93-AA88-434C-BDF8-AC9B906B7FDF}"/>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45" name="TextBox 2091">
          <a:extLst>
            <a:ext uri="{FF2B5EF4-FFF2-40B4-BE49-F238E27FC236}">
              <a16:creationId xmlns:a16="http://schemas.microsoft.com/office/drawing/2014/main" id="{7912A4AE-83AE-4825-A102-59E8B3FF583F}"/>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46" name="TextBox 2092">
          <a:extLst>
            <a:ext uri="{FF2B5EF4-FFF2-40B4-BE49-F238E27FC236}">
              <a16:creationId xmlns:a16="http://schemas.microsoft.com/office/drawing/2014/main" id="{6DD63CA2-3CB6-4755-9163-054B35C08921}"/>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647" name="TextBox 2093">
          <a:extLst>
            <a:ext uri="{FF2B5EF4-FFF2-40B4-BE49-F238E27FC236}">
              <a16:creationId xmlns:a16="http://schemas.microsoft.com/office/drawing/2014/main" id="{4556032C-D29B-4F03-A1F1-688E93C15C2D}"/>
            </a:ext>
          </a:extLst>
        </xdr:cNvPr>
        <xdr:cNvSpPr txBox="1"/>
      </xdr:nvSpPr>
      <xdr:spPr>
        <a:xfrm>
          <a:off x="4065815"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48" name="TextBox 2094">
          <a:extLst>
            <a:ext uri="{FF2B5EF4-FFF2-40B4-BE49-F238E27FC236}">
              <a16:creationId xmlns:a16="http://schemas.microsoft.com/office/drawing/2014/main" id="{076A5B51-7371-4A66-A514-844273184CA2}"/>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49" name="TextBox 2095">
          <a:extLst>
            <a:ext uri="{FF2B5EF4-FFF2-40B4-BE49-F238E27FC236}">
              <a16:creationId xmlns:a16="http://schemas.microsoft.com/office/drawing/2014/main" id="{1016B9BB-9FFC-48EA-B9F9-0F6A164F8AFF}"/>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650" name="TextBox 2096">
          <a:extLst>
            <a:ext uri="{FF2B5EF4-FFF2-40B4-BE49-F238E27FC236}">
              <a16:creationId xmlns:a16="http://schemas.microsoft.com/office/drawing/2014/main" id="{C3F67E39-DE35-42A0-AE57-84A895E89D94}"/>
            </a:ext>
          </a:extLst>
        </xdr:cNvPr>
        <xdr:cNvSpPr txBox="1"/>
      </xdr:nvSpPr>
      <xdr:spPr>
        <a:xfrm>
          <a:off x="4082143"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32</xdr:row>
      <xdr:rowOff>0</xdr:rowOff>
    </xdr:from>
    <xdr:ext cx="184731" cy="274009"/>
    <xdr:sp macro="" textlink="">
      <xdr:nvSpPr>
        <xdr:cNvPr id="651" name="TextBox 4">
          <a:extLst>
            <a:ext uri="{FF2B5EF4-FFF2-40B4-BE49-F238E27FC236}">
              <a16:creationId xmlns:a16="http://schemas.microsoft.com/office/drawing/2014/main" id="{09271868-2DF5-4795-BE48-33CA6EF2CEAC}"/>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2" name="TextBox 5">
          <a:extLst>
            <a:ext uri="{FF2B5EF4-FFF2-40B4-BE49-F238E27FC236}">
              <a16:creationId xmlns:a16="http://schemas.microsoft.com/office/drawing/2014/main" id="{BAE47C0D-DB90-45BF-8DA0-958203C205DC}"/>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3" name="TextBox 6">
          <a:extLst>
            <a:ext uri="{FF2B5EF4-FFF2-40B4-BE49-F238E27FC236}">
              <a16:creationId xmlns:a16="http://schemas.microsoft.com/office/drawing/2014/main" id="{40776B60-1112-4BC4-A081-2D12DF7B7040}"/>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4" name="TextBox 653">
          <a:extLst>
            <a:ext uri="{FF2B5EF4-FFF2-40B4-BE49-F238E27FC236}">
              <a16:creationId xmlns:a16="http://schemas.microsoft.com/office/drawing/2014/main" id="{6538B73A-806A-4401-8CFE-11627D7EEECB}"/>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5" name="TextBox 654">
          <a:extLst>
            <a:ext uri="{FF2B5EF4-FFF2-40B4-BE49-F238E27FC236}">
              <a16:creationId xmlns:a16="http://schemas.microsoft.com/office/drawing/2014/main" id="{03B87988-886C-4254-A4AF-DF44957C305D}"/>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6" name="TextBox 655">
          <a:extLst>
            <a:ext uri="{FF2B5EF4-FFF2-40B4-BE49-F238E27FC236}">
              <a16:creationId xmlns:a16="http://schemas.microsoft.com/office/drawing/2014/main" id="{92092962-A2CF-45ED-8E3A-D0D3A4029CF8}"/>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7" name="TextBox 4">
          <a:extLst>
            <a:ext uri="{FF2B5EF4-FFF2-40B4-BE49-F238E27FC236}">
              <a16:creationId xmlns:a16="http://schemas.microsoft.com/office/drawing/2014/main" id="{92FB83A2-5F85-473D-8EA9-3F38514E700D}"/>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8" name="TextBox 5">
          <a:extLst>
            <a:ext uri="{FF2B5EF4-FFF2-40B4-BE49-F238E27FC236}">
              <a16:creationId xmlns:a16="http://schemas.microsoft.com/office/drawing/2014/main" id="{9F40D7D3-934A-4FF0-84D7-0E33F5B21AD4}"/>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59" name="TextBox 6">
          <a:extLst>
            <a:ext uri="{FF2B5EF4-FFF2-40B4-BE49-F238E27FC236}">
              <a16:creationId xmlns:a16="http://schemas.microsoft.com/office/drawing/2014/main" id="{4732381F-0AD4-43F4-8AA1-831561D35413}"/>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0" name="TextBox 4">
          <a:extLst>
            <a:ext uri="{FF2B5EF4-FFF2-40B4-BE49-F238E27FC236}">
              <a16:creationId xmlns:a16="http://schemas.microsoft.com/office/drawing/2014/main" id="{7DA8FF69-78A9-45C3-B1E8-CBA81BBB64A3}"/>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1" name="TextBox 5">
          <a:extLst>
            <a:ext uri="{FF2B5EF4-FFF2-40B4-BE49-F238E27FC236}">
              <a16:creationId xmlns:a16="http://schemas.microsoft.com/office/drawing/2014/main" id="{907634F2-57E8-411C-9EDF-FAF26BC519D5}"/>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2" name="TextBox 6">
          <a:extLst>
            <a:ext uri="{FF2B5EF4-FFF2-40B4-BE49-F238E27FC236}">
              <a16:creationId xmlns:a16="http://schemas.microsoft.com/office/drawing/2014/main" id="{A0EE2494-ACF8-4466-BBBD-8E1166763250}"/>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3" name="TextBox 4">
          <a:extLst>
            <a:ext uri="{FF2B5EF4-FFF2-40B4-BE49-F238E27FC236}">
              <a16:creationId xmlns:a16="http://schemas.microsoft.com/office/drawing/2014/main" id="{2080AD75-ED84-489E-8171-1AE780E38260}"/>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4" name="TextBox 5">
          <a:extLst>
            <a:ext uri="{FF2B5EF4-FFF2-40B4-BE49-F238E27FC236}">
              <a16:creationId xmlns:a16="http://schemas.microsoft.com/office/drawing/2014/main" id="{405BA426-CB47-412F-BB69-CDB93BBE840A}"/>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5" name="TextBox 6">
          <a:extLst>
            <a:ext uri="{FF2B5EF4-FFF2-40B4-BE49-F238E27FC236}">
              <a16:creationId xmlns:a16="http://schemas.microsoft.com/office/drawing/2014/main" id="{C968ACB6-3D87-4C7C-989C-645CD41AA157}"/>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6" name="TextBox 4">
          <a:extLst>
            <a:ext uri="{FF2B5EF4-FFF2-40B4-BE49-F238E27FC236}">
              <a16:creationId xmlns:a16="http://schemas.microsoft.com/office/drawing/2014/main" id="{0BF9F5A7-7E67-4A86-A457-4C4C3EBB34C8}"/>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7" name="TextBox 5">
          <a:extLst>
            <a:ext uri="{FF2B5EF4-FFF2-40B4-BE49-F238E27FC236}">
              <a16:creationId xmlns:a16="http://schemas.microsoft.com/office/drawing/2014/main" id="{A117FEF2-6881-49EE-A5D0-930ABE3E80B7}"/>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668" name="TextBox 6">
          <a:extLst>
            <a:ext uri="{FF2B5EF4-FFF2-40B4-BE49-F238E27FC236}">
              <a16:creationId xmlns:a16="http://schemas.microsoft.com/office/drawing/2014/main" id="{B4DBACE0-6ACB-4870-982B-7CB2BC521DB0}"/>
            </a:ext>
          </a:extLst>
        </xdr:cNvPr>
        <xdr:cNvSpPr txBox="1"/>
      </xdr:nvSpPr>
      <xdr:spPr>
        <a:xfrm>
          <a:off x="4362600"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41</xdr:row>
      <xdr:rowOff>0</xdr:rowOff>
    </xdr:from>
    <xdr:ext cx="184731" cy="274359"/>
    <xdr:sp macro="" textlink="">
      <xdr:nvSpPr>
        <xdr:cNvPr id="669" name="TextBox 4">
          <a:extLst>
            <a:ext uri="{FF2B5EF4-FFF2-40B4-BE49-F238E27FC236}">
              <a16:creationId xmlns:a16="http://schemas.microsoft.com/office/drawing/2014/main" id="{6E0E0CD4-4E02-4255-A9C1-194BA04A3BBF}"/>
            </a:ext>
          </a:extLst>
        </xdr:cNvPr>
        <xdr:cNvSpPr txBox="1"/>
      </xdr:nvSpPr>
      <xdr:spPr>
        <a:xfrm>
          <a:off x="4362600" y="13764986"/>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41</xdr:row>
      <xdr:rowOff>0</xdr:rowOff>
    </xdr:from>
    <xdr:ext cx="184731" cy="274359"/>
    <xdr:sp macro="" textlink="">
      <xdr:nvSpPr>
        <xdr:cNvPr id="670" name="TextBox 5">
          <a:extLst>
            <a:ext uri="{FF2B5EF4-FFF2-40B4-BE49-F238E27FC236}">
              <a16:creationId xmlns:a16="http://schemas.microsoft.com/office/drawing/2014/main" id="{C8899BA3-0BDF-43E0-A36A-6C9E68D804A5}"/>
            </a:ext>
          </a:extLst>
        </xdr:cNvPr>
        <xdr:cNvSpPr txBox="1"/>
      </xdr:nvSpPr>
      <xdr:spPr>
        <a:xfrm>
          <a:off x="4362600" y="13764986"/>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41</xdr:row>
      <xdr:rowOff>0</xdr:rowOff>
    </xdr:from>
    <xdr:ext cx="184731" cy="274359"/>
    <xdr:sp macro="" textlink="">
      <xdr:nvSpPr>
        <xdr:cNvPr id="671" name="TextBox 6">
          <a:extLst>
            <a:ext uri="{FF2B5EF4-FFF2-40B4-BE49-F238E27FC236}">
              <a16:creationId xmlns:a16="http://schemas.microsoft.com/office/drawing/2014/main" id="{8867570A-B173-4297-9FB3-B82C3160F43D}"/>
            </a:ext>
          </a:extLst>
        </xdr:cNvPr>
        <xdr:cNvSpPr txBox="1"/>
      </xdr:nvSpPr>
      <xdr:spPr>
        <a:xfrm>
          <a:off x="4362600" y="13764986"/>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72" name="TextBox 4">
          <a:extLst>
            <a:ext uri="{FF2B5EF4-FFF2-40B4-BE49-F238E27FC236}">
              <a16:creationId xmlns:a16="http://schemas.microsoft.com/office/drawing/2014/main" id="{8C80FA8E-E956-40BA-9A10-E400EBCB970C}"/>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73" name="TextBox 5">
          <a:extLst>
            <a:ext uri="{FF2B5EF4-FFF2-40B4-BE49-F238E27FC236}">
              <a16:creationId xmlns:a16="http://schemas.microsoft.com/office/drawing/2014/main" id="{B0EEE254-DD96-400E-8336-815119E83211}"/>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74" name="TextBox 6">
          <a:extLst>
            <a:ext uri="{FF2B5EF4-FFF2-40B4-BE49-F238E27FC236}">
              <a16:creationId xmlns:a16="http://schemas.microsoft.com/office/drawing/2014/main" id="{8CDD1E0A-8416-41A9-8B89-E35CDBB19F56}"/>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75" name="TextBox 4">
          <a:extLst>
            <a:ext uri="{FF2B5EF4-FFF2-40B4-BE49-F238E27FC236}">
              <a16:creationId xmlns:a16="http://schemas.microsoft.com/office/drawing/2014/main" id="{6292440F-68B8-4A18-B911-A600C6432152}"/>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76" name="TextBox 5">
          <a:extLst>
            <a:ext uri="{FF2B5EF4-FFF2-40B4-BE49-F238E27FC236}">
              <a16:creationId xmlns:a16="http://schemas.microsoft.com/office/drawing/2014/main" id="{949E871B-7E0E-4274-9575-F163EEF9FBD8}"/>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677" name="TextBox 6">
          <a:extLst>
            <a:ext uri="{FF2B5EF4-FFF2-40B4-BE49-F238E27FC236}">
              <a16:creationId xmlns:a16="http://schemas.microsoft.com/office/drawing/2014/main" id="{931D2E12-F672-48CD-B75F-B0F4622930BA}"/>
            </a:ext>
          </a:extLst>
        </xdr:cNvPr>
        <xdr:cNvSpPr txBox="1"/>
      </xdr:nvSpPr>
      <xdr:spPr>
        <a:xfrm>
          <a:off x="4362600"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78" name="TextBox 4">
          <a:extLst>
            <a:ext uri="{FF2B5EF4-FFF2-40B4-BE49-F238E27FC236}">
              <a16:creationId xmlns:a16="http://schemas.microsoft.com/office/drawing/2014/main" id="{72BC56BF-3A09-412D-83EC-82BD5CA34EB7}"/>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79" name="TextBox 5">
          <a:extLst>
            <a:ext uri="{FF2B5EF4-FFF2-40B4-BE49-F238E27FC236}">
              <a16:creationId xmlns:a16="http://schemas.microsoft.com/office/drawing/2014/main" id="{D0CEBF49-E3F3-423C-924B-2FAED9D920BA}"/>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0" name="TextBox 6">
          <a:extLst>
            <a:ext uri="{FF2B5EF4-FFF2-40B4-BE49-F238E27FC236}">
              <a16:creationId xmlns:a16="http://schemas.microsoft.com/office/drawing/2014/main" id="{36DE0DF3-A3DE-44C4-B711-1655F773047A}"/>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1" name="TextBox 4">
          <a:extLst>
            <a:ext uri="{FF2B5EF4-FFF2-40B4-BE49-F238E27FC236}">
              <a16:creationId xmlns:a16="http://schemas.microsoft.com/office/drawing/2014/main" id="{CA900208-9792-452E-9EBC-78B61DA866F4}"/>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2" name="TextBox 5">
          <a:extLst>
            <a:ext uri="{FF2B5EF4-FFF2-40B4-BE49-F238E27FC236}">
              <a16:creationId xmlns:a16="http://schemas.microsoft.com/office/drawing/2014/main" id="{6F7FB661-6614-428A-B220-D890986AD5D4}"/>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3" name="TextBox 6">
          <a:extLst>
            <a:ext uri="{FF2B5EF4-FFF2-40B4-BE49-F238E27FC236}">
              <a16:creationId xmlns:a16="http://schemas.microsoft.com/office/drawing/2014/main" id="{9BD1D937-C53B-40BE-99C8-88F138E7B299}"/>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4" name="TextBox 4">
          <a:extLst>
            <a:ext uri="{FF2B5EF4-FFF2-40B4-BE49-F238E27FC236}">
              <a16:creationId xmlns:a16="http://schemas.microsoft.com/office/drawing/2014/main" id="{1A287A26-8672-4D74-BF3F-9DA5AE167035}"/>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5" name="TextBox 5">
          <a:extLst>
            <a:ext uri="{FF2B5EF4-FFF2-40B4-BE49-F238E27FC236}">
              <a16:creationId xmlns:a16="http://schemas.microsoft.com/office/drawing/2014/main" id="{BBE2E51C-3FF8-42B0-9DB8-F095CC68B6FB}"/>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686" name="TextBox 6">
          <a:extLst>
            <a:ext uri="{FF2B5EF4-FFF2-40B4-BE49-F238E27FC236}">
              <a16:creationId xmlns:a16="http://schemas.microsoft.com/office/drawing/2014/main" id="{30FE585A-80DE-48D6-A974-7D0480460A58}"/>
            </a:ext>
          </a:extLst>
        </xdr:cNvPr>
        <xdr:cNvSpPr txBox="1"/>
      </xdr:nvSpPr>
      <xdr:spPr>
        <a:xfrm>
          <a:off x="4362600"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87" name="TextBox 4">
          <a:extLst>
            <a:ext uri="{FF2B5EF4-FFF2-40B4-BE49-F238E27FC236}">
              <a16:creationId xmlns:a16="http://schemas.microsoft.com/office/drawing/2014/main" id="{6885C96D-C634-4D6A-9C13-C054E20BE625}"/>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88" name="TextBox 5">
          <a:extLst>
            <a:ext uri="{FF2B5EF4-FFF2-40B4-BE49-F238E27FC236}">
              <a16:creationId xmlns:a16="http://schemas.microsoft.com/office/drawing/2014/main" id="{7F693B83-DC7C-45E3-B510-B2E3D199D7D9}"/>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89" name="TextBox 6">
          <a:extLst>
            <a:ext uri="{FF2B5EF4-FFF2-40B4-BE49-F238E27FC236}">
              <a16:creationId xmlns:a16="http://schemas.microsoft.com/office/drawing/2014/main" id="{97B232F5-C021-4F51-8671-3A03969595E1}"/>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90" name="TextBox 4">
          <a:extLst>
            <a:ext uri="{FF2B5EF4-FFF2-40B4-BE49-F238E27FC236}">
              <a16:creationId xmlns:a16="http://schemas.microsoft.com/office/drawing/2014/main" id="{1841244B-8024-4451-945C-90F41EC72899}"/>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91" name="TextBox 5">
          <a:extLst>
            <a:ext uri="{FF2B5EF4-FFF2-40B4-BE49-F238E27FC236}">
              <a16:creationId xmlns:a16="http://schemas.microsoft.com/office/drawing/2014/main" id="{E228B1E3-4DD0-4D36-B55F-0D98124A79D2}"/>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92" name="TextBox 6">
          <a:extLst>
            <a:ext uri="{FF2B5EF4-FFF2-40B4-BE49-F238E27FC236}">
              <a16:creationId xmlns:a16="http://schemas.microsoft.com/office/drawing/2014/main" id="{E23976EF-DCC3-4EC3-ADB2-A86ED7F700C5}"/>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93" name="TextBox 4">
          <a:extLst>
            <a:ext uri="{FF2B5EF4-FFF2-40B4-BE49-F238E27FC236}">
              <a16:creationId xmlns:a16="http://schemas.microsoft.com/office/drawing/2014/main" id="{565063AD-9A50-4516-B332-1E30F5C272C6}"/>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94" name="TextBox 5">
          <a:extLst>
            <a:ext uri="{FF2B5EF4-FFF2-40B4-BE49-F238E27FC236}">
              <a16:creationId xmlns:a16="http://schemas.microsoft.com/office/drawing/2014/main" id="{FCA088CE-CCE6-4459-91BB-8388D759DDB9}"/>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695" name="TextBox 6">
          <a:extLst>
            <a:ext uri="{FF2B5EF4-FFF2-40B4-BE49-F238E27FC236}">
              <a16:creationId xmlns:a16="http://schemas.microsoft.com/office/drawing/2014/main" id="{778DE71A-022B-4A35-95CC-7BAA1202C46B}"/>
            </a:ext>
          </a:extLst>
        </xdr:cNvPr>
        <xdr:cNvSpPr txBox="1"/>
      </xdr:nvSpPr>
      <xdr:spPr>
        <a:xfrm>
          <a:off x="4362600"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45</xdr:row>
      <xdr:rowOff>0</xdr:rowOff>
    </xdr:from>
    <xdr:ext cx="184731" cy="274009"/>
    <xdr:sp macro="" textlink="">
      <xdr:nvSpPr>
        <xdr:cNvPr id="696" name="TextBox 4">
          <a:extLst>
            <a:ext uri="{FF2B5EF4-FFF2-40B4-BE49-F238E27FC236}">
              <a16:creationId xmlns:a16="http://schemas.microsoft.com/office/drawing/2014/main" id="{06FD2548-207B-42D1-BA44-382B6784074F}"/>
            </a:ext>
          </a:extLst>
        </xdr:cNvPr>
        <xdr:cNvSpPr txBox="1"/>
      </xdr:nvSpPr>
      <xdr:spPr>
        <a:xfrm>
          <a:off x="4362600" y="146140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45</xdr:row>
      <xdr:rowOff>0</xdr:rowOff>
    </xdr:from>
    <xdr:ext cx="184731" cy="274009"/>
    <xdr:sp macro="" textlink="">
      <xdr:nvSpPr>
        <xdr:cNvPr id="697" name="TextBox 5">
          <a:extLst>
            <a:ext uri="{FF2B5EF4-FFF2-40B4-BE49-F238E27FC236}">
              <a16:creationId xmlns:a16="http://schemas.microsoft.com/office/drawing/2014/main" id="{F16F8094-6577-4940-A130-9CC3B5335403}"/>
            </a:ext>
          </a:extLst>
        </xdr:cNvPr>
        <xdr:cNvSpPr txBox="1"/>
      </xdr:nvSpPr>
      <xdr:spPr>
        <a:xfrm>
          <a:off x="4362600" y="146140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45</xdr:row>
      <xdr:rowOff>0</xdr:rowOff>
    </xdr:from>
    <xdr:ext cx="184731" cy="274009"/>
    <xdr:sp macro="" textlink="">
      <xdr:nvSpPr>
        <xdr:cNvPr id="698" name="TextBox 6">
          <a:extLst>
            <a:ext uri="{FF2B5EF4-FFF2-40B4-BE49-F238E27FC236}">
              <a16:creationId xmlns:a16="http://schemas.microsoft.com/office/drawing/2014/main" id="{35C31056-9F3F-4321-BCB3-AC4AE7DE4843}"/>
            </a:ext>
          </a:extLst>
        </xdr:cNvPr>
        <xdr:cNvSpPr txBox="1"/>
      </xdr:nvSpPr>
      <xdr:spPr>
        <a:xfrm>
          <a:off x="4362600" y="146140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699" name="TextBox 4">
          <a:extLst>
            <a:ext uri="{FF2B5EF4-FFF2-40B4-BE49-F238E27FC236}">
              <a16:creationId xmlns:a16="http://schemas.microsoft.com/office/drawing/2014/main" id="{3FF4E87F-3E0A-45E1-BAC0-7D0C57F78848}"/>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0" name="TextBox 5">
          <a:extLst>
            <a:ext uri="{FF2B5EF4-FFF2-40B4-BE49-F238E27FC236}">
              <a16:creationId xmlns:a16="http://schemas.microsoft.com/office/drawing/2014/main" id="{A8C164BE-0F1F-4E12-A736-C43C6A828620}"/>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1" name="TextBox 6">
          <a:extLst>
            <a:ext uri="{FF2B5EF4-FFF2-40B4-BE49-F238E27FC236}">
              <a16:creationId xmlns:a16="http://schemas.microsoft.com/office/drawing/2014/main" id="{75AEF742-26B8-457D-896D-151F2C96FB51}"/>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2" name="TextBox 701">
          <a:extLst>
            <a:ext uri="{FF2B5EF4-FFF2-40B4-BE49-F238E27FC236}">
              <a16:creationId xmlns:a16="http://schemas.microsoft.com/office/drawing/2014/main" id="{074382FC-EB48-4686-9955-93D9823ED00E}"/>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3" name="TextBox 702">
          <a:extLst>
            <a:ext uri="{FF2B5EF4-FFF2-40B4-BE49-F238E27FC236}">
              <a16:creationId xmlns:a16="http://schemas.microsoft.com/office/drawing/2014/main" id="{CB84D3EF-439C-47D0-B024-65754B0BE75D}"/>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4" name="TextBox 703">
          <a:extLst>
            <a:ext uri="{FF2B5EF4-FFF2-40B4-BE49-F238E27FC236}">
              <a16:creationId xmlns:a16="http://schemas.microsoft.com/office/drawing/2014/main" id="{B05E06C1-EEF0-4D30-B00F-4BB1845B519F}"/>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5" name="TextBox 4">
          <a:extLst>
            <a:ext uri="{FF2B5EF4-FFF2-40B4-BE49-F238E27FC236}">
              <a16:creationId xmlns:a16="http://schemas.microsoft.com/office/drawing/2014/main" id="{D27FFBA8-05D9-429C-9B81-91E0B73F5E6B}"/>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6" name="TextBox 5">
          <a:extLst>
            <a:ext uri="{FF2B5EF4-FFF2-40B4-BE49-F238E27FC236}">
              <a16:creationId xmlns:a16="http://schemas.microsoft.com/office/drawing/2014/main" id="{C085EF7C-EBF7-43BB-B055-2B012DB2F93D}"/>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7" name="TextBox 6">
          <a:extLst>
            <a:ext uri="{FF2B5EF4-FFF2-40B4-BE49-F238E27FC236}">
              <a16:creationId xmlns:a16="http://schemas.microsoft.com/office/drawing/2014/main" id="{244893F6-23BB-4179-A81D-6CDE5546BFCE}"/>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8" name="TextBox 4">
          <a:extLst>
            <a:ext uri="{FF2B5EF4-FFF2-40B4-BE49-F238E27FC236}">
              <a16:creationId xmlns:a16="http://schemas.microsoft.com/office/drawing/2014/main" id="{18C66641-8082-411E-8277-353212017680}"/>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09" name="TextBox 5">
          <a:extLst>
            <a:ext uri="{FF2B5EF4-FFF2-40B4-BE49-F238E27FC236}">
              <a16:creationId xmlns:a16="http://schemas.microsoft.com/office/drawing/2014/main" id="{27352982-2398-4204-8B9A-FE9F0DAE95FA}"/>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0" name="TextBox 6">
          <a:extLst>
            <a:ext uri="{FF2B5EF4-FFF2-40B4-BE49-F238E27FC236}">
              <a16:creationId xmlns:a16="http://schemas.microsoft.com/office/drawing/2014/main" id="{5EDFD507-CD1B-4528-BBB3-C1344CE31B22}"/>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1" name="TextBox 4">
          <a:extLst>
            <a:ext uri="{FF2B5EF4-FFF2-40B4-BE49-F238E27FC236}">
              <a16:creationId xmlns:a16="http://schemas.microsoft.com/office/drawing/2014/main" id="{48B4C1DA-69CA-4FFD-8EB8-86A9F9BCE86B}"/>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2" name="TextBox 5">
          <a:extLst>
            <a:ext uri="{FF2B5EF4-FFF2-40B4-BE49-F238E27FC236}">
              <a16:creationId xmlns:a16="http://schemas.microsoft.com/office/drawing/2014/main" id="{4837E5C5-9457-46BA-B0CB-AF3BE8A97A84}"/>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3" name="TextBox 6">
          <a:extLst>
            <a:ext uri="{FF2B5EF4-FFF2-40B4-BE49-F238E27FC236}">
              <a16:creationId xmlns:a16="http://schemas.microsoft.com/office/drawing/2014/main" id="{AD854E83-C07C-4014-9FB5-0413A8D4F6F9}"/>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4" name="TextBox 4">
          <a:extLst>
            <a:ext uri="{FF2B5EF4-FFF2-40B4-BE49-F238E27FC236}">
              <a16:creationId xmlns:a16="http://schemas.microsoft.com/office/drawing/2014/main" id="{8341C488-4D94-4F7E-916B-849890335B87}"/>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5" name="TextBox 5">
          <a:extLst>
            <a:ext uri="{FF2B5EF4-FFF2-40B4-BE49-F238E27FC236}">
              <a16:creationId xmlns:a16="http://schemas.microsoft.com/office/drawing/2014/main" id="{439C69C1-BDCE-468F-9850-008A8013A12C}"/>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16" name="TextBox 6">
          <a:extLst>
            <a:ext uri="{FF2B5EF4-FFF2-40B4-BE49-F238E27FC236}">
              <a16:creationId xmlns:a16="http://schemas.microsoft.com/office/drawing/2014/main" id="{E2ECB9E2-541D-4727-9DEA-DED364D7A91F}"/>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359"/>
    <xdr:sp macro="" textlink="">
      <xdr:nvSpPr>
        <xdr:cNvPr id="717" name="TextBox 4">
          <a:extLst>
            <a:ext uri="{FF2B5EF4-FFF2-40B4-BE49-F238E27FC236}">
              <a16:creationId xmlns:a16="http://schemas.microsoft.com/office/drawing/2014/main" id="{FD8D68B9-0125-4182-AE9F-EAEF453019CB}"/>
            </a:ext>
          </a:extLst>
        </xdr:cNvPr>
        <xdr:cNvSpPr txBox="1"/>
      </xdr:nvSpPr>
      <xdr:spPr>
        <a:xfrm>
          <a:off x="4362600" y="24438429"/>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359"/>
    <xdr:sp macro="" textlink="">
      <xdr:nvSpPr>
        <xdr:cNvPr id="718" name="TextBox 5">
          <a:extLst>
            <a:ext uri="{FF2B5EF4-FFF2-40B4-BE49-F238E27FC236}">
              <a16:creationId xmlns:a16="http://schemas.microsoft.com/office/drawing/2014/main" id="{E2F9A474-D201-47FB-B444-9CE3B012EAA0}"/>
            </a:ext>
          </a:extLst>
        </xdr:cNvPr>
        <xdr:cNvSpPr txBox="1"/>
      </xdr:nvSpPr>
      <xdr:spPr>
        <a:xfrm>
          <a:off x="4362600" y="24438429"/>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359"/>
    <xdr:sp macro="" textlink="">
      <xdr:nvSpPr>
        <xdr:cNvPr id="719" name="TextBox 6">
          <a:extLst>
            <a:ext uri="{FF2B5EF4-FFF2-40B4-BE49-F238E27FC236}">
              <a16:creationId xmlns:a16="http://schemas.microsoft.com/office/drawing/2014/main" id="{DF59D224-DF3C-4C6D-853E-9A786A6C3F4A}"/>
            </a:ext>
          </a:extLst>
        </xdr:cNvPr>
        <xdr:cNvSpPr txBox="1"/>
      </xdr:nvSpPr>
      <xdr:spPr>
        <a:xfrm>
          <a:off x="4362600" y="24438429"/>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20" name="TextBox 4">
          <a:extLst>
            <a:ext uri="{FF2B5EF4-FFF2-40B4-BE49-F238E27FC236}">
              <a16:creationId xmlns:a16="http://schemas.microsoft.com/office/drawing/2014/main" id="{5D900396-336C-4DAB-8218-53BB1C35A9B4}"/>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21" name="TextBox 5">
          <a:extLst>
            <a:ext uri="{FF2B5EF4-FFF2-40B4-BE49-F238E27FC236}">
              <a16:creationId xmlns:a16="http://schemas.microsoft.com/office/drawing/2014/main" id="{D68375DF-C2D3-4213-B3D9-12429E71E219}"/>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22" name="TextBox 6">
          <a:extLst>
            <a:ext uri="{FF2B5EF4-FFF2-40B4-BE49-F238E27FC236}">
              <a16:creationId xmlns:a16="http://schemas.microsoft.com/office/drawing/2014/main" id="{8247CE65-91C8-4AB2-8C2F-F0ADE21E223F}"/>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23" name="TextBox 4">
          <a:extLst>
            <a:ext uri="{FF2B5EF4-FFF2-40B4-BE49-F238E27FC236}">
              <a16:creationId xmlns:a16="http://schemas.microsoft.com/office/drawing/2014/main" id="{651A86EB-FB97-4259-8BAB-72805C3EF555}"/>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24" name="TextBox 5">
          <a:extLst>
            <a:ext uri="{FF2B5EF4-FFF2-40B4-BE49-F238E27FC236}">
              <a16:creationId xmlns:a16="http://schemas.microsoft.com/office/drawing/2014/main" id="{6AD8ABDC-6CBA-4645-A333-CB1B706FCD41}"/>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25" name="TextBox 6">
          <a:extLst>
            <a:ext uri="{FF2B5EF4-FFF2-40B4-BE49-F238E27FC236}">
              <a16:creationId xmlns:a16="http://schemas.microsoft.com/office/drawing/2014/main" id="{EAE29FFD-8C7A-4F86-B288-41715161ACFD}"/>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26" name="TextBox 4">
          <a:extLst>
            <a:ext uri="{FF2B5EF4-FFF2-40B4-BE49-F238E27FC236}">
              <a16:creationId xmlns:a16="http://schemas.microsoft.com/office/drawing/2014/main" id="{F2B59227-CE30-4FAD-B917-8DA4E5C58255}"/>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27" name="TextBox 5">
          <a:extLst>
            <a:ext uri="{FF2B5EF4-FFF2-40B4-BE49-F238E27FC236}">
              <a16:creationId xmlns:a16="http://schemas.microsoft.com/office/drawing/2014/main" id="{6F461239-5540-443B-9539-A535EB6F6D3D}"/>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28" name="TextBox 6">
          <a:extLst>
            <a:ext uri="{FF2B5EF4-FFF2-40B4-BE49-F238E27FC236}">
              <a16:creationId xmlns:a16="http://schemas.microsoft.com/office/drawing/2014/main" id="{376627D3-B046-41D7-96CE-604B48394CF3}"/>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29" name="TextBox 4">
          <a:extLst>
            <a:ext uri="{FF2B5EF4-FFF2-40B4-BE49-F238E27FC236}">
              <a16:creationId xmlns:a16="http://schemas.microsoft.com/office/drawing/2014/main" id="{89134C53-2E9B-4B51-BAF1-3F5C46AB8914}"/>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0" name="TextBox 5">
          <a:extLst>
            <a:ext uri="{FF2B5EF4-FFF2-40B4-BE49-F238E27FC236}">
              <a16:creationId xmlns:a16="http://schemas.microsoft.com/office/drawing/2014/main" id="{96725280-15DA-4561-B789-4105F01321D2}"/>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1" name="TextBox 6">
          <a:extLst>
            <a:ext uri="{FF2B5EF4-FFF2-40B4-BE49-F238E27FC236}">
              <a16:creationId xmlns:a16="http://schemas.microsoft.com/office/drawing/2014/main" id="{162CD3DD-8951-4C1B-88A3-E038F3B34994}"/>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2" name="TextBox 4">
          <a:extLst>
            <a:ext uri="{FF2B5EF4-FFF2-40B4-BE49-F238E27FC236}">
              <a16:creationId xmlns:a16="http://schemas.microsoft.com/office/drawing/2014/main" id="{9036E55D-0701-4E06-985C-8B66FAB28CA2}"/>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3" name="TextBox 5">
          <a:extLst>
            <a:ext uri="{FF2B5EF4-FFF2-40B4-BE49-F238E27FC236}">
              <a16:creationId xmlns:a16="http://schemas.microsoft.com/office/drawing/2014/main" id="{303B7956-4EB8-4302-A251-04054ED6BEEB}"/>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4" name="TextBox 6">
          <a:extLst>
            <a:ext uri="{FF2B5EF4-FFF2-40B4-BE49-F238E27FC236}">
              <a16:creationId xmlns:a16="http://schemas.microsoft.com/office/drawing/2014/main" id="{86F29160-9B48-43DF-BF9D-8133540DE886}"/>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5" name="TextBox 4">
          <a:extLst>
            <a:ext uri="{FF2B5EF4-FFF2-40B4-BE49-F238E27FC236}">
              <a16:creationId xmlns:a16="http://schemas.microsoft.com/office/drawing/2014/main" id="{1C1EE61E-4BF1-4C34-A4B8-9229C6FB2B61}"/>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6" name="TextBox 5">
          <a:extLst>
            <a:ext uri="{FF2B5EF4-FFF2-40B4-BE49-F238E27FC236}">
              <a16:creationId xmlns:a16="http://schemas.microsoft.com/office/drawing/2014/main" id="{E33850CC-2523-4D58-A567-CD1A903CF542}"/>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7" name="TextBox 6">
          <a:extLst>
            <a:ext uri="{FF2B5EF4-FFF2-40B4-BE49-F238E27FC236}">
              <a16:creationId xmlns:a16="http://schemas.microsoft.com/office/drawing/2014/main" id="{041D8B78-F35F-4140-BC7E-FC8A82CF3917}"/>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8" name="TextBox 4">
          <a:extLst>
            <a:ext uri="{FF2B5EF4-FFF2-40B4-BE49-F238E27FC236}">
              <a16:creationId xmlns:a16="http://schemas.microsoft.com/office/drawing/2014/main" id="{BE0C6587-D9B0-496D-AD63-FA6D0C1DE3A8}"/>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39" name="TextBox 5">
          <a:extLst>
            <a:ext uri="{FF2B5EF4-FFF2-40B4-BE49-F238E27FC236}">
              <a16:creationId xmlns:a16="http://schemas.microsoft.com/office/drawing/2014/main" id="{7E544174-629A-46C1-B297-712FB5696ABE}"/>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40" name="TextBox 6">
          <a:extLst>
            <a:ext uri="{FF2B5EF4-FFF2-40B4-BE49-F238E27FC236}">
              <a16:creationId xmlns:a16="http://schemas.microsoft.com/office/drawing/2014/main" id="{035BB36E-8500-4742-A5AA-71621B518B24}"/>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41" name="TextBox 4">
          <a:extLst>
            <a:ext uri="{FF2B5EF4-FFF2-40B4-BE49-F238E27FC236}">
              <a16:creationId xmlns:a16="http://schemas.microsoft.com/office/drawing/2014/main" id="{DDB6281F-7D0D-492C-8D47-4742E77F29D5}"/>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42" name="TextBox 5">
          <a:extLst>
            <a:ext uri="{FF2B5EF4-FFF2-40B4-BE49-F238E27FC236}">
              <a16:creationId xmlns:a16="http://schemas.microsoft.com/office/drawing/2014/main" id="{37ACBCF3-6326-46E2-BB45-D386515ED6E1}"/>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743" name="TextBox 6">
          <a:extLst>
            <a:ext uri="{FF2B5EF4-FFF2-40B4-BE49-F238E27FC236}">
              <a16:creationId xmlns:a16="http://schemas.microsoft.com/office/drawing/2014/main" id="{40C172AF-2F61-4E56-87D6-46C014D5B994}"/>
            </a:ext>
          </a:extLst>
        </xdr:cNvPr>
        <xdr:cNvSpPr txBox="1"/>
      </xdr:nvSpPr>
      <xdr:spPr>
        <a:xfrm>
          <a:off x="4362600"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44" name="TextBox 4">
          <a:extLst>
            <a:ext uri="{FF2B5EF4-FFF2-40B4-BE49-F238E27FC236}">
              <a16:creationId xmlns:a16="http://schemas.microsoft.com/office/drawing/2014/main" id="{D28C761F-3673-4320-B6DA-27C673660419}"/>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45" name="TextBox 5">
          <a:extLst>
            <a:ext uri="{FF2B5EF4-FFF2-40B4-BE49-F238E27FC236}">
              <a16:creationId xmlns:a16="http://schemas.microsoft.com/office/drawing/2014/main" id="{1DA365BE-D9ED-4FE6-A983-200641B5289B}"/>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746" name="TextBox 6">
          <a:extLst>
            <a:ext uri="{FF2B5EF4-FFF2-40B4-BE49-F238E27FC236}">
              <a16:creationId xmlns:a16="http://schemas.microsoft.com/office/drawing/2014/main" id="{23769AE9-9DC7-4D3B-BE3F-8F87E723F85E}"/>
            </a:ext>
          </a:extLst>
        </xdr:cNvPr>
        <xdr:cNvSpPr txBox="1"/>
      </xdr:nvSpPr>
      <xdr:spPr>
        <a:xfrm>
          <a:off x="4362600"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923978" cy="311803"/>
    <xdr:sp macro="" textlink="">
      <xdr:nvSpPr>
        <xdr:cNvPr id="747" name="TextBox 784">
          <a:extLst>
            <a:ext uri="{FF2B5EF4-FFF2-40B4-BE49-F238E27FC236}">
              <a16:creationId xmlns:a16="http://schemas.microsoft.com/office/drawing/2014/main" id="{9D9DE125-FB7B-40A0-BC58-73FB282547F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48" name="TextBox 785">
          <a:extLst>
            <a:ext uri="{FF2B5EF4-FFF2-40B4-BE49-F238E27FC236}">
              <a16:creationId xmlns:a16="http://schemas.microsoft.com/office/drawing/2014/main" id="{D06A980F-46C3-44ED-8228-A3163904520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49" name="TextBox 786">
          <a:extLst>
            <a:ext uri="{FF2B5EF4-FFF2-40B4-BE49-F238E27FC236}">
              <a16:creationId xmlns:a16="http://schemas.microsoft.com/office/drawing/2014/main" id="{69C73A67-2C0E-4F4E-80AB-E227958C520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0" name="TextBox 787">
          <a:extLst>
            <a:ext uri="{FF2B5EF4-FFF2-40B4-BE49-F238E27FC236}">
              <a16:creationId xmlns:a16="http://schemas.microsoft.com/office/drawing/2014/main" id="{D66F29A2-F8F4-41B4-875A-F95F5B757DB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1" name="TextBox 788">
          <a:extLst>
            <a:ext uri="{FF2B5EF4-FFF2-40B4-BE49-F238E27FC236}">
              <a16:creationId xmlns:a16="http://schemas.microsoft.com/office/drawing/2014/main" id="{8E1A6ADF-0C41-41AA-8AA4-E98D4B1E4F6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2" name="TextBox 789">
          <a:extLst>
            <a:ext uri="{FF2B5EF4-FFF2-40B4-BE49-F238E27FC236}">
              <a16:creationId xmlns:a16="http://schemas.microsoft.com/office/drawing/2014/main" id="{E5D370A7-E18B-4230-A5B9-EF4119AA0EC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53" name="TextBox 790">
          <a:extLst>
            <a:ext uri="{FF2B5EF4-FFF2-40B4-BE49-F238E27FC236}">
              <a16:creationId xmlns:a16="http://schemas.microsoft.com/office/drawing/2014/main" id="{35963A4F-4531-46AE-90E9-CF7D7226E110}"/>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54" name="TextBox 791">
          <a:extLst>
            <a:ext uri="{FF2B5EF4-FFF2-40B4-BE49-F238E27FC236}">
              <a16:creationId xmlns:a16="http://schemas.microsoft.com/office/drawing/2014/main" id="{DAC5483E-1B5B-416C-97FA-0EA4A66C4DFE}"/>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55" name="TextBox 792">
          <a:extLst>
            <a:ext uri="{FF2B5EF4-FFF2-40B4-BE49-F238E27FC236}">
              <a16:creationId xmlns:a16="http://schemas.microsoft.com/office/drawing/2014/main" id="{C3E291BD-22AD-410A-BA19-418784185131}"/>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6" name="TextBox 2097">
          <a:extLst>
            <a:ext uri="{FF2B5EF4-FFF2-40B4-BE49-F238E27FC236}">
              <a16:creationId xmlns:a16="http://schemas.microsoft.com/office/drawing/2014/main" id="{24DFF4BF-6ACB-4AA6-910F-BC64A91CB9E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7" name="TextBox 2098">
          <a:extLst>
            <a:ext uri="{FF2B5EF4-FFF2-40B4-BE49-F238E27FC236}">
              <a16:creationId xmlns:a16="http://schemas.microsoft.com/office/drawing/2014/main" id="{EF991612-213A-4B78-9643-FC8289F0A4E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8" name="TextBox 2099">
          <a:extLst>
            <a:ext uri="{FF2B5EF4-FFF2-40B4-BE49-F238E27FC236}">
              <a16:creationId xmlns:a16="http://schemas.microsoft.com/office/drawing/2014/main" id="{DD3A2116-543C-4E2F-9038-7D70875A031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59" name="TextBox 2100">
          <a:extLst>
            <a:ext uri="{FF2B5EF4-FFF2-40B4-BE49-F238E27FC236}">
              <a16:creationId xmlns:a16="http://schemas.microsoft.com/office/drawing/2014/main" id="{A9E756B0-3988-45BA-A181-82A120F21AE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0" name="TextBox 2101">
          <a:extLst>
            <a:ext uri="{FF2B5EF4-FFF2-40B4-BE49-F238E27FC236}">
              <a16:creationId xmlns:a16="http://schemas.microsoft.com/office/drawing/2014/main" id="{474CF1CD-DFDC-4D9E-968A-694425CA75C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1" name="TextBox 2102">
          <a:extLst>
            <a:ext uri="{FF2B5EF4-FFF2-40B4-BE49-F238E27FC236}">
              <a16:creationId xmlns:a16="http://schemas.microsoft.com/office/drawing/2014/main" id="{FB37D551-3FE7-41A3-8F25-B3BB2BAE1A4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62" name="TextBox 2103">
          <a:extLst>
            <a:ext uri="{FF2B5EF4-FFF2-40B4-BE49-F238E27FC236}">
              <a16:creationId xmlns:a16="http://schemas.microsoft.com/office/drawing/2014/main" id="{04641A6B-2B70-4DD3-8A80-6686EF77476A}"/>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63" name="TextBox 2104">
          <a:extLst>
            <a:ext uri="{FF2B5EF4-FFF2-40B4-BE49-F238E27FC236}">
              <a16:creationId xmlns:a16="http://schemas.microsoft.com/office/drawing/2014/main" id="{82EFE205-849B-46A5-B79A-7AC0FF1D7898}"/>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64" name="TextBox 2105">
          <a:extLst>
            <a:ext uri="{FF2B5EF4-FFF2-40B4-BE49-F238E27FC236}">
              <a16:creationId xmlns:a16="http://schemas.microsoft.com/office/drawing/2014/main" id="{D5F2131A-B33A-45C1-99F5-E0CFF938A633}"/>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5" name="TextBox 783">
          <a:extLst>
            <a:ext uri="{FF2B5EF4-FFF2-40B4-BE49-F238E27FC236}">
              <a16:creationId xmlns:a16="http://schemas.microsoft.com/office/drawing/2014/main" id="{F78994A3-0700-42FD-A60D-97D377010E1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6" name="TextBox 784">
          <a:extLst>
            <a:ext uri="{FF2B5EF4-FFF2-40B4-BE49-F238E27FC236}">
              <a16:creationId xmlns:a16="http://schemas.microsoft.com/office/drawing/2014/main" id="{9D702880-93E1-4101-A62F-F5C195BDB5E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7" name="TextBox 785">
          <a:extLst>
            <a:ext uri="{FF2B5EF4-FFF2-40B4-BE49-F238E27FC236}">
              <a16:creationId xmlns:a16="http://schemas.microsoft.com/office/drawing/2014/main" id="{01CEDCDB-4C2A-45AA-B8AB-7883C5B39AB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8" name="TextBox 786">
          <a:extLst>
            <a:ext uri="{FF2B5EF4-FFF2-40B4-BE49-F238E27FC236}">
              <a16:creationId xmlns:a16="http://schemas.microsoft.com/office/drawing/2014/main" id="{3A576130-0D27-4001-BF57-2D17AD922673}"/>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69" name="TextBox 787">
          <a:extLst>
            <a:ext uri="{FF2B5EF4-FFF2-40B4-BE49-F238E27FC236}">
              <a16:creationId xmlns:a16="http://schemas.microsoft.com/office/drawing/2014/main" id="{A7ECF7C0-411C-410F-BE5A-4DD1259EF6F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0" name="TextBox 788">
          <a:extLst>
            <a:ext uri="{FF2B5EF4-FFF2-40B4-BE49-F238E27FC236}">
              <a16:creationId xmlns:a16="http://schemas.microsoft.com/office/drawing/2014/main" id="{9F451582-DE97-4C6E-843F-91C44626C64B}"/>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71" name="TextBox 789">
          <a:extLst>
            <a:ext uri="{FF2B5EF4-FFF2-40B4-BE49-F238E27FC236}">
              <a16:creationId xmlns:a16="http://schemas.microsoft.com/office/drawing/2014/main" id="{33FA2284-006B-4EE7-A13B-23F279211AA1}"/>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72" name="TextBox 790">
          <a:extLst>
            <a:ext uri="{FF2B5EF4-FFF2-40B4-BE49-F238E27FC236}">
              <a16:creationId xmlns:a16="http://schemas.microsoft.com/office/drawing/2014/main" id="{DAAA2387-E1E1-4E36-B484-86473791EBFD}"/>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73" name="TextBox 791">
          <a:extLst>
            <a:ext uri="{FF2B5EF4-FFF2-40B4-BE49-F238E27FC236}">
              <a16:creationId xmlns:a16="http://schemas.microsoft.com/office/drawing/2014/main" id="{F7AF59F8-D3D1-452A-B9EE-132E0D5ADB3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4" name="TextBox 2088">
          <a:extLst>
            <a:ext uri="{FF2B5EF4-FFF2-40B4-BE49-F238E27FC236}">
              <a16:creationId xmlns:a16="http://schemas.microsoft.com/office/drawing/2014/main" id="{4E98698C-065C-461A-8E7D-3F70677C5C4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5" name="TextBox 2089">
          <a:extLst>
            <a:ext uri="{FF2B5EF4-FFF2-40B4-BE49-F238E27FC236}">
              <a16:creationId xmlns:a16="http://schemas.microsoft.com/office/drawing/2014/main" id="{C623342E-7ABD-4B8E-A159-969E51C5354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6" name="TextBox 2090">
          <a:extLst>
            <a:ext uri="{FF2B5EF4-FFF2-40B4-BE49-F238E27FC236}">
              <a16:creationId xmlns:a16="http://schemas.microsoft.com/office/drawing/2014/main" id="{4DC8DAB0-33C7-4429-8C78-83BDC491E16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7" name="TextBox 2091">
          <a:extLst>
            <a:ext uri="{FF2B5EF4-FFF2-40B4-BE49-F238E27FC236}">
              <a16:creationId xmlns:a16="http://schemas.microsoft.com/office/drawing/2014/main" id="{5550DDB5-FA69-4203-9D5F-C3B338B41AC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8" name="TextBox 2092">
          <a:extLst>
            <a:ext uri="{FF2B5EF4-FFF2-40B4-BE49-F238E27FC236}">
              <a16:creationId xmlns:a16="http://schemas.microsoft.com/office/drawing/2014/main" id="{730B7985-A1EE-4228-9D1E-38D38044AEC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79" name="TextBox 2093">
          <a:extLst>
            <a:ext uri="{FF2B5EF4-FFF2-40B4-BE49-F238E27FC236}">
              <a16:creationId xmlns:a16="http://schemas.microsoft.com/office/drawing/2014/main" id="{21731008-F1EC-40A0-8077-AB8310FF5393}"/>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80" name="TextBox 2094">
          <a:extLst>
            <a:ext uri="{FF2B5EF4-FFF2-40B4-BE49-F238E27FC236}">
              <a16:creationId xmlns:a16="http://schemas.microsoft.com/office/drawing/2014/main" id="{2B4996AA-FB74-426E-BA8B-A7831B2AB1BB}"/>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81" name="TextBox 2095">
          <a:extLst>
            <a:ext uri="{FF2B5EF4-FFF2-40B4-BE49-F238E27FC236}">
              <a16:creationId xmlns:a16="http://schemas.microsoft.com/office/drawing/2014/main" id="{633A75A9-D2B4-44FA-9764-7C1FCAFA43B4}"/>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82" name="TextBox 2096">
          <a:extLst>
            <a:ext uri="{FF2B5EF4-FFF2-40B4-BE49-F238E27FC236}">
              <a16:creationId xmlns:a16="http://schemas.microsoft.com/office/drawing/2014/main" id="{1D1DA5E5-E78A-49F0-B91E-47E166554FD6}"/>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83" name="TextBox 784">
          <a:extLst>
            <a:ext uri="{FF2B5EF4-FFF2-40B4-BE49-F238E27FC236}">
              <a16:creationId xmlns:a16="http://schemas.microsoft.com/office/drawing/2014/main" id="{31A1AF50-92A4-43F8-ACC7-3F6AEF8743C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84" name="TextBox 785">
          <a:extLst>
            <a:ext uri="{FF2B5EF4-FFF2-40B4-BE49-F238E27FC236}">
              <a16:creationId xmlns:a16="http://schemas.microsoft.com/office/drawing/2014/main" id="{D4FE4AA7-9BAC-4D92-BF87-0461F64DB77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85" name="TextBox 786">
          <a:extLst>
            <a:ext uri="{FF2B5EF4-FFF2-40B4-BE49-F238E27FC236}">
              <a16:creationId xmlns:a16="http://schemas.microsoft.com/office/drawing/2014/main" id="{DE7AE171-EADE-467E-A4C5-12E1AF766F4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86" name="TextBox 787">
          <a:extLst>
            <a:ext uri="{FF2B5EF4-FFF2-40B4-BE49-F238E27FC236}">
              <a16:creationId xmlns:a16="http://schemas.microsoft.com/office/drawing/2014/main" id="{351841FF-B56E-4087-9C0A-261FBA77C29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87" name="TextBox 788">
          <a:extLst>
            <a:ext uri="{FF2B5EF4-FFF2-40B4-BE49-F238E27FC236}">
              <a16:creationId xmlns:a16="http://schemas.microsoft.com/office/drawing/2014/main" id="{EB70A1A3-5C56-47E8-9242-17B265235A83}"/>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88" name="TextBox 789">
          <a:extLst>
            <a:ext uri="{FF2B5EF4-FFF2-40B4-BE49-F238E27FC236}">
              <a16:creationId xmlns:a16="http://schemas.microsoft.com/office/drawing/2014/main" id="{6FFEC9D5-FCD9-47F2-AA84-28A2F637894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89" name="TextBox 790">
          <a:extLst>
            <a:ext uri="{FF2B5EF4-FFF2-40B4-BE49-F238E27FC236}">
              <a16:creationId xmlns:a16="http://schemas.microsoft.com/office/drawing/2014/main" id="{71B56B5B-FD96-44C0-8761-BF977B16D73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90" name="TextBox 791">
          <a:extLst>
            <a:ext uri="{FF2B5EF4-FFF2-40B4-BE49-F238E27FC236}">
              <a16:creationId xmlns:a16="http://schemas.microsoft.com/office/drawing/2014/main" id="{CE268DD1-B538-46A3-BD9F-7A51B988CE6C}"/>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91" name="TextBox 792">
          <a:extLst>
            <a:ext uri="{FF2B5EF4-FFF2-40B4-BE49-F238E27FC236}">
              <a16:creationId xmlns:a16="http://schemas.microsoft.com/office/drawing/2014/main" id="{9AC46ED3-0D4A-4124-89EC-71720DE9E66D}"/>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92" name="TextBox 2097">
          <a:extLst>
            <a:ext uri="{FF2B5EF4-FFF2-40B4-BE49-F238E27FC236}">
              <a16:creationId xmlns:a16="http://schemas.microsoft.com/office/drawing/2014/main" id="{ECF91A2A-C64C-4D10-B105-2C6B81D75B6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93" name="TextBox 2098">
          <a:extLst>
            <a:ext uri="{FF2B5EF4-FFF2-40B4-BE49-F238E27FC236}">
              <a16:creationId xmlns:a16="http://schemas.microsoft.com/office/drawing/2014/main" id="{D8EF6DB8-BDB3-4674-B697-EA45B4CBD5D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94" name="TextBox 2099">
          <a:extLst>
            <a:ext uri="{FF2B5EF4-FFF2-40B4-BE49-F238E27FC236}">
              <a16:creationId xmlns:a16="http://schemas.microsoft.com/office/drawing/2014/main" id="{30481610-22FA-4335-A06D-38A4A4A4FF83}"/>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95" name="TextBox 2100">
          <a:extLst>
            <a:ext uri="{FF2B5EF4-FFF2-40B4-BE49-F238E27FC236}">
              <a16:creationId xmlns:a16="http://schemas.microsoft.com/office/drawing/2014/main" id="{D430FAD4-CD7D-4EC4-A9E3-8D7004C3B20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96" name="TextBox 2101">
          <a:extLst>
            <a:ext uri="{FF2B5EF4-FFF2-40B4-BE49-F238E27FC236}">
              <a16:creationId xmlns:a16="http://schemas.microsoft.com/office/drawing/2014/main" id="{E4C504AF-A676-4333-A2E5-20050430413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797" name="TextBox 2102">
          <a:extLst>
            <a:ext uri="{FF2B5EF4-FFF2-40B4-BE49-F238E27FC236}">
              <a16:creationId xmlns:a16="http://schemas.microsoft.com/office/drawing/2014/main" id="{D85594B8-6A03-4674-BD7F-F4CBA143CA8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98" name="TextBox 2103">
          <a:extLst>
            <a:ext uri="{FF2B5EF4-FFF2-40B4-BE49-F238E27FC236}">
              <a16:creationId xmlns:a16="http://schemas.microsoft.com/office/drawing/2014/main" id="{EFC47B06-7226-44F0-B18A-6063AB9F3644}"/>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799" name="TextBox 2104">
          <a:extLst>
            <a:ext uri="{FF2B5EF4-FFF2-40B4-BE49-F238E27FC236}">
              <a16:creationId xmlns:a16="http://schemas.microsoft.com/office/drawing/2014/main" id="{AF9D0A14-C5EF-4164-92B8-ADB6C7A247ED}"/>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00" name="TextBox 2105">
          <a:extLst>
            <a:ext uri="{FF2B5EF4-FFF2-40B4-BE49-F238E27FC236}">
              <a16:creationId xmlns:a16="http://schemas.microsoft.com/office/drawing/2014/main" id="{2C327708-F667-4E6A-A83A-46C1AB45D883}"/>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01" name="TextBox 783">
          <a:extLst>
            <a:ext uri="{FF2B5EF4-FFF2-40B4-BE49-F238E27FC236}">
              <a16:creationId xmlns:a16="http://schemas.microsoft.com/office/drawing/2014/main" id="{0CE91C57-4D07-46AE-B088-B30C36BD79B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02" name="TextBox 784">
          <a:extLst>
            <a:ext uri="{FF2B5EF4-FFF2-40B4-BE49-F238E27FC236}">
              <a16:creationId xmlns:a16="http://schemas.microsoft.com/office/drawing/2014/main" id="{3C922F81-6870-4915-8DF3-FDB435B2D0B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03" name="TextBox 785">
          <a:extLst>
            <a:ext uri="{FF2B5EF4-FFF2-40B4-BE49-F238E27FC236}">
              <a16:creationId xmlns:a16="http://schemas.microsoft.com/office/drawing/2014/main" id="{A5B1C7CD-B48C-4E66-95E9-01EDDBF7124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04" name="TextBox 786">
          <a:extLst>
            <a:ext uri="{FF2B5EF4-FFF2-40B4-BE49-F238E27FC236}">
              <a16:creationId xmlns:a16="http://schemas.microsoft.com/office/drawing/2014/main" id="{8C8F786E-05AE-4F53-A3DA-ED7A9E5FA62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05" name="TextBox 787">
          <a:extLst>
            <a:ext uri="{FF2B5EF4-FFF2-40B4-BE49-F238E27FC236}">
              <a16:creationId xmlns:a16="http://schemas.microsoft.com/office/drawing/2014/main" id="{0C9B2C00-3623-40A8-B619-A4D5E02D539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06" name="TextBox 788">
          <a:extLst>
            <a:ext uri="{FF2B5EF4-FFF2-40B4-BE49-F238E27FC236}">
              <a16:creationId xmlns:a16="http://schemas.microsoft.com/office/drawing/2014/main" id="{EFB089AC-A76B-4C38-8DE6-31B2BD7EFB0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07" name="TextBox 789">
          <a:extLst>
            <a:ext uri="{FF2B5EF4-FFF2-40B4-BE49-F238E27FC236}">
              <a16:creationId xmlns:a16="http://schemas.microsoft.com/office/drawing/2014/main" id="{9E7373AC-9214-4FA3-AAB1-FAAD232D0A51}"/>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08" name="TextBox 790">
          <a:extLst>
            <a:ext uri="{FF2B5EF4-FFF2-40B4-BE49-F238E27FC236}">
              <a16:creationId xmlns:a16="http://schemas.microsoft.com/office/drawing/2014/main" id="{36273AE4-B93C-4C42-BC18-8A6AF94E6EEC}"/>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09" name="TextBox 791">
          <a:extLst>
            <a:ext uri="{FF2B5EF4-FFF2-40B4-BE49-F238E27FC236}">
              <a16:creationId xmlns:a16="http://schemas.microsoft.com/office/drawing/2014/main" id="{6D55BC01-ED39-466E-904B-F40CBCA3BED8}"/>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10" name="TextBox 2088">
          <a:extLst>
            <a:ext uri="{FF2B5EF4-FFF2-40B4-BE49-F238E27FC236}">
              <a16:creationId xmlns:a16="http://schemas.microsoft.com/office/drawing/2014/main" id="{D1212CF7-388F-48AE-BF50-AB0DD5C6DEC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11" name="TextBox 2089">
          <a:extLst>
            <a:ext uri="{FF2B5EF4-FFF2-40B4-BE49-F238E27FC236}">
              <a16:creationId xmlns:a16="http://schemas.microsoft.com/office/drawing/2014/main" id="{337C05F8-9646-4038-AB33-79F82737452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12" name="TextBox 2090">
          <a:extLst>
            <a:ext uri="{FF2B5EF4-FFF2-40B4-BE49-F238E27FC236}">
              <a16:creationId xmlns:a16="http://schemas.microsoft.com/office/drawing/2014/main" id="{623895D2-9B89-402D-88EE-C0A2C011F91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13" name="TextBox 2091">
          <a:extLst>
            <a:ext uri="{FF2B5EF4-FFF2-40B4-BE49-F238E27FC236}">
              <a16:creationId xmlns:a16="http://schemas.microsoft.com/office/drawing/2014/main" id="{173E7287-3765-473C-9CE3-E91F052DBC6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14" name="TextBox 2092">
          <a:extLst>
            <a:ext uri="{FF2B5EF4-FFF2-40B4-BE49-F238E27FC236}">
              <a16:creationId xmlns:a16="http://schemas.microsoft.com/office/drawing/2014/main" id="{01585544-211B-424F-894C-6984B2F51B2B}"/>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815" name="TextBox 2093">
          <a:extLst>
            <a:ext uri="{FF2B5EF4-FFF2-40B4-BE49-F238E27FC236}">
              <a16:creationId xmlns:a16="http://schemas.microsoft.com/office/drawing/2014/main" id="{D947E2DA-DA62-4EBB-8E5D-4FE7388A2E4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16" name="TextBox 2094">
          <a:extLst>
            <a:ext uri="{FF2B5EF4-FFF2-40B4-BE49-F238E27FC236}">
              <a16:creationId xmlns:a16="http://schemas.microsoft.com/office/drawing/2014/main" id="{7D22FB58-2826-4586-AC95-8229F7F241AB}"/>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17" name="TextBox 2095">
          <a:extLst>
            <a:ext uri="{FF2B5EF4-FFF2-40B4-BE49-F238E27FC236}">
              <a16:creationId xmlns:a16="http://schemas.microsoft.com/office/drawing/2014/main" id="{B80DA019-B724-425D-8110-EBE5F23A5B41}"/>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818" name="TextBox 2096">
          <a:extLst>
            <a:ext uri="{FF2B5EF4-FFF2-40B4-BE49-F238E27FC236}">
              <a16:creationId xmlns:a16="http://schemas.microsoft.com/office/drawing/2014/main" id="{A2765B8B-0F85-48D7-93CD-213A3D0E20CF}"/>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184731" cy="274009"/>
    <xdr:sp macro="" textlink="">
      <xdr:nvSpPr>
        <xdr:cNvPr id="819" name="TextBox 4">
          <a:extLst>
            <a:ext uri="{FF2B5EF4-FFF2-40B4-BE49-F238E27FC236}">
              <a16:creationId xmlns:a16="http://schemas.microsoft.com/office/drawing/2014/main" id="{6F4BAA54-1899-4D48-B31F-AEC7E32B117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0" name="TextBox 5">
          <a:extLst>
            <a:ext uri="{FF2B5EF4-FFF2-40B4-BE49-F238E27FC236}">
              <a16:creationId xmlns:a16="http://schemas.microsoft.com/office/drawing/2014/main" id="{2D090E75-D5B2-4678-A280-E2E7E7C8955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1" name="TextBox 6">
          <a:extLst>
            <a:ext uri="{FF2B5EF4-FFF2-40B4-BE49-F238E27FC236}">
              <a16:creationId xmlns:a16="http://schemas.microsoft.com/office/drawing/2014/main" id="{BB8A3C13-F5F3-4E62-A16F-B45FEB8131C2}"/>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2" name="TextBox 108">
          <a:extLst>
            <a:ext uri="{FF2B5EF4-FFF2-40B4-BE49-F238E27FC236}">
              <a16:creationId xmlns:a16="http://schemas.microsoft.com/office/drawing/2014/main" id="{3EB53887-00BD-43D1-8268-DB8742BFC76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3" name="TextBox 109">
          <a:extLst>
            <a:ext uri="{FF2B5EF4-FFF2-40B4-BE49-F238E27FC236}">
              <a16:creationId xmlns:a16="http://schemas.microsoft.com/office/drawing/2014/main" id="{C9C61ACD-2B4B-4DCB-B5ED-422542896102}"/>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4" name="TextBox 110">
          <a:extLst>
            <a:ext uri="{FF2B5EF4-FFF2-40B4-BE49-F238E27FC236}">
              <a16:creationId xmlns:a16="http://schemas.microsoft.com/office/drawing/2014/main" id="{64B480FF-059B-4959-B4C9-9BB1EAAD3FCF}"/>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5" name="TextBox 4">
          <a:extLst>
            <a:ext uri="{FF2B5EF4-FFF2-40B4-BE49-F238E27FC236}">
              <a16:creationId xmlns:a16="http://schemas.microsoft.com/office/drawing/2014/main" id="{FAA5032F-9908-4AEE-9B1A-A3316FA1C892}"/>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6" name="TextBox 5">
          <a:extLst>
            <a:ext uri="{FF2B5EF4-FFF2-40B4-BE49-F238E27FC236}">
              <a16:creationId xmlns:a16="http://schemas.microsoft.com/office/drawing/2014/main" id="{6B86F76C-8286-41B9-B1EC-5212AF4995C9}"/>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7" name="TextBox 6">
          <a:extLst>
            <a:ext uri="{FF2B5EF4-FFF2-40B4-BE49-F238E27FC236}">
              <a16:creationId xmlns:a16="http://schemas.microsoft.com/office/drawing/2014/main" id="{F3039A30-8429-4322-9B5C-4FE8680C6D98}"/>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8" name="TextBox 4">
          <a:extLst>
            <a:ext uri="{FF2B5EF4-FFF2-40B4-BE49-F238E27FC236}">
              <a16:creationId xmlns:a16="http://schemas.microsoft.com/office/drawing/2014/main" id="{19928B00-C88B-47F4-B6F8-7431FDED8E49}"/>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29" name="TextBox 5">
          <a:extLst>
            <a:ext uri="{FF2B5EF4-FFF2-40B4-BE49-F238E27FC236}">
              <a16:creationId xmlns:a16="http://schemas.microsoft.com/office/drawing/2014/main" id="{DF23791B-7ABB-450E-8642-D27BA5135148}"/>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0" name="TextBox 6">
          <a:extLst>
            <a:ext uri="{FF2B5EF4-FFF2-40B4-BE49-F238E27FC236}">
              <a16:creationId xmlns:a16="http://schemas.microsoft.com/office/drawing/2014/main" id="{77168E7C-E381-4CF1-AB62-491C204EEEB6}"/>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1" name="TextBox 4">
          <a:extLst>
            <a:ext uri="{FF2B5EF4-FFF2-40B4-BE49-F238E27FC236}">
              <a16:creationId xmlns:a16="http://schemas.microsoft.com/office/drawing/2014/main" id="{1801C0A2-7B09-4F05-9F9B-81B523F9B76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2" name="TextBox 5">
          <a:extLst>
            <a:ext uri="{FF2B5EF4-FFF2-40B4-BE49-F238E27FC236}">
              <a16:creationId xmlns:a16="http://schemas.microsoft.com/office/drawing/2014/main" id="{57805AF3-77CD-4E57-99A5-CDA40E25E78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3" name="TextBox 6">
          <a:extLst>
            <a:ext uri="{FF2B5EF4-FFF2-40B4-BE49-F238E27FC236}">
              <a16:creationId xmlns:a16="http://schemas.microsoft.com/office/drawing/2014/main" id="{2505DE03-EA21-449F-9FC0-FACD03861025}"/>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4" name="TextBox 4">
          <a:extLst>
            <a:ext uri="{FF2B5EF4-FFF2-40B4-BE49-F238E27FC236}">
              <a16:creationId xmlns:a16="http://schemas.microsoft.com/office/drawing/2014/main" id="{9D3D8D54-4076-4202-84FC-681F8F12A65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5" name="TextBox 5">
          <a:extLst>
            <a:ext uri="{FF2B5EF4-FFF2-40B4-BE49-F238E27FC236}">
              <a16:creationId xmlns:a16="http://schemas.microsoft.com/office/drawing/2014/main" id="{62687500-0328-4BF2-8E55-A6728BC5AA8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36" name="TextBox 6">
          <a:extLst>
            <a:ext uri="{FF2B5EF4-FFF2-40B4-BE49-F238E27FC236}">
              <a16:creationId xmlns:a16="http://schemas.microsoft.com/office/drawing/2014/main" id="{EE90E4EA-1016-4D60-A244-1DDA80D8C291}"/>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837" name="TextBox 4">
          <a:extLst>
            <a:ext uri="{FF2B5EF4-FFF2-40B4-BE49-F238E27FC236}">
              <a16:creationId xmlns:a16="http://schemas.microsoft.com/office/drawing/2014/main" id="{CC4C1F9C-B3A7-49C7-A664-730D6C54DF3D}"/>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838" name="TextBox 5">
          <a:extLst>
            <a:ext uri="{FF2B5EF4-FFF2-40B4-BE49-F238E27FC236}">
              <a16:creationId xmlns:a16="http://schemas.microsoft.com/office/drawing/2014/main" id="{510C5441-C9A8-4CF0-8214-6DA229135025}"/>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839" name="TextBox 6">
          <a:extLst>
            <a:ext uri="{FF2B5EF4-FFF2-40B4-BE49-F238E27FC236}">
              <a16:creationId xmlns:a16="http://schemas.microsoft.com/office/drawing/2014/main" id="{A03956FE-F0E3-476F-A2BE-65D2A2A7F524}"/>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40" name="TextBox 4">
          <a:extLst>
            <a:ext uri="{FF2B5EF4-FFF2-40B4-BE49-F238E27FC236}">
              <a16:creationId xmlns:a16="http://schemas.microsoft.com/office/drawing/2014/main" id="{BD7B4BB5-621C-42B2-90D3-116831E50AB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41" name="TextBox 5">
          <a:extLst>
            <a:ext uri="{FF2B5EF4-FFF2-40B4-BE49-F238E27FC236}">
              <a16:creationId xmlns:a16="http://schemas.microsoft.com/office/drawing/2014/main" id="{384B62CD-16CF-4E48-ACC6-8CC7CC7FDC91}"/>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42" name="TextBox 6">
          <a:extLst>
            <a:ext uri="{FF2B5EF4-FFF2-40B4-BE49-F238E27FC236}">
              <a16:creationId xmlns:a16="http://schemas.microsoft.com/office/drawing/2014/main" id="{0E052E9E-B7EE-4AEA-A9E2-05681942AC89}"/>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43" name="TextBox 4">
          <a:extLst>
            <a:ext uri="{FF2B5EF4-FFF2-40B4-BE49-F238E27FC236}">
              <a16:creationId xmlns:a16="http://schemas.microsoft.com/office/drawing/2014/main" id="{EF168B25-C52F-4B6F-A9AB-B304FDE0834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44" name="TextBox 5">
          <a:extLst>
            <a:ext uri="{FF2B5EF4-FFF2-40B4-BE49-F238E27FC236}">
              <a16:creationId xmlns:a16="http://schemas.microsoft.com/office/drawing/2014/main" id="{CB257D8E-FBA0-41BB-B821-0C592D879AE1}"/>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45" name="TextBox 6">
          <a:extLst>
            <a:ext uri="{FF2B5EF4-FFF2-40B4-BE49-F238E27FC236}">
              <a16:creationId xmlns:a16="http://schemas.microsoft.com/office/drawing/2014/main" id="{2CC2EA57-80C3-43C2-AABD-38D4A5F49EC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46" name="TextBox 4">
          <a:extLst>
            <a:ext uri="{FF2B5EF4-FFF2-40B4-BE49-F238E27FC236}">
              <a16:creationId xmlns:a16="http://schemas.microsoft.com/office/drawing/2014/main" id="{7DF909B1-EFF2-4BD3-A45C-125E9DAEBF68}"/>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47" name="TextBox 5">
          <a:extLst>
            <a:ext uri="{FF2B5EF4-FFF2-40B4-BE49-F238E27FC236}">
              <a16:creationId xmlns:a16="http://schemas.microsoft.com/office/drawing/2014/main" id="{DE4168EF-AD7A-4D68-A3B5-632AE24A8DE8}"/>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48" name="TextBox 6">
          <a:extLst>
            <a:ext uri="{FF2B5EF4-FFF2-40B4-BE49-F238E27FC236}">
              <a16:creationId xmlns:a16="http://schemas.microsoft.com/office/drawing/2014/main" id="{16E47C61-2A06-4673-B9D9-CB700C2413E8}"/>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49" name="TextBox 4">
          <a:extLst>
            <a:ext uri="{FF2B5EF4-FFF2-40B4-BE49-F238E27FC236}">
              <a16:creationId xmlns:a16="http://schemas.microsoft.com/office/drawing/2014/main" id="{F24B8090-264D-4330-A3BD-58410D6EB08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0" name="TextBox 5">
          <a:extLst>
            <a:ext uri="{FF2B5EF4-FFF2-40B4-BE49-F238E27FC236}">
              <a16:creationId xmlns:a16="http://schemas.microsoft.com/office/drawing/2014/main" id="{DC379D1D-96A4-4330-9DBA-33B2C5E24B8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1" name="TextBox 6">
          <a:extLst>
            <a:ext uri="{FF2B5EF4-FFF2-40B4-BE49-F238E27FC236}">
              <a16:creationId xmlns:a16="http://schemas.microsoft.com/office/drawing/2014/main" id="{F468318C-B0FB-4BF8-8163-252AA73960A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2" name="TextBox 4">
          <a:extLst>
            <a:ext uri="{FF2B5EF4-FFF2-40B4-BE49-F238E27FC236}">
              <a16:creationId xmlns:a16="http://schemas.microsoft.com/office/drawing/2014/main" id="{68ABB444-A8F1-4D7F-B169-2E4F528BD528}"/>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3" name="TextBox 5">
          <a:extLst>
            <a:ext uri="{FF2B5EF4-FFF2-40B4-BE49-F238E27FC236}">
              <a16:creationId xmlns:a16="http://schemas.microsoft.com/office/drawing/2014/main" id="{67661C58-451B-414C-AA18-01F3069B0154}"/>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4" name="TextBox 6">
          <a:extLst>
            <a:ext uri="{FF2B5EF4-FFF2-40B4-BE49-F238E27FC236}">
              <a16:creationId xmlns:a16="http://schemas.microsoft.com/office/drawing/2014/main" id="{7A158351-B838-4E12-A2C0-B5E5F910658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5" name="TextBox 4">
          <a:extLst>
            <a:ext uri="{FF2B5EF4-FFF2-40B4-BE49-F238E27FC236}">
              <a16:creationId xmlns:a16="http://schemas.microsoft.com/office/drawing/2014/main" id="{7D89CCC1-6F09-4C23-BDC0-AB67ECCE7D33}"/>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6" name="TextBox 5">
          <a:extLst>
            <a:ext uri="{FF2B5EF4-FFF2-40B4-BE49-F238E27FC236}">
              <a16:creationId xmlns:a16="http://schemas.microsoft.com/office/drawing/2014/main" id="{C5CB12DB-7F38-4911-B443-F83B335E7B26}"/>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7" name="TextBox 6">
          <a:extLst>
            <a:ext uri="{FF2B5EF4-FFF2-40B4-BE49-F238E27FC236}">
              <a16:creationId xmlns:a16="http://schemas.microsoft.com/office/drawing/2014/main" id="{DECB28D4-FA90-4735-B649-B36F536153BD}"/>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8" name="TextBox 4">
          <a:extLst>
            <a:ext uri="{FF2B5EF4-FFF2-40B4-BE49-F238E27FC236}">
              <a16:creationId xmlns:a16="http://schemas.microsoft.com/office/drawing/2014/main" id="{A62677F8-1081-422E-90A2-C7E15CF24F56}"/>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59" name="TextBox 5">
          <a:extLst>
            <a:ext uri="{FF2B5EF4-FFF2-40B4-BE49-F238E27FC236}">
              <a16:creationId xmlns:a16="http://schemas.microsoft.com/office/drawing/2014/main" id="{7485788F-C698-4C35-A699-714E11AC8660}"/>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60" name="TextBox 6">
          <a:extLst>
            <a:ext uri="{FF2B5EF4-FFF2-40B4-BE49-F238E27FC236}">
              <a16:creationId xmlns:a16="http://schemas.microsoft.com/office/drawing/2014/main" id="{7C88FB68-3AF9-45F4-9328-2CED50563008}"/>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61" name="TextBox 4">
          <a:extLst>
            <a:ext uri="{FF2B5EF4-FFF2-40B4-BE49-F238E27FC236}">
              <a16:creationId xmlns:a16="http://schemas.microsoft.com/office/drawing/2014/main" id="{4E6398E2-AA3B-4BC3-ADE4-82677BBEA74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62" name="TextBox 5">
          <a:extLst>
            <a:ext uri="{FF2B5EF4-FFF2-40B4-BE49-F238E27FC236}">
              <a16:creationId xmlns:a16="http://schemas.microsoft.com/office/drawing/2014/main" id="{4EEEE956-344D-41B9-9238-368A98BFDC10}"/>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63" name="TextBox 6">
          <a:extLst>
            <a:ext uri="{FF2B5EF4-FFF2-40B4-BE49-F238E27FC236}">
              <a16:creationId xmlns:a16="http://schemas.microsoft.com/office/drawing/2014/main" id="{F146334C-44E5-4340-881C-E881BCE78D8D}"/>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64" name="TextBox 4">
          <a:extLst>
            <a:ext uri="{FF2B5EF4-FFF2-40B4-BE49-F238E27FC236}">
              <a16:creationId xmlns:a16="http://schemas.microsoft.com/office/drawing/2014/main" id="{ED37DC0B-1CA5-4CE1-8BDA-3B1211E19828}"/>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65" name="TextBox 5">
          <a:extLst>
            <a:ext uri="{FF2B5EF4-FFF2-40B4-BE49-F238E27FC236}">
              <a16:creationId xmlns:a16="http://schemas.microsoft.com/office/drawing/2014/main" id="{60FD02C1-3314-4B1B-BAEC-FB177B8325B3}"/>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66" name="TextBox 6">
          <a:extLst>
            <a:ext uri="{FF2B5EF4-FFF2-40B4-BE49-F238E27FC236}">
              <a16:creationId xmlns:a16="http://schemas.microsoft.com/office/drawing/2014/main" id="{1F7CE704-3579-47BC-8687-5352C3E9C29A}"/>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67" name="TextBox 4">
          <a:extLst>
            <a:ext uri="{FF2B5EF4-FFF2-40B4-BE49-F238E27FC236}">
              <a16:creationId xmlns:a16="http://schemas.microsoft.com/office/drawing/2014/main" id="{7AE87E5C-8641-44FF-B553-D5C5FC3683E2}"/>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68" name="TextBox 5">
          <a:extLst>
            <a:ext uri="{FF2B5EF4-FFF2-40B4-BE49-F238E27FC236}">
              <a16:creationId xmlns:a16="http://schemas.microsoft.com/office/drawing/2014/main" id="{A542A589-FF86-4E5D-988B-88C554BAB94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69" name="TextBox 6">
          <a:extLst>
            <a:ext uri="{FF2B5EF4-FFF2-40B4-BE49-F238E27FC236}">
              <a16:creationId xmlns:a16="http://schemas.microsoft.com/office/drawing/2014/main" id="{913F8424-7899-41A3-8B92-F693B24AA9CF}"/>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0" name="TextBox 156">
          <a:extLst>
            <a:ext uri="{FF2B5EF4-FFF2-40B4-BE49-F238E27FC236}">
              <a16:creationId xmlns:a16="http://schemas.microsoft.com/office/drawing/2014/main" id="{EDA7E5BD-64FC-44D5-9C53-A9297DF1E33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1" name="TextBox 157">
          <a:extLst>
            <a:ext uri="{FF2B5EF4-FFF2-40B4-BE49-F238E27FC236}">
              <a16:creationId xmlns:a16="http://schemas.microsoft.com/office/drawing/2014/main" id="{430C05B4-C56B-44CA-B97D-2A28AB5ACD68}"/>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2" name="TextBox 158">
          <a:extLst>
            <a:ext uri="{FF2B5EF4-FFF2-40B4-BE49-F238E27FC236}">
              <a16:creationId xmlns:a16="http://schemas.microsoft.com/office/drawing/2014/main" id="{18B9E0E2-A928-4DD4-A908-9FAF0D619EA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3" name="TextBox 4">
          <a:extLst>
            <a:ext uri="{FF2B5EF4-FFF2-40B4-BE49-F238E27FC236}">
              <a16:creationId xmlns:a16="http://schemas.microsoft.com/office/drawing/2014/main" id="{02388A8A-E154-432A-A1DC-493F28AB806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4" name="TextBox 5">
          <a:extLst>
            <a:ext uri="{FF2B5EF4-FFF2-40B4-BE49-F238E27FC236}">
              <a16:creationId xmlns:a16="http://schemas.microsoft.com/office/drawing/2014/main" id="{0C34A547-CD6A-446A-BB60-153F3C4A02D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5" name="TextBox 6">
          <a:extLst>
            <a:ext uri="{FF2B5EF4-FFF2-40B4-BE49-F238E27FC236}">
              <a16:creationId xmlns:a16="http://schemas.microsoft.com/office/drawing/2014/main" id="{BAC8615F-6718-4D98-A1E1-485C3097763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6" name="TextBox 4">
          <a:extLst>
            <a:ext uri="{FF2B5EF4-FFF2-40B4-BE49-F238E27FC236}">
              <a16:creationId xmlns:a16="http://schemas.microsoft.com/office/drawing/2014/main" id="{66D547DD-98BE-4F08-8DB0-E964E529E76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7" name="TextBox 5">
          <a:extLst>
            <a:ext uri="{FF2B5EF4-FFF2-40B4-BE49-F238E27FC236}">
              <a16:creationId xmlns:a16="http://schemas.microsoft.com/office/drawing/2014/main" id="{85C70662-59B3-4295-9752-EFCA0AFC124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8" name="TextBox 6">
          <a:extLst>
            <a:ext uri="{FF2B5EF4-FFF2-40B4-BE49-F238E27FC236}">
              <a16:creationId xmlns:a16="http://schemas.microsoft.com/office/drawing/2014/main" id="{11ED9541-7FC3-425C-940A-980ED77C9B55}"/>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79" name="TextBox 4">
          <a:extLst>
            <a:ext uri="{FF2B5EF4-FFF2-40B4-BE49-F238E27FC236}">
              <a16:creationId xmlns:a16="http://schemas.microsoft.com/office/drawing/2014/main" id="{3A458B6A-55F1-4814-A4FE-5B9918292E2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0" name="TextBox 5">
          <a:extLst>
            <a:ext uri="{FF2B5EF4-FFF2-40B4-BE49-F238E27FC236}">
              <a16:creationId xmlns:a16="http://schemas.microsoft.com/office/drawing/2014/main" id="{13AE4299-254A-4361-AC36-C8C659F386A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1" name="TextBox 6">
          <a:extLst>
            <a:ext uri="{FF2B5EF4-FFF2-40B4-BE49-F238E27FC236}">
              <a16:creationId xmlns:a16="http://schemas.microsoft.com/office/drawing/2014/main" id="{D09C502C-A352-4E37-81C1-663F4C9BCA0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2" name="TextBox 4">
          <a:extLst>
            <a:ext uri="{FF2B5EF4-FFF2-40B4-BE49-F238E27FC236}">
              <a16:creationId xmlns:a16="http://schemas.microsoft.com/office/drawing/2014/main" id="{B1CAC3B9-A0F8-4243-9FEB-85F34596072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3" name="TextBox 5">
          <a:extLst>
            <a:ext uri="{FF2B5EF4-FFF2-40B4-BE49-F238E27FC236}">
              <a16:creationId xmlns:a16="http://schemas.microsoft.com/office/drawing/2014/main" id="{5B489FB1-3459-46D5-B992-2CE019649E15}"/>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4" name="TextBox 6">
          <a:extLst>
            <a:ext uri="{FF2B5EF4-FFF2-40B4-BE49-F238E27FC236}">
              <a16:creationId xmlns:a16="http://schemas.microsoft.com/office/drawing/2014/main" id="{57E4965D-BDF1-4DCA-A6BF-87231EFAB662}"/>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885" name="TextBox 4">
          <a:extLst>
            <a:ext uri="{FF2B5EF4-FFF2-40B4-BE49-F238E27FC236}">
              <a16:creationId xmlns:a16="http://schemas.microsoft.com/office/drawing/2014/main" id="{736CE231-F788-4DE1-9772-2FB287932707}"/>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886" name="TextBox 5">
          <a:extLst>
            <a:ext uri="{FF2B5EF4-FFF2-40B4-BE49-F238E27FC236}">
              <a16:creationId xmlns:a16="http://schemas.microsoft.com/office/drawing/2014/main" id="{9F06B2CD-2F3D-45B0-A13E-CD15477BDE44}"/>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887" name="TextBox 6">
          <a:extLst>
            <a:ext uri="{FF2B5EF4-FFF2-40B4-BE49-F238E27FC236}">
              <a16:creationId xmlns:a16="http://schemas.microsoft.com/office/drawing/2014/main" id="{E093CC32-36FD-44B0-9353-42367F9A6C26}"/>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8" name="TextBox 4">
          <a:extLst>
            <a:ext uri="{FF2B5EF4-FFF2-40B4-BE49-F238E27FC236}">
              <a16:creationId xmlns:a16="http://schemas.microsoft.com/office/drawing/2014/main" id="{6255CD23-AD11-46E0-B333-D55A27A979F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89" name="TextBox 5">
          <a:extLst>
            <a:ext uri="{FF2B5EF4-FFF2-40B4-BE49-F238E27FC236}">
              <a16:creationId xmlns:a16="http://schemas.microsoft.com/office/drawing/2014/main" id="{A05C0438-3816-4832-8156-148A560474C3}"/>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90" name="TextBox 6">
          <a:extLst>
            <a:ext uri="{FF2B5EF4-FFF2-40B4-BE49-F238E27FC236}">
              <a16:creationId xmlns:a16="http://schemas.microsoft.com/office/drawing/2014/main" id="{FB0B64CC-F2A1-48BE-ACB5-DBB8CB4049BA}"/>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91" name="TextBox 4">
          <a:extLst>
            <a:ext uri="{FF2B5EF4-FFF2-40B4-BE49-F238E27FC236}">
              <a16:creationId xmlns:a16="http://schemas.microsoft.com/office/drawing/2014/main" id="{4B163FC8-6BB4-4A59-8AAB-44A4087075B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92" name="TextBox 5">
          <a:extLst>
            <a:ext uri="{FF2B5EF4-FFF2-40B4-BE49-F238E27FC236}">
              <a16:creationId xmlns:a16="http://schemas.microsoft.com/office/drawing/2014/main" id="{5B8C66C0-F284-4806-835B-8EBF357C107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893" name="TextBox 6">
          <a:extLst>
            <a:ext uri="{FF2B5EF4-FFF2-40B4-BE49-F238E27FC236}">
              <a16:creationId xmlns:a16="http://schemas.microsoft.com/office/drawing/2014/main" id="{CCAEB24C-3805-465F-A52E-C2D58CC4E70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94" name="TextBox 4">
          <a:extLst>
            <a:ext uri="{FF2B5EF4-FFF2-40B4-BE49-F238E27FC236}">
              <a16:creationId xmlns:a16="http://schemas.microsoft.com/office/drawing/2014/main" id="{78DD7A3E-8FEB-4846-A0E8-4E0CC4514429}"/>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95" name="TextBox 5">
          <a:extLst>
            <a:ext uri="{FF2B5EF4-FFF2-40B4-BE49-F238E27FC236}">
              <a16:creationId xmlns:a16="http://schemas.microsoft.com/office/drawing/2014/main" id="{1D2AFAE0-6751-45AF-9AED-1232A46AE6A2}"/>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96" name="TextBox 6">
          <a:extLst>
            <a:ext uri="{FF2B5EF4-FFF2-40B4-BE49-F238E27FC236}">
              <a16:creationId xmlns:a16="http://schemas.microsoft.com/office/drawing/2014/main" id="{E3055E76-9688-4BEB-96DA-CD9B9F7CC03D}"/>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97" name="TextBox 4">
          <a:extLst>
            <a:ext uri="{FF2B5EF4-FFF2-40B4-BE49-F238E27FC236}">
              <a16:creationId xmlns:a16="http://schemas.microsoft.com/office/drawing/2014/main" id="{8BF5F43C-E03C-4E8C-8DFB-B4AB032A348D}"/>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98" name="TextBox 5">
          <a:extLst>
            <a:ext uri="{FF2B5EF4-FFF2-40B4-BE49-F238E27FC236}">
              <a16:creationId xmlns:a16="http://schemas.microsoft.com/office/drawing/2014/main" id="{ECEEFBBD-11DB-459F-81AF-33061C9B628F}"/>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899" name="TextBox 6">
          <a:extLst>
            <a:ext uri="{FF2B5EF4-FFF2-40B4-BE49-F238E27FC236}">
              <a16:creationId xmlns:a16="http://schemas.microsoft.com/office/drawing/2014/main" id="{853310A8-8351-4BCD-AD0E-0694D166FFA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0" name="TextBox 4">
          <a:extLst>
            <a:ext uri="{FF2B5EF4-FFF2-40B4-BE49-F238E27FC236}">
              <a16:creationId xmlns:a16="http://schemas.microsoft.com/office/drawing/2014/main" id="{71761C1D-0C0B-4D57-B387-3AAB833EA97A}"/>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1" name="TextBox 5">
          <a:extLst>
            <a:ext uri="{FF2B5EF4-FFF2-40B4-BE49-F238E27FC236}">
              <a16:creationId xmlns:a16="http://schemas.microsoft.com/office/drawing/2014/main" id="{2B97BA30-8B7C-4B42-A30E-29CE33C98EBE}"/>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2" name="TextBox 6">
          <a:extLst>
            <a:ext uri="{FF2B5EF4-FFF2-40B4-BE49-F238E27FC236}">
              <a16:creationId xmlns:a16="http://schemas.microsoft.com/office/drawing/2014/main" id="{18C273FC-7667-4B22-BA51-98E12F28F4F6}"/>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3" name="TextBox 4">
          <a:extLst>
            <a:ext uri="{FF2B5EF4-FFF2-40B4-BE49-F238E27FC236}">
              <a16:creationId xmlns:a16="http://schemas.microsoft.com/office/drawing/2014/main" id="{70EC5B67-380B-4056-A18F-D02E61A2F08C}"/>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4" name="TextBox 5">
          <a:extLst>
            <a:ext uri="{FF2B5EF4-FFF2-40B4-BE49-F238E27FC236}">
              <a16:creationId xmlns:a16="http://schemas.microsoft.com/office/drawing/2014/main" id="{D620927F-705B-417C-B153-D3D100846EE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5" name="TextBox 6">
          <a:extLst>
            <a:ext uri="{FF2B5EF4-FFF2-40B4-BE49-F238E27FC236}">
              <a16:creationId xmlns:a16="http://schemas.microsoft.com/office/drawing/2014/main" id="{97FC0B5C-0F28-415A-B0A8-03DB1EEC28E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6" name="TextBox 4">
          <a:extLst>
            <a:ext uri="{FF2B5EF4-FFF2-40B4-BE49-F238E27FC236}">
              <a16:creationId xmlns:a16="http://schemas.microsoft.com/office/drawing/2014/main" id="{D483B2DA-CDBC-44F9-9C4E-49C38C55C77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7" name="TextBox 5">
          <a:extLst>
            <a:ext uri="{FF2B5EF4-FFF2-40B4-BE49-F238E27FC236}">
              <a16:creationId xmlns:a16="http://schemas.microsoft.com/office/drawing/2014/main" id="{93D89E37-9C6C-4541-B563-E6E8A839CB7F}"/>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8" name="TextBox 6">
          <a:extLst>
            <a:ext uri="{FF2B5EF4-FFF2-40B4-BE49-F238E27FC236}">
              <a16:creationId xmlns:a16="http://schemas.microsoft.com/office/drawing/2014/main" id="{324482EF-76AA-48E1-A347-59EF7459FE96}"/>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09" name="TextBox 4">
          <a:extLst>
            <a:ext uri="{FF2B5EF4-FFF2-40B4-BE49-F238E27FC236}">
              <a16:creationId xmlns:a16="http://schemas.microsoft.com/office/drawing/2014/main" id="{4394FE1B-77DA-4091-9CDE-2EEE9639A69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10" name="TextBox 5">
          <a:extLst>
            <a:ext uri="{FF2B5EF4-FFF2-40B4-BE49-F238E27FC236}">
              <a16:creationId xmlns:a16="http://schemas.microsoft.com/office/drawing/2014/main" id="{A799FF64-57F6-4E19-830E-625C7963C7C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911" name="TextBox 6">
          <a:extLst>
            <a:ext uri="{FF2B5EF4-FFF2-40B4-BE49-F238E27FC236}">
              <a16:creationId xmlns:a16="http://schemas.microsoft.com/office/drawing/2014/main" id="{8D5AD1FA-6A2E-492A-BA94-BFDB7E0517CA}"/>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12" name="TextBox 4">
          <a:extLst>
            <a:ext uri="{FF2B5EF4-FFF2-40B4-BE49-F238E27FC236}">
              <a16:creationId xmlns:a16="http://schemas.microsoft.com/office/drawing/2014/main" id="{4E7AEAF6-21DA-48A5-AF9F-5D65E512D90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13" name="TextBox 5">
          <a:extLst>
            <a:ext uri="{FF2B5EF4-FFF2-40B4-BE49-F238E27FC236}">
              <a16:creationId xmlns:a16="http://schemas.microsoft.com/office/drawing/2014/main" id="{B28C826B-F19F-45BC-8207-A919067E3495}"/>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14" name="TextBox 6">
          <a:extLst>
            <a:ext uri="{FF2B5EF4-FFF2-40B4-BE49-F238E27FC236}">
              <a16:creationId xmlns:a16="http://schemas.microsoft.com/office/drawing/2014/main" id="{77DB88A5-3CDB-4BB9-ADB4-C278180127A1}"/>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923978" cy="311803"/>
    <xdr:sp macro="" textlink="">
      <xdr:nvSpPr>
        <xdr:cNvPr id="915" name="TextBox 784">
          <a:extLst>
            <a:ext uri="{FF2B5EF4-FFF2-40B4-BE49-F238E27FC236}">
              <a16:creationId xmlns:a16="http://schemas.microsoft.com/office/drawing/2014/main" id="{9C86FE78-3FCE-4F16-825B-F95EC3A81C8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16" name="TextBox 785">
          <a:extLst>
            <a:ext uri="{FF2B5EF4-FFF2-40B4-BE49-F238E27FC236}">
              <a16:creationId xmlns:a16="http://schemas.microsoft.com/office/drawing/2014/main" id="{2FE29346-D159-493B-A0C5-D767CBECD56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17" name="TextBox 786">
          <a:extLst>
            <a:ext uri="{FF2B5EF4-FFF2-40B4-BE49-F238E27FC236}">
              <a16:creationId xmlns:a16="http://schemas.microsoft.com/office/drawing/2014/main" id="{D43EEFE2-8EBB-44DF-8BF3-5B6B13415A5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18" name="TextBox 787">
          <a:extLst>
            <a:ext uri="{FF2B5EF4-FFF2-40B4-BE49-F238E27FC236}">
              <a16:creationId xmlns:a16="http://schemas.microsoft.com/office/drawing/2014/main" id="{B60561C6-470A-4349-88A7-21D15B8D8B6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19" name="TextBox 788">
          <a:extLst>
            <a:ext uri="{FF2B5EF4-FFF2-40B4-BE49-F238E27FC236}">
              <a16:creationId xmlns:a16="http://schemas.microsoft.com/office/drawing/2014/main" id="{3CABD9C6-AB11-4FC5-A7E5-E33AF929099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0" name="TextBox 789">
          <a:extLst>
            <a:ext uri="{FF2B5EF4-FFF2-40B4-BE49-F238E27FC236}">
              <a16:creationId xmlns:a16="http://schemas.microsoft.com/office/drawing/2014/main" id="{936F88D2-4890-4806-935D-5F7C0218093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21" name="TextBox 790">
          <a:extLst>
            <a:ext uri="{FF2B5EF4-FFF2-40B4-BE49-F238E27FC236}">
              <a16:creationId xmlns:a16="http://schemas.microsoft.com/office/drawing/2014/main" id="{3A80CEAF-8D85-4799-ABEC-FC82998CC76F}"/>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22" name="TextBox 791">
          <a:extLst>
            <a:ext uri="{FF2B5EF4-FFF2-40B4-BE49-F238E27FC236}">
              <a16:creationId xmlns:a16="http://schemas.microsoft.com/office/drawing/2014/main" id="{50FEFA66-A9A7-4890-8CC6-D58DA6FA3384}"/>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23" name="TextBox 792">
          <a:extLst>
            <a:ext uri="{FF2B5EF4-FFF2-40B4-BE49-F238E27FC236}">
              <a16:creationId xmlns:a16="http://schemas.microsoft.com/office/drawing/2014/main" id="{3C87C034-21B9-4491-863C-D63B08032EB6}"/>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4" name="TextBox 2097">
          <a:extLst>
            <a:ext uri="{FF2B5EF4-FFF2-40B4-BE49-F238E27FC236}">
              <a16:creationId xmlns:a16="http://schemas.microsoft.com/office/drawing/2014/main" id="{A8D2CF36-DE1F-4A75-BB5D-90076C5ABD9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5" name="TextBox 2098">
          <a:extLst>
            <a:ext uri="{FF2B5EF4-FFF2-40B4-BE49-F238E27FC236}">
              <a16:creationId xmlns:a16="http://schemas.microsoft.com/office/drawing/2014/main" id="{29B97688-5E57-433C-8B25-07D9F270406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6" name="TextBox 2099">
          <a:extLst>
            <a:ext uri="{FF2B5EF4-FFF2-40B4-BE49-F238E27FC236}">
              <a16:creationId xmlns:a16="http://schemas.microsoft.com/office/drawing/2014/main" id="{DA9C20C9-1EED-46EC-BC93-E4FBBCE6B4D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7" name="TextBox 2100">
          <a:extLst>
            <a:ext uri="{FF2B5EF4-FFF2-40B4-BE49-F238E27FC236}">
              <a16:creationId xmlns:a16="http://schemas.microsoft.com/office/drawing/2014/main" id="{1F2A399D-F95F-4278-AB72-FB0B4D83D4E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8" name="TextBox 2101">
          <a:extLst>
            <a:ext uri="{FF2B5EF4-FFF2-40B4-BE49-F238E27FC236}">
              <a16:creationId xmlns:a16="http://schemas.microsoft.com/office/drawing/2014/main" id="{1CBC1836-B8D2-41A7-AFD2-4E672991E92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29" name="TextBox 2102">
          <a:extLst>
            <a:ext uri="{FF2B5EF4-FFF2-40B4-BE49-F238E27FC236}">
              <a16:creationId xmlns:a16="http://schemas.microsoft.com/office/drawing/2014/main" id="{CED311FB-5264-4377-8949-6F44FF65F31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30" name="TextBox 2103">
          <a:extLst>
            <a:ext uri="{FF2B5EF4-FFF2-40B4-BE49-F238E27FC236}">
              <a16:creationId xmlns:a16="http://schemas.microsoft.com/office/drawing/2014/main" id="{A657589F-9195-4F96-9F65-483C29474DDD}"/>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31" name="TextBox 2104">
          <a:extLst>
            <a:ext uri="{FF2B5EF4-FFF2-40B4-BE49-F238E27FC236}">
              <a16:creationId xmlns:a16="http://schemas.microsoft.com/office/drawing/2014/main" id="{1B371752-FB73-46D7-BEE4-D857B5E9E10A}"/>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32" name="TextBox 2105">
          <a:extLst>
            <a:ext uri="{FF2B5EF4-FFF2-40B4-BE49-F238E27FC236}">
              <a16:creationId xmlns:a16="http://schemas.microsoft.com/office/drawing/2014/main" id="{D2469D50-AD1B-43A7-8A27-192175CB7CB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33" name="TextBox 783">
          <a:extLst>
            <a:ext uri="{FF2B5EF4-FFF2-40B4-BE49-F238E27FC236}">
              <a16:creationId xmlns:a16="http://schemas.microsoft.com/office/drawing/2014/main" id="{B0536827-D0CC-4B7A-A7E4-2B03CC27951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34" name="TextBox 784">
          <a:extLst>
            <a:ext uri="{FF2B5EF4-FFF2-40B4-BE49-F238E27FC236}">
              <a16:creationId xmlns:a16="http://schemas.microsoft.com/office/drawing/2014/main" id="{289B1146-F579-48C8-80A7-618CC1461CF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35" name="TextBox 785">
          <a:extLst>
            <a:ext uri="{FF2B5EF4-FFF2-40B4-BE49-F238E27FC236}">
              <a16:creationId xmlns:a16="http://schemas.microsoft.com/office/drawing/2014/main" id="{966AB94C-606C-4490-B3C5-2E0169D1D9C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36" name="TextBox 786">
          <a:extLst>
            <a:ext uri="{FF2B5EF4-FFF2-40B4-BE49-F238E27FC236}">
              <a16:creationId xmlns:a16="http://schemas.microsoft.com/office/drawing/2014/main" id="{AAE3AC4E-372A-4B66-AF38-13F0CFD5BF1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37" name="TextBox 787">
          <a:extLst>
            <a:ext uri="{FF2B5EF4-FFF2-40B4-BE49-F238E27FC236}">
              <a16:creationId xmlns:a16="http://schemas.microsoft.com/office/drawing/2014/main" id="{A19AE89A-BBE8-4AC7-949F-F8264F1119C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38" name="TextBox 788">
          <a:extLst>
            <a:ext uri="{FF2B5EF4-FFF2-40B4-BE49-F238E27FC236}">
              <a16:creationId xmlns:a16="http://schemas.microsoft.com/office/drawing/2014/main" id="{B011BD5C-7319-4DE0-8D6E-CE0F3783645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39" name="TextBox 789">
          <a:extLst>
            <a:ext uri="{FF2B5EF4-FFF2-40B4-BE49-F238E27FC236}">
              <a16:creationId xmlns:a16="http://schemas.microsoft.com/office/drawing/2014/main" id="{85E0AA6C-9BCA-42BB-A575-5447F45816B6}"/>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40" name="TextBox 790">
          <a:extLst>
            <a:ext uri="{FF2B5EF4-FFF2-40B4-BE49-F238E27FC236}">
              <a16:creationId xmlns:a16="http://schemas.microsoft.com/office/drawing/2014/main" id="{979AF2D1-D8A1-486C-8717-23B1B1C0684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41" name="TextBox 791">
          <a:extLst>
            <a:ext uri="{FF2B5EF4-FFF2-40B4-BE49-F238E27FC236}">
              <a16:creationId xmlns:a16="http://schemas.microsoft.com/office/drawing/2014/main" id="{790BA503-2EE5-446C-94F9-138E84A47B7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42" name="TextBox 2088">
          <a:extLst>
            <a:ext uri="{FF2B5EF4-FFF2-40B4-BE49-F238E27FC236}">
              <a16:creationId xmlns:a16="http://schemas.microsoft.com/office/drawing/2014/main" id="{7E884557-D94A-43E9-8B52-3978D9C9AFE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43" name="TextBox 2089">
          <a:extLst>
            <a:ext uri="{FF2B5EF4-FFF2-40B4-BE49-F238E27FC236}">
              <a16:creationId xmlns:a16="http://schemas.microsoft.com/office/drawing/2014/main" id="{8AC6E5F4-029A-4064-AAB8-A5FD57B6DEBE}"/>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44" name="TextBox 2090">
          <a:extLst>
            <a:ext uri="{FF2B5EF4-FFF2-40B4-BE49-F238E27FC236}">
              <a16:creationId xmlns:a16="http://schemas.microsoft.com/office/drawing/2014/main" id="{387EA9E9-FD8C-46EC-981C-7DDFDA973FE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45" name="TextBox 2091">
          <a:extLst>
            <a:ext uri="{FF2B5EF4-FFF2-40B4-BE49-F238E27FC236}">
              <a16:creationId xmlns:a16="http://schemas.microsoft.com/office/drawing/2014/main" id="{D91B4E01-01C3-4FB4-8097-9728915ED11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46" name="TextBox 2092">
          <a:extLst>
            <a:ext uri="{FF2B5EF4-FFF2-40B4-BE49-F238E27FC236}">
              <a16:creationId xmlns:a16="http://schemas.microsoft.com/office/drawing/2014/main" id="{A88DAC40-AEBC-4693-AAA2-D56CB78AF21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47" name="TextBox 2093">
          <a:extLst>
            <a:ext uri="{FF2B5EF4-FFF2-40B4-BE49-F238E27FC236}">
              <a16:creationId xmlns:a16="http://schemas.microsoft.com/office/drawing/2014/main" id="{B529088B-3FAC-4BD6-BAE0-113E659D4C3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48" name="TextBox 2094">
          <a:extLst>
            <a:ext uri="{FF2B5EF4-FFF2-40B4-BE49-F238E27FC236}">
              <a16:creationId xmlns:a16="http://schemas.microsoft.com/office/drawing/2014/main" id="{2E6B4CEB-69CC-49DC-B34B-EB06E9B4E2C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49" name="TextBox 2095">
          <a:extLst>
            <a:ext uri="{FF2B5EF4-FFF2-40B4-BE49-F238E27FC236}">
              <a16:creationId xmlns:a16="http://schemas.microsoft.com/office/drawing/2014/main" id="{533DF84C-FEF2-4B43-A37D-90AF99D7EAD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50" name="TextBox 2096">
          <a:extLst>
            <a:ext uri="{FF2B5EF4-FFF2-40B4-BE49-F238E27FC236}">
              <a16:creationId xmlns:a16="http://schemas.microsoft.com/office/drawing/2014/main" id="{9D4D3E2A-C245-4BA8-8944-B3E5B4A30DF0}"/>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51" name="TextBox 784">
          <a:extLst>
            <a:ext uri="{FF2B5EF4-FFF2-40B4-BE49-F238E27FC236}">
              <a16:creationId xmlns:a16="http://schemas.microsoft.com/office/drawing/2014/main" id="{72BE7DBF-CD17-459E-BF27-3F2364C1B73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52" name="TextBox 785">
          <a:extLst>
            <a:ext uri="{FF2B5EF4-FFF2-40B4-BE49-F238E27FC236}">
              <a16:creationId xmlns:a16="http://schemas.microsoft.com/office/drawing/2014/main" id="{86C45EE3-0462-46C1-90DE-169FF65800A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53" name="TextBox 786">
          <a:extLst>
            <a:ext uri="{FF2B5EF4-FFF2-40B4-BE49-F238E27FC236}">
              <a16:creationId xmlns:a16="http://schemas.microsoft.com/office/drawing/2014/main" id="{E605A4DC-6C7B-4BB5-BE4E-401FC7444B6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54" name="TextBox 787">
          <a:extLst>
            <a:ext uri="{FF2B5EF4-FFF2-40B4-BE49-F238E27FC236}">
              <a16:creationId xmlns:a16="http://schemas.microsoft.com/office/drawing/2014/main" id="{B8DDAAAC-F574-4A77-B3F7-F3568778DB3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55" name="TextBox 788">
          <a:extLst>
            <a:ext uri="{FF2B5EF4-FFF2-40B4-BE49-F238E27FC236}">
              <a16:creationId xmlns:a16="http://schemas.microsoft.com/office/drawing/2014/main" id="{97E3D6ED-F6C8-4DCA-BD33-B2DD723486F3}"/>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56" name="TextBox 789">
          <a:extLst>
            <a:ext uri="{FF2B5EF4-FFF2-40B4-BE49-F238E27FC236}">
              <a16:creationId xmlns:a16="http://schemas.microsoft.com/office/drawing/2014/main" id="{E7887D87-897E-4BEB-8EE9-1AEA4B09E3C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57" name="TextBox 790">
          <a:extLst>
            <a:ext uri="{FF2B5EF4-FFF2-40B4-BE49-F238E27FC236}">
              <a16:creationId xmlns:a16="http://schemas.microsoft.com/office/drawing/2014/main" id="{D905DC8F-1283-4B50-A110-D5A83978EE0D}"/>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58" name="TextBox 791">
          <a:extLst>
            <a:ext uri="{FF2B5EF4-FFF2-40B4-BE49-F238E27FC236}">
              <a16:creationId xmlns:a16="http://schemas.microsoft.com/office/drawing/2014/main" id="{DDE1890B-A53C-4F72-B010-2B68588F524E}"/>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59" name="TextBox 792">
          <a:extLst>
            <a:ext uri="{FF2B5EF4-FFF2-40B4-BE49-F238E27FC236}">
              <a16:creationId xmlns:a16="http://schemas.microsoft.com/office/drawing/2014/main" id="{0DF74435-1E51-4033-8185-1D8B42E92D5B}"/>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0" name="TextBox 2097">
          <a:extLst>
            <a:ext uri="{FF2B5EF4-FFF2-40B4-BE49-F238E27FC236}">
              <a16:creationId xmlns:a16="http://schemas.microsoft.com/office/drawing/2014/main" id="{2E398296-5735-47C3-8E0C-3B066088240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1" name="TextBox 2098">
          <a:extLst>
            <a:ext uri="{FF2B5EF4-FFF2-40B4-BE49-F238E27FC236}">
              <a16:creationId xmlns:a16="http://schemas.microsoft.com/office/drawing/2014/main" id="{EBE87D74-5F31-4A32-BAA1-C1D900C9032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2" name="TextBox 2099">
          <a:extLst>
            <a:ext uri="{FF2B5EF4-FFF2-40B4-BE49-F238E27FC236}">
              <a16:creationId xmlns:a16="http://schemas.microsoft.com/office/drawing/2014/main" id="{1440C3FD-F9AE-49C8-BB46-E138AD2432A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3" name="TextBox 2100">
          <a:extLst>
            <a:ext uri="{FF2B5EF4-FFF2-40B4-BE49-F238E27FC236}">
              <a16:creationId xmlns:a16="http://schemas.microsoft.com/office/drawing/2014/main" id="{AF0F581C-6D1F-4611-8E53-88A5B088167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4" name="TextBox 2101">
          <a:extLst>
            <a:ext uri="{FF2B5EF4-FFF2-40B4-BE49-F238E27FC236}">
              <a16:creationId xmlns:a16="http://schemas.microsoft.com/office/drawing/2014/main" id="{503A1723-9E64-4240-A365-A9D04AB0A47B}"/>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5" name="TextBox 2102">
          <a:extLst>
            <a:ext uri="{FF2B5EF4-FFF2-40B4-BE49-F238E27FC236}">
              <a16:creationId xmlns:a16="http://schemas.microsoft.com/office/drawing/2014/main" id="{D4A5FD9C-7FAC-41EE-B8AC-A3C8DAC9A1A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66" name="TextBox 2103">
          <a:extLst>
            <a:ext uri="{FF2B5EF4-FFF2-40B4-BE49-F238E27FC236}">
              <a16:creationId xmlns:a16="http://schemas.microsoft.com/office/drawing/2014/main" id="{3474F99B-028A-4487-9261-9EB1465B780B}"/>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67" name="TextBox 2104">
          <a:extLst>
            <a:ext uri="{FF2B5EF4-FFF2-40B4-BE49-F238E27FC236}">
              <a16:creationId xmlns:a16="http://schemas.microsoft.com/office/drawing/2014/main" id="{15749881-292C-48F2-8B76-84E4E502594F}"/>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68" name="TextBox 2105">
          <a:extLst>
            <a:ext uri="{FF2B5EF4-FFF2-40B4-BE49-F238E27FC236}">
              <a16:creationId xmlns:a16="http://schemas.microsoft.com/office/drawing/2014/main" id="{78A92D52-12BB-47A6-AD13-EEBCF951D16A}"/>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69" name="TextBox 783">
          <a:extLst>
            <a:ext uri="{FF2B5EF4-FFF2-40B4-BE49-F238E27FC236}">
              <a16:creationId xmlns:a16="http://schemas.microsoft.com/office/drawing/2014/main" id="{39F8F9D3-3BEF-4585-A61F-0233DA1A0B6E}"/>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0" name="TextBox 784">
          <a:extLst>
            <a:ext uri="{FF2B5EF4-FFF2-40B4-BE49-F238E27FC236}">
              <a16:creationId xmlns:a16="http://schemas.microsoft.com/office/drawing/2014/main" id="{BDBA1C06-E4B7-4E75-8962-03ACC291920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1" name="TextBox 785">
          <a:extLst>
            <a:ext uri="{FF2B5EF4-FFF2-40B4-BE49-F238E27FC236}">
              <a16:creationId xmlns:a16="http://schemas.microsoft.com/office/drawing/2014/main" id="{F569AC43-2DC6-4F0B-8A45-29421084EDE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2" name="TextBox 786">
          <a:extLst>
            <a:ext uri="{FF2B5EF4-FFF2-40B4-BE49-F238E27FC236}">
              <a16:creationId xmlns:a16="http://schemas.microsoft.com/office/drawing/2014/main" id="{8A2BA672-630E-48E1-8968-D81E9F11E14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3" name="TextBox 787">
          <a:extLst>
            <a:ext uri="{FF2B5EF4-FFF2-40B4-BE49-F238E27FC236}">
              <a16:creationId xmlns:a16="http://schemas.microsoft.com/office/drawing/2014/main" id="{0E50D58C-AF1C-4FFE-BC64-CAB0953E994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4" name="TextBox 788">
          <a:extLst>
            <a:ext uri="{FF2B5EF4-FFF2-40B4-BE49-F238E27FC236}">
              <a16:creationId xmlns:a16="http://schemas.microsoft.com/office/drawing/2014/main" id="{E568AF18-361F-4D9D-904D-0CFC12DA496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75" name="TextBox 789">
          <a:extLst>
            <a:ext uri="{FF2B5EF4-FFF2-40B4-BE49-F238E27FC236}">
              <a16:creationId xmlns:a16="http://schemas.microsoft.com/office/drawing/2014/main" id="{8E8CAE88-6332-4C9B-B041-E45575E247A1}"/>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76" name="TextBox 790">
          <a:extLst>
            <a:ext uri="{FF2B5EF4-FFF2-40B4-BE49-F238E27FC236}">
              <a16:creationId xmlns:a16="http://schemas.microsoft.com/office/drawing/2014/main" id="{D7827808-70B8-468E-908E-A299E7FECB73}"/>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77" name="TextBox 791">
          <a:extLst>
            <a:ext uri="{FF2B5EF4-FFF2-40B4-BE49-F238E27FC236}">
              <a16:creationId xmlns:a16="http://schemas.microsoft.com/office/drawing/2014/main" id="{3A19AE58-1D00-4511-BE21-8650504C997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8" name="TextBox 2088">
          <a:extLst>
            <a:ext uri="{FF2B5EF4-FFF2-40B4-BE49-F238E27FC236}">
              <a16:creationId xmlns:a16="http://schemas.microsoft.com/office/drawing/2014/main" id="{E177E024-F0CA-4128-A4E3-63A2CBEFAF3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79" name="TextBox 2089">
          <a:extLst>
            <a:ext uri="{FF2B5EF4-FFF2-40B4-BE49-F238E27FC236}">
              <a16:creationId xmlns:a16="http://schemas.microsoft.com/office/drawing/2014/main" id="{9E9169CE-373C-47DA-AB5B-127E2BDAD8E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80" name="TextBox 2090">
          <a:extLst>
            <a:ext uri="{FF2B5EF4-FFF2-40B4-BE49-F238E27FC236}">
              <a16:creationId xmlns:a16="http://schemas.microsoft.com/office/drawing/2014/main" id="{452A4E8A-5E1E-4AB1-BFE7-762A816B642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81" name="TextBox 2091">
          <a:extLst>
            <a:ext uri="{FF2B5EF4-FFF2-40B4-BE49-F238E27FC236}">
              <a16:creationId xmlns:a16="http://schemas.microsoft.com/office/drawing/2014/main" id="{E7BD3487-A73B-46C2-8224-CB444EDB1C7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82" name="TextBox 2092">
          <a:extLst>
            <a:ext uri="{FF2B5EF4-FFF2-40B4-BE49-F238E27FC236}">
              <a16:creationId xmlns:a16="http://schemas.microsoft.com/office/drawing/2014/main" id="{2AC290E6-6EE5-4A29-B248-8B4C9C32F45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983" name="TextBox 2093">
          <a:extLst>
            <a:ext uri="{FF2B5EF4-FFF2-40B4-BE49-F238E27FC236}">
              <a16:creationId xmlns:a16="http://schemas.microsoft.com/office/drawing/2014/main" id="{FF87EE95-F9BA-4CFC-AB94-4A1CA53E2BC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84" name="TextBox 2094">
          <a:extLst>
            <a:ext uri="{FF2B5EF4-FFF2-40B4-BE49-F238E27FC236}">
              <a16:creationId xmlns:a16="http://schemas.microsoft.com/office/drawing/2014/main" id="{DBC56D8E-AB71-4C20-9303-8CCC54725E10}"/>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85" name="TextBox 2095">
          <a:extLst>
            <a:ext uri="{FF2B5EF4-FFF2-40B4-BE49-F238E27FC236}">
              <a16:creationId xmlns:a16="http://schemas.microsoft.com/office/drawing/2014/main" id="{EE45152C-F206-4CAD-AA6B-FC16458B562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986" name="TextBox 2096">
          <a:extLst>
            <a:ext uri="{FF2B5EF4-FFF2-40B4-BE49-F238E27FC236}">
              <a16:creationId xmlns:a16="http://schemas.microsoft.com/office/drawing/2014/main" id="{E841D57E-13E8-488F-93AB-D4CA1441A1ED}"/>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184731" cy="274009"/>
    <xdr:sp macro="" textlink="">
      <xdr:nvSpPr>
        <xdr:cNvPr id="987" name="TextBox 4">
          <a:extLst>
            <a:ext uri="{FF2B5EF4-FFF2-40B4-BE49-F238E27FC236}">
              <a16:creationId xmlns:a16="http://schemas.microsoft.com/office/drawing/2014/main" id="{2AC5E4CD-7A81-4921-94AB-3718FC6AB689}"/>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88" name="TextBox 5">
          <a:extLst>
            <a:ext uri="{FF2B5EF4-FFF2-40B4-BE49-F238E27FC236}">
              <a16:creationId xmlns:a16="http://schemas.microsoft.com/office/drawing/2014/main" id="{6133D026-6B71-4BA1-93C7-5A45B039EF43}"/>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89" name="TextBox 6">
          <a:extLst>
            <a:ext uri="{FF2B5EF4-FFF2-40B4-BE49-F238E27FC236}">
              <a16:creationId xmlns:a16="http://schemas.microsoft.com/office/drawing/2014/main" id="{DF2E5F4D-D9BB-4A43-AD39-F77ED0105AA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0" name="TextBox 245">
          <a:extLst>
            <a:ext uri="{FF2B5EF4-FFF2-40B4-BE49-F238E27FC236}">
              <a16:creationId xmlns:a16="http://schemas.microsoft.com/office/drawing/2014/main" id="{69F2798C-B436-402F-8724-E5F8D457DA9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1" name="TextBox 246">
          <a:extLst>
            <a:ext uri="{FF2B5EF4-FFF2-40B4-BE49-F238E27FC236}">
              <a16:creationId xmlns:a16="http://schemas.microsoft.com/office/drawing/2014/main" id="{A9B9AA29-D565-476D-9403-0892029B2D9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2" name="TextBox 247">
          <a:extLst>
            <a:ext uri="{FF2B5EF4-FFF2-40B4-BE49-F238E27FC236}">
              <a16:creationId xmlns:a16="http://schemas.microsoft.com/office/drawing/2014/main" id="{DA68DA0E-9B15-40AC-A740-C3AFACD2EB3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3" name="TextBox 4">
          <a:extLst>
            <a:ext uri="{FF2B5EF4-FFF2-40B4-BE49-F238E27FC236}">
              <a16:creationId xmlns:a16="http://schemas.microsoft.com/office/drawing/2014/main" id="{B1174429-189B-4B72-BC6C-50D39B6BB33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4" name="TextBox 5">
          <a:extLst>
            <a:ext uri="{FF2B5EF4-FFF2-40B4-BE49-F238E27FC236}">
              <a16:creationId xmlns:a16="http://schemas.microsoft.com/office/drawing/2014/main" id="{EA80ABDB-21AD-46A4-9F9D-3C1FBF349BA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5" name="TextBox 6">
          <a:extLst>
            <a:ext uri="{FF2B5EF4-FFF2-40B4-BE49-F238E27FC236}">
              <a16:creationId xmlns:a16="http://schemas.microsoft.com/office/drawing/2014/main" id="{7CA95FB4-08AF-4044-BCF2-18205FBE5AE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6" name="TextBox 4">
          <a:extLst>
            <a:ext uri="{FF2B5EF4-FFF2-40B4-BE49-F238E27FC236}">
              <a16:creationId xmlns:a16="http://schemas.microsoft.com/office/drawing/2014/main" id="{3D244D1B-5FFD-42F6-95E1-73315F0111C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7" name="TextBox 5">
          <a:extLst>
            <a:ext uri="{FF2B5EF4-FFF2-40B4-BE49-F238E27FC236}">
              <a16:creationId xmlns:a16="http://schemas.microsoft.com/office/drawing/2014/main" id="{F1BBB9BD-FA24-423D-A90F-7EE46A8C6B6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8" name="TextBox 6">
          <a:extLst>
            <a:ext uri="{FF2B5EF4-FFF2-40B4-BE49-F238E27FC236}">
              <a16:creationId xmlns:a16="http://schemas.microsoft.com/office/drawing/2014/main" id="{8466DE45-CF1C-449E-81B0-FB55944EC40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999" name="TextBox 4">
          <a:extLst>
            <a:ext uri="{FF2B5EF4-FFF2-40B4-BE49-F238E27FC236}">
              <a16:creationId xmlns:a16="http://schemas.microsoft.com/office/drawing/2014/main" id="{ABE9F29E-3D51-4707-BD36-EA542454E62A}"/>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0" name="TextBox 5">
          <a:extLst>
            <a:ext uri="{FF2B5EF4-FFF2-40B4-BE49-F238E27FC236}">
              <a16:creationId xmlns:a16="http://schemas.microsoft.com/office/drawing/2014/main" id="{E570C8DD-D26F-4132-870E-0E995707EBE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1" name="TextBox 6">
          <a:extLst>
            <a:ext uri="{FF2B5EF4-FFF2-40B4-BE49-F238E27FC236}">
              <a16:creationId xmlns:a16="http://schemas.microsoft.com/office/drawing/2014/main" id="{D324896D-933D-45DA-8B8E-E8CBC46304F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2" name="TextBox 4">
          <a:extLst>
            <a:ext uri="{FF2B5EF4-FFF2-40B4-BE49-F238E27FC236}">
              <a16:creationId xmlns:a16="http://schemas.microsoft.com/office/drawing/2014/main" id="{FC0DE26F-D07E-45CC-9AB1-935DF5011E8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3" name="TextBox 5">
          <a:extLst>
            <a:ext uri="{FF2B5EF4-FFF2-40B4-BE49-F238E27FC236}">
              <a16:creationId xmlns:a16="http://schemas.microsoft.com/office/drawing/2014/main" id="{3C27E3FD-B86E-4375-8C8A-26983E4980A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4" name="TextBox 6">
          <a:extLst>
            <a:ext uri="{FF2B5EF4-FFF2-40B4-BE49-F238E27FC236}">
              <a16:creationId xmlns:a16="http://schemas.microsoft.com/office/drawing/2014/main" id="{CEACF235-9E6A-4365-8F6A-CEA0FDEA9A1A}"/>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005" name="TextBox 4">
          <a:extLst>
            <a:ext uri="{FF2B5EF4-FFF2-40B4-BE49-F238E27FC236}">
              <a16:creationId xmlns:a16="http://schemas.microsoft.com/office/drawing/2014/main" id="{2467E440-00FE-4C82-91E9-AC5639D3A00A}"/>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006" name="TextBox 5">
          <a:extLst>
            <a:ext uri="{FF2B5EF4-FFF2-40B4-BE49-F238E27FC236}">
              <a16:creationId xmlns:a16="http://schemas.microsoft.com/office/drawing/2014/main" id="{730A46A7-10DF-4DE2-ADD9-526DC57A8A27}"/>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007" name="TextBox 6">
          <a:extLst>
            <a:ext uri="{FF2B5EF4-FFF2-40B4-BE49-F238E27FC236}">
              <a16:creationId xmlns:a16="http://schemas.microsoft.com/office/drawing/2014/main" id="{9323EBFB-C4D8-4C76-BD2B-A6C5A9529396}"/>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8" name="TextBox 4">
          <a:extLst>
            <a:ext uri="{FF2B5EF4-FFF2-40B4-BE49-F238E27FC236}">
              <a16:creationId xmlns:a16="http://schemas.microsoft.com/office/drawing/2014/main" id="{9578529F-8B54-4545-A55A-975C516B87D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09" name="TextBox 5">
          <a:extLst>
            <a:ext uri="{FF2B5EF4-FFF2-40B4-BE49-F238E27FC236}">
              <a16:creationId xmlns:a16="http://schemas.microsoft.com/office/drawing/2014/main" id="{8AD81968-48E6-4E81-AB3F-DC478C0225D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10" name="TextBox 6">
          <a:extLst>
            <a:ext uri="{FF2B5EF4-FFF2-40B4-BE49-F238E27FC236}">
              <a16:creationId xmlns:a16="http://schemas.microsoft.com/office/drawing/2014/main" id="{4166FD81-E4F1-40D9-A863-D8E59D753A0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11" name="TextBox 4">
          <a:extLst>
            <a:ext uri="{FF2B5EF4-FFF2-40B4-BE49-F238E27FC236}">
              <a16:creationId xmlns:a16="http://schemas.microsoft.com/office/drawing/2014/main" id="{2A2FF37B-066B-4E79-B385-AAB9E190E3C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12" name="TextBox 5">
          <a:extLst>
            <a:ext uri="{FF2B5EF4-FFF2-40B4-BE49-F238E27FC236}">
              <a16:creationId xmlns:a16="http://schemas.microsoft.com/office/drawing/2014/main" id="{4A8C0A5F-5FB4-45F8-BBE3-CEFD385BA796}"/>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13" name="TextBox 6">
          <a:extLst>
            <a:ext uri="{FF2B5EF4-FFF2-40B4-BE49-F238E27FC236}">
              <a16:creationId xmlns:a16="http://schemas.microsoft.com/office/drawing/2014/main" id="{78B752FE-6B68-4B56-8308-17316D5A4A55}"/>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14" name="TextBox 4">
          <a:extLst>
            <a:ext uri="{FF2B5EF4-FFF2-40B4-BE49-F238E27FC236}">
              <a16:creationId xmlns:a16="http://schemas.microsoft.com/office/drawing/2014/main" id="{BB5A578B-54A6-4833-888A-86072EAA6AF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15" name="TextBox 5">
          <a:extLst>
            <a:ext uri="{FF2B5EF4-FFF2-40B4-BE49-F238E27FC236}">
              <a16:creationId xmlns:a16="http://schemas.microsoft.com/office/drawing/2014/main" id="{EB94DB5E-63C1-4B39-8B03-A9BF7B2FB94D}"/>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16" name="TextBox 6">
          <a:extLst>
            <a:ext uri="{FF2B5EF4-FFF2-40B4-BE49-F238E27FC236}">
              <a16:creationId xmlns:a16="http://schemas.microsoft.com/office/drawing/2014/main" id="{6D6405D9-2BAE-4251-8F20-5396283D61A9}"/>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17" name="TextBox 4">
          <a:extLst>
            <a:ext uri="{FF2B5EF4-FFF2-40B4-BE49-F238E27FC236}">
              <a16:creationId xmlns:a16="http://schemas.microsoft.com/office/drawing/2014/main" id="{1B115020-0155-4D12-8B1A-255AA97775E2}"/>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18" name="TextBox 5">
          <a:extLst>
            <a:ext uri="{FF2B5EF4-FFF2-40B4-BE49-F238E27FC236}">
              <a16:creationId xmlns:a16="http://schemas.microsoft.com/office/drawing/2014/main" id="{54F62A78-084A-4860-9990-CA5279266ACD}"/>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19" name="TextBox 6">
          <a:extLst>
            <a:ext uri="{FF2B5EF4-FFF2-40B4-BE49-F238E27FC236}">
              <a16:creationId xmlns:a16="http://schemas.microsoft.com/office/drawing/2014/main" id="{F7DD0FB3-8DE4-4041-B562-8D136E19B46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0" name="TextBox 4">
          <a:extLst>
            <a:ext uri="{FF2B5EF4-FFF2-40B4-BE49-F238E27FC236}">
              <a16:creationId xmlns:a16="http://schemas.microsoft.com/office/drawing/2014/main" id="{68F95E2F-88C2-4536-BCE3-9F1737A9D966}"/>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1" name="TextBox 5">
          <a:extLst>
            <a:ext uri="{FF2B5EF4-FFF2-40B4-BE49-F238E27FC236}">
              <a16:creationId xmlns:a16="http://schemas.microsoft.com/office/drawing/2014/main" id="{FD0388CB-9AEB-42D3-B527-43AF5A61D9B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2" name="TextBox 6">
          <a:extLst>
            <a:ext uri="{FF2B5EF4-FFF2-40B4-BE49-F238E27FC236}">
              <a16:creationId xmlns:a16="http://schemas.microsoft.com/office/drawing/2014/main" id="{B1B1F8C3-5C8C-4182-9F20-541270961DE1}"/>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3" name="TextBox 4">
          <a:extLst>
            <a:ext uri="{FF2B5EF4-FFF2-40B4-BE49-F238E27FC236}">
              <a16:creationId xmlns:a16="http://schemas.microsoft.com/office/drawing/2014/main" id="{97A3F91A-EB36-45B9-9779-FF5621B2109C}"/>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4" name="TextBox 5">
          <a:extLst>
            <a:ext uri="{FF2B5EF4-FFF2-40B4-BE49-F238E27FC236}">
              <a16:creationId xmlns:a16="http://schemas.microsoft.com/office/drawing/2014/main" id="{83149D7D-9269-472C-AE2E-26532A348514}"/>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5" name="TextBox 6">
          <a:extLst>
            <a:ext uri="{FF2B5EF4-FFF2-40B4-BE49-F238E27FC236}">
              <a16:creationId xmlns:a16="http://schemas.microsoft.com/office/drawing/2014/main" id="{D56092C7-1762-4C43-A112-06954AB85D50}"/>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6" name="TextBox 4">
          <a:extLst>
            <a:ext uri="{FF2B5EF4-FFF2-40B4-BE49-F238E27FC236}">
              <a16:creationId xmlns:a16="http://schemas.microsoft.com/office/drawing/2014/main" id="{6FC290D6-2253-4C16-B3D1-6CD7E8CDF82F}"/>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7" name="TextBox 5">
          <a:extLst>
            <a:ext uri="{FF2B5EF4-FFF2-40B4-BE49-F238E27FC236}">
              <a16:creationId xmlns:a16="http://schemas.microsoft.com/office/drawing/2014/main" id="{3E20DD84-3E31-4B4B-B542-10F24DDBA536}"/>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8" name="TextBox 6">
          <a:extLst>
            <a:ext uri="{FF2B5EF4-FFF2-40B4-BE49-F238E27FC236}">
              <a16:creationId xmlns:a16="http://schemas.microsoft.com/office/drawing/2014/main" id="{181303F5-4A59-4458-B9FC-7823A9D683D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29" name="TextBox 4">
          <a:extLst>
            <a:ext uri="{FF2B5EF4-FFF2-40B4-BE49-F238E27FC236}">
              <a16:creationId xmlns:a16="http://schemas.microsoft.com/office/drawing/2014/main" id="{C9AC7780-5309-4F5F-8908-AD620E3AA2E8}"/>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30" name="TextBox 5">
          <a:extLst>
            <a:ext uri="{FF2B5EF4-FFF2-40B4-BE49-F238E27FC236}">
              <a16:creationId xmlns:a16="http://schemas.microsoft.com/office/drawing/2014/main" id="{3008248C-5364-4B76-9D8D-2DCB529C7F9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31" name="TextBox 6">
          <a:extLst>
            <a:ext uri="{FF2B5EF4-FFF2-40B4-BE49-F238E27FC236}">
              <a16:creationId xmlns:a16="http://schemas.microsoft.com/office/drawing/2014/main" id="{EE6FCDB4-326F-4359-A0F0-3C58A74C6105}"/>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2" name="TextBox 4">
          <a:extLst>
            <a:ext uri="{FF2B5EF4-FFF2-40B4-BE49-F238E27FC236}">
              <a16:creationId xmlns:a16="http://schemas.microsoft.com/office/drawing/2014/main" id="{D75B629C-F031-4103-A0F7-40AC504CFA5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3" name="TextBox 5">
          <a:extLst>
            <a:ext uri="{FF2B5EF4-FFF2-40B4-BE49-F238E27FC236}">
              <a16:creationId xmlns:a16="http://schemas.microsoft.com/office/drawing/2014/main" id="{DFC9B8C5-CED4-4405-BFBD-6CA8FA73A00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4" name="TextBox 6">
          <a:extLst>
            <a:ext uri="{FF2B5EF4-FFF2-40B4-BE49-F238E27FC236}">
              <a16:creationId xmlns:a16="http://schemas.microsoft.com/office/drawing/2014/main" id="{3621F3A4-4D95-4747-9BCA-9C6BF53C29C3}"/>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5" name="TextBox 4">
          <a:extLst>
            <a:ext uri="{FF2B5EF4-FFF2-40B4-BE49-F238E27FC236}">
              <a16:creationId xmlns:a16="http://schemas.microsoft.com/office/drawing/2014/main" id="{C423BFB4-BBB8-4C71-91AE-9CA8D1E2AD3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6" name="TextBox 5">
          <a:extLst>
            <a:ext uri="{FF2B5EF4-FFF2-40B4-BE49-F238E27FC236}">
              <a16:creationId xmlns:a16="http://schemas.microsoft.com/office/drawing/2014/main" id="{4C7E4A39-EB0C-45B9-B40C-A0DFABD4D4A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7" name="TextBox 6">
          <a:extLst>
            <a:ext uri="{FF2B5EF4-FFF2-40B4-BE49-F238E27FC236}">
              <a16:creationId xmlns:a16="http://schemas.microsoft.com/office/drawing/2014/main" id="{473C83A4-33D1-4C08-B6AD-5E3010F89CF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8" name="TextBox 293">
          <a:extLst>
            <a:ext uri="{FF2B5EF4-FFF2-40B4-BE49-F238E27FC236}">
              <a16:creationId xmlns:a16="http://schemas.microsoft.com/office/drawing/2014/main" id="{40DC3F77-4A12-48E2-B893-6DC3D45E5DE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39" name="TextBox 294">
          <a:extLst>
            <a:ext uri="{FF2B5EF4-FFF2-40B4-BE49-F238E27FC236}">
              <a16:creationId xmlns:a16="http://schemas.microsoft.com/office/drawing/2014/main" id="{7FE94601-6574-4DD2-ACB3-129EF6614596}"/>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0" name="TextBox 295">
          <a:extLst>
            <a:ext uri="{FF2B5EF4-FFF2-40B4-BE49-F238E27FC236}">
              <a16:creationId xmlns:a16="http://schemas.microsoft.com/office/drawing/2014/main" id="{64533427-D129-4CC3-9B15-01FB05A6F734}"/>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1" name="TextBox 4">
          <a:extLst>
            <a:ext uri="{FF2B5EF4-FFF2-40B4-BE49-F238E27FC236}">
              <a16:creationId xmlns:a16="http://schemas.microsoft.com/office/drawing/2014/main" id="{A08FA8F6-FB65-4873-AFB9-59EE69D1486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2" name="TextBox 5">
          <a:extLst>
            <a:ext uri="{FF2B5EF4-FFF2-40B4-BE49-F238E27FC236}">
              <a16:creationId xmlns:a16="http://schemas.microsoft.com/office/drawing/2014/main" id="{D5A9EF0E-5C43-4A19-AEE8-580DCDEA812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3" name="TextBox 6">
          <a:extLst>
            <a:ext uri="{FF2B5EF4-FFF2-40B4-BE49-F238E27FC236}">
              <a16:creationId xmlns:a16="http://schemas.microsoft.com/office/drawing/2014/main" id="{9494F0BA-8D2B-4F15-99F8-088E98D4745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4" name="TextBox 4">
          <a:extLst>
            <a:ext uri="{FF2B5EF4-FFF2-40B4-BE49-F238E27FC236}">
              <a16:creationId xmlns:a16="http://schemas.microsoft.com/office/drawing/2014/main" id="{912EF8D1-C1D7-4447-920B-241CF6EB49D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5" name="TextBox 5">
          <a:extLst>
            <a:ext uri="{FF2B5EF4-FFF2-40B4-BE49-F238E27FC236}">
              <a16:creationId xmlns:a16="http://schemas.microsoft.com/office/drawing/2014/main" id="{A09B7EFD-7277-4E4D-9459-8A35D03FD43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6" name="TextBox 6">
          <a:extLst>
            <a:ext uri="{FF2B5EF4-FFF2-40B4-BE49-F238E27FC236}">
              <a16:creationId xmlns:a16="http://schemas.microsoft.com/office/drawing/2014/main" id="{119FF4A0-2267-4447-BA93-10946612AE2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7" name="TextBox 4">
          <a:extLst>
            <a:ext uri="{FF2B5EF4-FFF2-40B4-BE49-F238E27FC236}">
              <a16:creationId xmlns:a16="http://schemas.microsoft.com/office/drawing/2014/main" id="{96FE411C-34BE-4570-9264-573C2AF2A710}"/>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8" name="TextBox 5">
          <a:extLst>
            <a:ext uri="{FF2B5EF4-FFF2-40B4-BE49-F238E27FC236}">
              <a16:creationId xmlns:a16="http://schemas.microsoft.com/office/drawing/2014/main" id="{5DED81F5-6A19-4761-9F53-E5062CB5FBC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49" name="TextBox 6">
          <a:extLst>
            <a:ext uri="{FF2B5EF4-FFF2-40B4-BE49-F238E27FC236}">
              <a16:creationId xmlns:a16="http://schemas.microsoft.com/office/drawing/2014/main" id="{0E334EED-4A2D-4EE4-861C-C7F4B798EB2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0" name="TextBox 4">
          <a:extLst>
            <a:ext uri="{FF2B5EF4-FFF2-40B4-BE49-F238E27FC236}">
              <a16:creationId xmlns:a16="http://schemas.microsoft.com/office/drawing/2014/main" id="{E34ED815-D7B4-414B-9CF3-072C7984813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1" name="TextBox 5">
          <a:extLst>
            <a:ext uri="{FF2B5EF4-FFF2-40B4-BE49-F238E27FC236}">
              <a16:creationId xmlns:a16="http://schemas.microsoft.com/office/drawing/2014/main" id="{4452D74A-A2FE-4DAF-8DE3-7CFEE8FA48E7}"/>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2" name="TextBox 6">
          <a:extLst>
            <a:ext uri="{FF2B5EF4-FFF2-40B4-BE49-F238E27FC236}">
              <a16:creationId xmlns:a16="http://schemas.microsoft.com/office/drawing/2014/main" id="{630FD45C-8100-4521-8400-639EDC142C2E}"/>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053" name="TextBox 4">
          <a:extLst>
            <a:ext uri="{FF2B5EF4-FFF2-40B4-BE49-F238E27FC236}">
              <a16:creationId xmlns:a16="http://schemas.microsoft.com/office/drawing/2014/main" id="{2EFC0BA5-3D36-4CF1-8C2F-2FC911B3C676}"/>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054" name="TextBox 5">
          <a:extLst>
            <a:ext uri="{FF2B5EF4-FFF2-40B4-BE49-F238E27FC236}">
              <a16:creationId xmlns:a16="http://schemas.microsoft.com/office/drawing/2014/main" id="{BF370968-E0DF-4A50-B858-B428E2AA2ECE}"/>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055" name="TextBox 6">
          <a:extLst>
            <a:ext uri="{FF2B5EF4-FFF2-40B4-BE49-F238E27FC236}">
              <a16:creationId xmlns:a16="http://schemas.microsoft.com/office/drawing/2014/main" id="{2FBB3291-C11E-422E-BAAC-C52CA7E20DB6}"/>
            </a:ext>
          </a:extLst>
        </xdr:cNvPr>
        <xdr:cNvSpPr txBox="1"/>
      </xdr:nvSpPr>
      <xdr:spPr>
        <a:xfrm>
          <a:off x="4362600"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6" name="TextBox 4">
          <a:extLst>
            <a:ext uri="{FF2B5EF4-FFF2-40B4-BE49-F238E27FC236}">
              <a16:creationId xmlns:a16="http://schemas.microsoft.com/office/drawing/2014/main" id="{AD0BD66E-53E4-4DEA-80FD-FC70F047F279}"/>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7" name="TextBox 5">
          <a:extLst>
            <a:ext uri="{FF2B5EF4-FFF2-40B4-BE49-F238E27FC236}">
              <a16:creationId xmlns:a16="http://schemas.microsoft.com/office/drawing/2014/main" id="{A59AC3E0-C339-49BD-99C6-AB90B98623ED}"/>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8" name="TextBox 6">
          <a:extLst>
            <a:ext uri="{FF2B5EF4-FFF2-40B4-BE49-F238E27FC236}">
              <a16:creationId xmlns:a16="http://schemas.microsoft.com/office/drawing/2014/main" id="{162B8D97-A647-49E4-AC65-8C771842291F}"/>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59" name="TextBox 4">
          <a:extLst>
            <a:ext uri="{FF2B5EF4-FFF2-40B4-BE49-F238E27FC236}">
              <a16:creationId xmlns:a16="http://schemas.microsoft.com/office/drawing/2014/main" id="{7EA7ADC0-F50F-4132-92C2-5058FD6C3A69}"/>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60" name="TextBox 5">
          <a:extLst>
            <a:ext uri="{FF2B5EF4-FFF2-40B4-BE49-F238E27FC236}">
              <a16:creationId xmlns:a16="http://schemas.microsoft.com/office/drawing/2014/main" id="{4D51CF82-DD1E-431F-84ED-1F53DABCF556}"/>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61" name="TextBox 6">
          <a:extLst>
            <a:ext uri="{FF2B5EF4-FFF2-40B4-BE49-F238E27FC236}">
              <a16:creationId xmlns:a16="http://schemas.microsoft.com/office/drawing/2014/main" id="{327065C6-8A64-4A39-80EC-AA625EDCEA01}"/>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2" name="TextBox 4">
          <a:extLst>
            <a:ext uri="{FF2B5EF4-FFF2-40B4-BE49-F238E27FC236}">
              <a16:creationId xmlns:a16="http://schemas.microsoft.com/office/drawing/2014/main" id="{42BC9B3D-22EB-4829-ABDC-C6E35A76F3DA}"/>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3" name="TextBox 5">
          <a:extLst>
            <a:ext uri="{FF2B5EF4-FFF2-40B4-BE49-F238E27FC236}">
              <a16:creationId xmlns:a16="http://schemas.microsoft.com/office/drawing/2014/main" id="{EF5FCF3B-8B22-4197-9B88-6DF9DA84710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4" name="TextBox 6">
          <a:extLst>
            <a:ext uri="{FF2B5EF4-FFF2-40B4-BE49-F238E27FC236}">
              <a16:creationId xmlns:a16="http://schemas.microsoft.com/office/drawing/2014/main" id="{BED49850-E438-459A-B1D9-254CECD1A6DC}"/>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5" name="TextBox 4">
          <a:extLst>
            <a:ext uri="{FF2B5EF4-FFF2-40B4-BE49-F238E27FC236}">
              <a16:creationId xmlns:a16="http://schemas.microsoft.com/office/drawing/2014/main" id="{4580F6A0-14A0-4BF6-8EFF-07112A737664}"/>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6" name="TextBox 5">
          <a:extLst>
            <a:ext uri="{FF2B5EF4-FFF2-40B4-BE49-F238E27FC236}">
              <a16:creationId xmlns:a16="http://schemas.microsoft.com/office/drawing/2014/main" id="{1AEDCC1D-9050-42E9-88A2-ACE4B6D3B234}"/>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7" name="TextBox 6">
          <a:extLst>
            <a:ext uri="{FF2B5EF4-FFF2-40B4-BE49-F238E27FC236}">
              <a16:creationId xmlns:a16="http://schemas.microsoft.com/office/drawing/2014/main" id="{284F84AE-46E3-41C5-BA7C-812A7EC866FC}"/>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8" name="TextBox 4">
          <a:extLst>
            <a:ext uri="{FF2B5EF4-FFF2-40B4-BE49-F238E27FC236}">
              <a16:creationId xmlns:a16="http://schemas.microsoft.com/office/drawing/2014/main" id="{336313C7-68AF-406D-AFEC-9665443A484C}"/>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69" name="TextBox 5">
          <a:extLst>
            <a:ext uri="{FF2B5EF4-FFF2-40B4-BE49-F238E27FC236}">
              <a16:creationId xmlns:a16="http://schemas.microsoft.com/office/drawing/2014/main" id="{ED4D2184-F151-4985-9C5E-7C14C100CE03}"/>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0" name="TextBox 6">
          <a:extLst>
            <a:ext uri="{FF2B5EF4-FFF2-40B4-BE49-F238E27FC236}">
              <a16:creationId xmlns:a16="http://schemas.microsoft.com/office/drawing/2014/main" id="{8A49CE4F-0FC6-48FB-8565-27D2CF5EA7C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1" name="TextBox 4">
          <a:extLst>
            <a:ext uri="{FF2B5EF4-FFF2-40B4-BE49-F238E27FC236}">
              <a16:creationId xmlns:a16="http://schemas.microsoft.com/office/drawing/2014/main" id="{7D59859C-8DD5-4F20-858C-8869026626C9}"/>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2" name="TextBox 5">
          <a:extLst>
            <a:ext uri="{FF2B5EF4-FFF2-40B4-BE49-F238E27FC236}">
              <a16:creationId xmlns:a16="http://schemas.microsoft.com/office/drawing/2014/main" id="{5BE2BA92-2A35-48A9-9012-43CE83623D2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3" name="TextBox 6">
          <a:extLst>
            <a:ext uri="{FF2B5EF4-FFF2-40B4-BE49-F238E27FC236}">
              <a16:creationId xmlns:a16="http://schemas.microsoft.com/office/drawing/2014/main" id="{B3902172-7C22-4E2E-B3A5-818FE2804DB5}"/>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4" name="TextBox 4">
          <a:extLst>
            <a:ext uri="{FF2B5EF4-FFF2-40B4-BE49-F238E27FC236}">
              <a16:creationId xmlns:a16="http://schemas.microsoft.com/office/drawing/2014/main" id="{EDD5B5DA-C682-49EC-AA8D-056E133FEEA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5" name="TextBox 5">
          <a:extLst>
            <a:ext uri="{FF2B5EF4-FFF2-40B4-BE49-F238E27FC236}">
              <a16:creationId xmlns:a16="http://schemas.microsoft.com/office/drawing/2014/main" id="{C94EF021-E06A-4F0F-B092-664C073C3B0B}"/>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6" name="TextBox 6">
          <a:extLst>
            <a:ext uri="{FF2B5EF4-FFF2-40B4-BE49-F238E27FC236}">
              <a16:creationId xmlns:a16="http://schemas.microsoft.com/office/drawing/2014/main" id="{543567DA-CFC8-47DE-A502-4DEEED1C2293}"/>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7" name="TextBox 4">
          <a:extLst>
            <a:ext uri="{FF2B5EF4-FFF2-40B4-BE49-F238E27FC236}">
              <a16:creationId xmlns:a16="http://schemas.microsoft.com/office/drawing/2014/main" id="{E796C4C6-01DD-4F49-85FF-B238C066EBF7}"/>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8" name="TextBox 5">
          <a:extLst>
            <a:ext uri="{FF2B5EF4-FFF2-40B4-BE49-F238E27FC236}">
              <a16:creationId xmlns:a16="http://schemas.microsoft.com/office/drawing/2014/main" id="{2D8DDCE6-9186-4A08-89C8-8C7AD3F28199}"/>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079" name="TextBox 6">
          <a:extLst>
            <a:ext uri="{FF2B5EF4-FFF2-40B4-BE49-F238E27FC236}">
              <a16:creationId xmlns:a16="http://schemas.microsoft.com/office/drawing/2014/main" id="{1DE94AEA-A12D-41E3-A559-860C8EEA8200}"/>
            </a:ext>
          </a:extLst>
        </xdr:cNvPr>
        <xdr:cNvSpPr txBox="1"/>
      </xdr:nvSpPr>
      <xdr:spPr>
        <a:xfrm>
          <a:off x="4362600"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80" name="TextBox 4">
          <a:extLst>
            <a:ext uri="{FF2B5EF4-FFF2-40B4-BE49-F238E27FC236}">
              <a16:creationId xmlns:a16="http://schemas.microsoft.com/office/drawing/2014/main" id="{888515AE-4769-4888-A45E-D9E02C6A9A7B}"/>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81" name="TextBox 5">
          <a:extLst>
            <a:ext uri="{FF2B5EF4-FFF2-40B4-BE49-F238E27FC236}">
              <a16:creationId xmlns:a16="http://schemas.microsoft.com/office/drawing/2014/main" id="{FE887840-366F-4EB5-AED9-9F8366859796}"/>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082" name="TextBox 6">
          <a:extLst>
            <a:ext uri="{FF2B5EF4-FFF2-40B4-BE49-F238E27FC236}">
              <a16:creationId xmlns:a16="http://schemas.microsoft.com/office/drawing/2014/main" id="{7823D4F4-45FC-403F-B413-322C4BF1A7CC}"/>
            </a:ext>
          </a:extLst>
        </xdr:cNvPr>
        <xdr:cNvSpPr txBox="1"/>
      </xdr:nvSpPr>
      <xdr:spPr>
        <a:xfrm>
          <a:off x="4362600"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923978" cy="311803"/>
    <xdr:sp macro="" textlink="">
      <xdr:nvSpPr>
        <xdr:cNvPr id="1083" name="TextBox 784">
          <a:extLst>
            <a:ext uri="{FF2B5EF4-FFF2-40B4-BE49-F238E27FC236}">
              <a16:creationId xmlns:a16="http://schemas.microsoft.com/office/drawing/2014/main" id="{D5C58AF1-8A84-4FCE-BE8A-225617FBBB6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84" name="TextBox 785">
          <a:extLst>
            <a:ext uri="{FF2B5EF4-FFF2-40B4-BE49-F238E27FC236}">
              <a16:creationId xmlns:a16="http://schemas.microsoft.com/office/drawing/2014/main" id="{55C34B40-A152-4023-AF56-E699B95C0F5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85" name="TextBox 786">
          <a:extLst>
            <a:ext uri="{FF2B5EF4-FFF2-40B4-BE49-F238E27FC236}">
              <a16:creationId xmlns:a16="http://schemas.microsoft.com/office/drawing/2014/main" id="{114238D9-6314-46E8-A240-73F0524174C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86" name="TextBox 787">
          <a:extLst>
            <a:ext uri="{FF2B5EF4-FFF2-40B4-BE49-F238E27FC236}">
              <a16:creationId xmlns:a16="http://schemas.microsoft.com/office/drawing/2014/main" id="{C33B67B3-49B9-4227-AB27-AB77122E157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87" name="TextBox 788">
          <a:extLst>
            <a:ext uri="{FF2B5EF4-FFF2-40B4-BE49-F238E27FC236}">
              <a16:creationId xmlns:a16="http://schemas.microsoft.com/office/drawing/2014/main" id="{870F778C-320C-4618-A838-EA94F33E259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88" name="TextBox 789">
          <a:extLst>
            <a:ext uri="{FF2B5EF4-FFF2-40B4-BE49-F238E27FC236}">
              <a16:creationId xmlns:a16="http://schemas.microsoft.com/office/drawing/2014/main" id="{FA8A1800-8F66-4ED5-BDD4-024D99428B3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089" name="TextBox 790">
          <a:extLst>
            <a:ext uri="{FF2B5EF4-FFF2-40B4-BE49-F238E27FC236}">
              <a16:creationId xmlns:a16="http://schemas.microsoft.com/office/drawing/2014/main" id="{9D0D1B1F-06EE-435B-972F-B9726D7C2F4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090" name="TextBox 791">
          <a:extLst>
            <a:ext uri="{FF2B5EF4-FFF2-40B4-BE49-F238E27FC236}">
              <a16:creationId xmlns:a16="http://schemas.microsoft.com/office/drawing/2014/main" id="{8A340E75-58F3-4872-902E-088740BE0818}"/>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091" name="TextBox 792">
          <a:extLst>
            <a:ext uri="{FF2B5EF4-FFF2-40B4-BE49-F238E27FC236}">
              <a16:creationId xmlns:a16="http://schemas.microsoft.com/office/drawing/2014/main" id="{C1B3D5ED-B254-4AD6-8B8A-43149B7AD860}"/>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92" name="TextBox 2097">
          <a:extLst>
            <a:ext uri="{FF2B5EF4-FFF2-40B4-BE49-F238E27FC236}">
              <a16:creationId xmlns:a16="http://schemas.microsoft.com/office/drawing/2014/main" id="{01E63780-BB44-4188-9518-435DA8447CD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93" name="TextBox 2098">
          <a:extLst>
            <a:ext uri="{FF2B5EF4-FFF2-40B4-BE49-F238E27FC236}">
              <a16:creationId xmlns:a16="http://schemas.microsoft.com/office/drawing/2014/main" id="{1816A57F-B77A-496F-97D5-514A46F80A4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94" name="TextBox 2099">
          <a:extLst>
            <a:ext uri="{FF2B5EF4-FFF2-40B4-BE49-F238E27FC236}">
              <a16:creationId xmlns:a16="http://schemas.microsoft.com/office/drawing/2014/main" id="{B1D15266-285E-445E-90AF-A4E9EACEDE0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95" name="TextBox 2100">
          <a:extLst>
            <a:ext uri="{FF2B5EF4-FFF2-40B4-BE49-F238E27FC236}">
              <a16:creationId xmlns:a16="http://schemas.microsoft.com/office/drawing/2014/main" id="{CD5D47A8-7E14-44F2-A640-A80879D51CE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96" name="TextBox 2101">
          <a:extLst>
            <a:ext uri="{FF2B5EF4-FFF2-40B4-BE49-F238E27FC236}">
              <a16:creationId xmlns:a16="http://schemas.microsoft.com/office/drawing/2014/main" id="{08243AFD-4CB4-4CCE-A43B-CBF934D8A2B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097" name="TextBox 2102">
          <a:extLst>
            <a:ext uri="{FF2B5EF4-FFF2-40B4-BE49-F238E27FC236}">
              <a16:creationId xmlns:a16="http://schemas.microsoft.com/office/drawing/2014/main" id="{452455B8-7372-4D49-B8ED-1853C83804C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098" name="TextBox 2103">
          <a:extLst>
            <a:ext uri="{FF2B5EF4-FFF2-40B4-BE49-F238E27FC236}">
              <a16:creationId xmlns:a16="http://schemas.microsoft.com/office/drawing/2014/main" id="{E4FB7CE8-33C4-4906-8DEC-26FEC4146CE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099" name="TextBox 2104">
          <a:extLst>
            <a:ext uri="{FF2B5EF4-FFF2-40B4-BE49-F238E27FC236}">
              <a16:creationId xmlns:a16="http://schemas.microsoft.com/office/drawing/2014/main" id="{CAE535DE-0354-49E7-83BB-81086A02200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00" name="TextBox 2105">
          <a:extLst>
            <a:ext uri="{FF2B5EF4-FFF2-40B4-BE49-F238E27FC236}">
              <a16:creationId xmlns:a16="http://schemas.microsoft.com/office/drawing/2014/main" id="{7CD0BC4E-1012-4DDA-93E3-9E24E8E98FE0}"/>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01" name="TextBox 783">
          <a:extLst>
            <a:ext uri="{FF2B5EF4-FFF2-40B4-BE49-F238E27FC236}">
              <a16:creationId xmlns:a16="http://schemas.microsoft.com/office/drawing/2014/main" id="{9C28751E-B8D1-4FA1-9D0A-3DBC87ECF98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02" name="TextBox 784">
          <a:extLst>
            <a:ext uri="{FF2B5EF4-FFF2-40B4-BE49-F238E27FC236}">
              <a16:creationId xmlns:a16="http://schemas.microsoft.com/office/drawing/2014/main" id="{E3DC4440-52A2-4D2C-90B1-4C875FA1D3F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03" name="TextBox 785">
          <a:extLst>
            <a:ext uri="{FF2B5EF4-FFF2-40B4-BE49-F238E27FC236}">
              <a16:creationId xmlns:a16="http://schemas.microsoft.com/office/drawing/2014/main" id="{A259A8DF-5842-4705-9332-CC9329455FB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04" name="TextBox 786">
          <a:extLst>
            <a:ext uri="{FF2B5EF4-FFF2-40B4-BE49-F238E27FC236}">
              <a16:creationId xmlns:a16="http://schemas.microsoft.com/office/drawing/2014/main" id="{DF55383E-05B8-44E2-861A-719F32904A4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05" name="TextBox 787">
          <a:extLst>
            <a:ext uri="{FF2B5EF4-FFF2-40B4-BE49-F238E27FC236}">
              <a16:creationId xmlns:a16="http://schemas.microsoft.com/office/drawing/2014/main" id="{5556C878-BEED-4D8F-B0E1-E2370AB023D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06" name="TextBox 788">
          <a:extLst>
            <a:ext uri="{FF2B5EF4-FFF2-40B4-BE49-F238E27FC236}">
              <a16:creationId xmlns:a16="http://schemas.microsoft.com/office/drawing/2014/main" id="{8E3A0C2B-C571-4781-8543-2F8DAE6AEEC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07" name="TextBox 789">
          <a:extLst>
            <a:ext uri="{FF2B5EF4-FFF2-40B4-BE49-F238E27FC236}">
              <a16:creationId xmlns:a16="http://schemas.microsoft.com/office/drawing/2014/main" id="{0F7317FB-9A5D-474F-9C72-BB5CB62B9F7A}"/>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08" name="TextBox 790">
          <a:extLst>
            <a:ext uri="{FF2B5EF4-FFF2-40B4-BE49-F238E27FC236}">
              <a16:creationId xmlns:a16="http://schemas.microsoft.com/office/drawing/2014/main" id="{7E0F137D-55DE-45A3-A4E9-357128485D54}"/>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09" name="TextBox 791">
          <a:extLst>
            <a:ext uri="{FF2B5EF4-FFF2-40B4-BE49-F238E27FC236}">
              <a16:creationId xmlns:a16="http://schemas.microsoft.com/office/drawing/2014/main" id="{99366CF6-F711-4684-9023-069E3EDA0564}"/>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0" name="TextBox 2088">
          <a:extLst>
            <a:ext uri="{FF2B5EF4-FFF2-40B4-BE49-F238E27FC236}">
              <a16:creationId xmlns:a16="http://schemas.microsoft.com/office/drawing/2014/main" id="{4A56B774-F10C-4726-BC04-37D72BFEE1E8}"/>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1" name="TextBox 2089">
          <a:extLst>
            <a:ext uri="{FF2B5EF4-FFF2-40B4-BE49-F238E27FC236}">
              <a16:creationId xmlns:a16="http://schemas.microsoft.com/office/drawing/2014/main" id="{B52AD915-F6CE-4E77-96AC-B543558EC95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2" name="TextBox 2090">
          <a:extLst>
            <a:ext uri="{FF2B5EF4-FFF2-40B4-BE49-F238E27FC236}">
              <a16:creationId xmlns:a16="http://schemas.microsoft.com/office/drawing/2014/main" id="{A366B7AF-99EB-42E1-A082-0BFBAD5A824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3" name="TextBox 2091">
          <a:extLst>
            <a:ext uri="{FF2B5EF4-FFF2-40B4-BE49-F238E27FC236}">
              <a16:creationId xmlns:a16="http://schemas.microsoft.com/office/drawing/2014/main" id="{E79AD447-ABC2-464A-A69B-2A079803CE73}"/>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4" name="TextBox 2092">
          <a:extLst>
            <a:ext uri="{FF2B5EF4-FFF2-40B4-BE49-F238E27FC236}">
              <a16:creationId xmlns:a16="http://schemas.microsoft.com/office/drawing/2014/main" id="{217158D8-77E0-46D1-8330-829B138E082F}"/>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5" name="TextBox 2093">
          <a:extLst>
            <a:ext uri="{FF2B5EF4-FFF2-40B4-BE49-F238E27FC236}">
              <a16:creationId xmlns:a16="http://schemas.microsoft.com/office/drawing/2014/main" id="{2436E67D-8BE8-43E5-97C8-E7C989B5093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16" name="TextBox 2094">
          <a:extLst>
            <a:ext uri="{FF2B5EF4-FFF2-40B4-BE49-F238E27FC236}">
              <a16:creationId xmlns:a16="http://schemas.microsoft.com/office/drawing/2014/main" id="{E1DFB2B5-4745-4ECA-9AB6-9F2F097C7A63}"/>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17" name="TextBox 2095">
          <a:extLst>
            <a:ext uri="{FF2B5EF4-FFF2-40B4-BE49-F238E27FC236}">
              <a16:creationId xmlns:a16="http://schemas.microsoft.com/office/drawing/2014/main" id="{EE66A7D1-B65E-43B9-A8AA-C6242E460A9E}"/>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18" name="TextBox 2096">
          <a:extLst>
            <a:ext uri="{FF2B5EF4-FFF2-40B4-BE49-F238E27FC236}">
              <a16:creationId xmlns:a16="http://schemas.microsoft.com/office/drawing/2014/main" id="{866C194A-8536-43EE-9EB4-CBF6E5619A85}"/>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19" name="TextBox 784">
          <a:extLst>
            <a:ext uri="{FF2B5EF4-FFF2-40B4-BE49-F238E27FC236}">
              <a16:creationId xmlns:a16="http://schemas.microsoft.com/office/drawing/2014/main" id="{943FB498-006F-49A7-87CC-B6AD6F7C386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0" name="TextBox 785">
          <a:extLst>
            <a:ext uri="{FF2B5EF4-FFF2-40B4-BE49-F238E27FC236}">
              <a16:creationId xmlns:a16="http://schemas.microsoft.com/office/drawing/2014/main" id="{9DEF73AC-EE3C-4C4A-95CB-FC91665B3FD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1" name="TextBox 786">
          <a:extLst>
            <a:ext uri="{FF2B5EF4-FFF2-40B4-BE49-F238E27FC236}">
              <a16:creationId xmlns:a16="http://schemas.microsoft.com/office/drawing/2014/main" id="{8F5F3126-F2DA-4D95-8761-93F320A53B4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2" name="TextBox 787">
          <a:extLst>
            <a:ext uri="{FF2B5EF4-FFF2-40B4-BE49-F238E27FC236}">
              <a16:creationId xmlns:a16="http://schemas.microsoft.com/office/drawing/2014/main" id="{7DF5323A-37E7-42AE-8EB7-0AF7FB3D64C2}"/>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3" name="TextBox 788">
          <a:extLst>
            <a:ext uri="{FF2B5EF4-FFF2-40B4-BE49-F238E27FC236}">
              <a16:creationId xmlns:a16="http://schemas.microsoft.com/office/drawing/2014/main" id="{8F0A1917-9F38-4014-9060-DBEB91619F9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4" name="TextBox 789">
          <a:extLst>
            <a:ext uri="{FF2B5EF4-FFF2-40B4-BE49-F238E27FC236}">
              <a16:creationId xmlns:a16="http://schemas.microsoft.com/office/drawing/2014/main" id="{BC3AD7BA-F489-4CAD-B0DE-21A2548903C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25" name="TextBox 790">
          <a:extLst>
            <a:ext uri="{FF2B5EF4-FFF2-40B4-BE49-F238E27FC236}">
              <a16:creationId xmlns:a16="http://schemas.microsoft.com/office/drawing/2014/main" id="{8F9E8C3D-24C7-42F1-A5E4-02CF8F97A72A}"/>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26" name="TextBox 791">
          <a:extLst>
            <a:ext uri="{FF2B5EF4-FFF2-40B4-BE49-F238E27FC236}">
              <a16:creationId xmlns:a16="http://schemas.microsoft.com/office/drawing/2014/main" id="{1F6A22EC-9472-43E4-81CD-1A97944A2A16}"/>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27" name="TextBox 792">
          <a:extLst>
            <a:ext uri="{FF2B5EF4-FFF2-40B4-BE49-F238E27FC236}">
              <a16:creationId xmlns:a16="http://schemas.microsoft.com/office/drawing/2014/main" id="{2707AF43-17DE-4086-AEF5-1571F10F6A27}"/>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8" name="TextBox 2097">
          <a:extLst>
            <a:ext uri="{FF2B5EF4-FFF2-40B4-BE49-F238E27FC236}">
              <a16:creationId xmlns:a16="http://schemas.microsoft.com/office/drawing/2014/main" id="{996F448C-CB7C-4218-94B7-9BCB1E864D2D}"/>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29" name="TextBox 2098">
          <a:extLst>
            <a:ext uri="{FF2B5EF4-FFF2-40B4-BE49-F238E27FC236}">
              <a16:creationId xmlns:a16="http://schemas.microsoft.com/office/drawing/2014/main" id="{18F95261-E994-462E-944F-B79554720CF0}"/>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0" name="TextBox 2099">
          <a:extLst>
            <a:ext uri="{FF2B5EF4-FFF2-40B4-BE49-F238E27FC236}">
              <a16:creationId xmlns:a16="http://schemas.microsoft.com/office/drawing/2014/main" id="{AA862354-E2E5-4DB3-9146-B86B82156B76}"/>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1" name="TextBox 2100">
          <a:extLst>
            <a:ext uri="{FF2B5EF4-FFF2-40B4-BE49-F238E27FC236}">
              <a16:creationId xmlns:a16="http://schemas.microsoft.com/office/drawing/2014/main" id="{014605FB-F7A2-4FF1-9B51-863158F66CA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2" name="TextBox 2101">
          <a:extLst>
            <a:ext uri="{FF2B5EF4-FFF2-40B4-BE49-F238E27FC236}">
              <a16:creationId xmlns:a16="http://schemas.microsoft.com/office/drawing/2014/main" id="{17F2650A-76EA-4A85-95FC-CF713540AF6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3" name="TextBox 2102">
          <a:extLst>
            <a:ext uri="{FF2B5EF4-FFF2-40B4-BE49-F238E27FC236}">
              <a16:creationId xmlns:a16="http://schemas.microsoft.com/office/drawing/2014/main" id="{A68A8816-CC4B-407C-876A-94EBECBD3CC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34" name="TextBox 2103">
          <a:extLst>
            <a:ext uri="{FF2B5EF4-FFF2-40B4-BE49-F238E27FC236}">
              <a16:creationId xmlns:a16="http://schemas.microsoft.com/office/drawing/2014/main" id="{747BBBC3-6800-4ADD-9460-D6C56AFD98D5}"/>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35" name="TextBox 2104">
          <a:extLst>
            <a:ext uri="{FF2B5EF4-FFF2-40B4-BE49-F238E27FC236}">
              <a16:creationId xmlns:a16="http://schemas.microsoft.com/office/drawing/2014/main" id="{F4957CE2-BD94-499E-891E-CC5C196739F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36" name="TextBox 2105">
          <a:extLst>
            <a:ext uri="{FF2B5EF4-FFF2-40B4-BE49-F238E27FC236}">
              <a16:creationId xmlns:a16="http://schemas.microsoft.com/office/drawing/2014/main" id="{BC33C062-5567-4813-B7F7-2BAD75764AF8}"/>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7" name="TextBox 783">
          <a:extLst>
            <a:ext uri="{FF2B5EF4-FFF2-40B4-BE49-F238E27FC236}">
              <a16:creationId xmlns:a16="http://schemas.microsoft.com/office/drawing/2014/main" id="{20A8ADD8-894E-474A-96DC-E88659A26FB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8" name="TextBox 784">
          <a:extLst>
            <a:ext uri="{FF2B5EF4-FFF2-40B4-BE49-F238E27FC236}">
              <a16:creationId xmlns:a16="http://schemas.microsoft.com/office/drawing/2014/main" id="{89F2B9C2-3CF9-42CC-BE10-07931A03B4DB}"/>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39" name="TextBox 785">
          <a:extLst>
            <a:ext uri="{FF2B5EF4-FFF2-40B4-BE49-F238E27FC236}">
              <a16:creationId xmlns:a16="http://schemas.microsoft.com/office/drawing/2014/main" id="{E47F5EA0-836F-4BA9-A4EF-0453CAE6E317}"/>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0" name="TextBox 786">
          <a:extLst>
            <a:ext uri="{FF2B5EF4-FFF2-40B4-BE49-F238E27FC236}">
              <a16:creationId xmlns:a16="http://schemas.microsoft.com/office/drawing/2014/main" id="{79FD9B87-02FA-4B36-A94D-7A28ABE3A809}"/>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1" name="TextBox 787">
          <a:extLst>
            <a:ext uri="{FF2B5EF4-FFF2-40B4-BE49-F238E27FC236}">
              <a16:creationId xmlns:a16="http://schemas.microsoft.com/office/drawing/2014/main" id="{82B130E3-7F44-468C-B8EB-1450E4D90995}"/>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2" name="TextBox 788">
          <a:extLst>
            <a:ext uri="{FF2B5EF4-FFF2-40B4-BE49-F238E27FC236}">
              <a16:creationId xmlns:a16="http://schemas.microsoft.com/office/drawing/2014/main" id="{8144E141-1179-4B50-B86E-31056ECE7E5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43" name="TextBox 789">
          <a:extLst>
            <a:ext uri="{FF2B5EF4-FFF2-40B4-BE49-F238E27FC236}">
              <a16:creationId xmlns:a16="http://schemas.microsoft.com/office/drawing/2014/main" id="{38CF9043-4816-4F15-BEF9-878D742B4519}"/>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44" name="TextBox 790">
          <a:extLst>
            <a:ext uri="{FF2B5EF4-FFF2-40B4-BE49-F238E27FC236}">
              <a16:creationId xmlns:a16="http://schemas.microsoft.com/office/drawing/2014/main" id="{A57150B2-7509-487B-94B1-F18BADC338EB}"/>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145" name="TextBox 791">
          <a:extLst>
            <a:ext uri="{FF2B5EF4-FFF2-40B4-BE49-F238E27FC236}">
              <a16:creationId xmlns:a16="http://schemas.microsoft.com/office/drawing/2014/main" id="{CBD10468-0CDC-4077-9762-CC1C095308BA}"/>
            </a:ext>
          </a:extLst>
        </xdr:cNvPr>
        <xdr:cNvSpPr txBox="1"/>
      </xdr:nvSpPr>
      <xdr:spPr>
        <a:xfrm>
          <a:off x="4082143"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6" name="TextBox 2088">
          <a:extLst>
            <a:ext uri="{FF2B5EF4-FFF2-40B4-BE49-F238E27FC236}">
              <a16:creationId xmlns:a16="http://schemas.microsoft.com/office/drawing/2014/main" id="{4704FFAA-D15B-48F2-A562-D52E511956A4}"/>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7" name="TextBox 2089">
          <a:extLst>
            <a:ext uri="{FF2B5EF4-FFF2-40B4-BE49-F238E27FC236}">
              <a16:creationId xmlns:a16="http://schemas.microsoft.com/office/drawing/2014/main" id="{15FABAF3-4F6F-41E8-BF72-C03AA418733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8" name="TextBox 2090">
          <a:extLst>
            <a:ext uri="{FF2B5EF4-FFF2-40B4-BE49-F238E27FC236}">
              <a16:creationId xmlns:a16="http://schemas.microsoft.com/office/drawing/2014/main" id="{8FF0E4B5-E4D0-47BB-B205-34C67A198CAC}"/>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49" name="TextBox 2091">
          <a:extLst>
            <a:ext uri="{FF2B5EF4-FFF2-40B4-BE49-F238E27FC236}">
              <a16:creationId xmlns:a16="http://schemas.microsoft.com/office/drawing/2014/main" id="{95190CF0-154E-426B-95C4-40DE79D7BCEA}"/>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150" name="TextBox 2092">
          <a:extLst>
            <a:ext uri="{FF2B5EF4-FFF2-40B4-BE49-F238E27FC236}">
              <a16:creationId xmlns:a16="http://schemas.microsoft.com/office/drawing/2014/main" id="{CAC36DDA-3F0E-4F2C-A517-58CED069AE71}"/>
            </a:ext>
          </a:extLst>
        </xdr:cNvPr>
        <xdr:cNvSpPr txBox="1"/>
      </xdr:nvSpPr>
      <xdr:spPr>
        <a:xfrm>
          <a:off x="4065815"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55" name="TextBox 784">
          <a:extLst>
            <a:ext uri="{FF2B5EF4-FFF2-40B4-BE49-F238E27FC236}">
              <a16:creationId xmlns:a16="http://schemas.microsoft.com/office/drawing/2014/main" id="{4DC4F800-FC34-4017-8557-816982CA8818}"/>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56" name="TextBox 785">
          <a:extLst>
            <a:ext uri="{FF2B5EF4-FFF2-40B4-BE49-F238E27FC236}">
              <a16:creationId xmlns:a16="http://schemas.microsoft.com/office/drawing/2014/main" id="{26DF106C-0CEF-4F06-B5EF-1AD21AE1B48F}"/>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57" name="TextBox 786">
          <a:extLst>
            <a:ext uri="{FF2B5EF4-FFF2-40B4-BE49-F238E27FC236}">
              <a16:creationId xmlns:a16="http://schemas.microsoft.com/office/drawing/2014/main" id="{9CB34D6D-A4F7-4DDB-B70F-2C16A77489D8}"/>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58" name="TextBox 787">
          <a:extLst>
            <a:ext uri="{FF2B5EF4-FFF2-40B4-BE49-F238E27FC236}">
              <a16:creationId xmlns:a16="http://schemas.microsoft.com/office/drawing/2014/main" id="{8154B5D1-38AF-4818-A1E6-621C6E5E2EC8}"/>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59" name="TextBox 788">
          <a:extLst>
            <a:ext uri="{FF2B5EF4-FFF2-40B4-BE49-F238E27FC236}">
              <a16:creationId xmlns:a16="http://schemas.microsoft.com/office/drawing/2014/main" id="{1D8484F6-0A81-4C12-A719-74F11EE3CB45}"/>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0" name="TextBox 789">
          <a:extLst>
            <a:ext uri="{FF2B5EF4-FFF2-40B4-BE49-F238E27FC236}">
              <a16:creationId xmlns:a16="http://schemas.microsoft.com/office/drawing/2014/main" id="{8F268B35-5E49-480A-9EF4-E68B94227D29}"/>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61" name="TextBox 790">
          <a:extLst>
            <a:ext uri="{FF2B5EF4-FFF2-40B4-BE49-F238E27FC236}">
              <a16:creationId xmlns:a16="http://schemas.microsoft.com/office/drawing/2014/main" id="{BED9CE6C-E252-4B50-97D6-B51D2184D390}"/>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62" name="TextBox 791">
          <a:extLst>
            <a:ext uri="{FF2B5EF4-FFF2-40B4-BE49-F238E27FC236}">
              <a16:creationId xmlns:a16="http://schemas.microsoft.com/office/drawing/2014/main" id="{3D859855-5EC5-405F-9D9E-D6B09828F532}"/>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63" name="TextBox 792">
          <a:extLst>
            <a:ext uri="{FF2B5EF4-FFF2-40B4-BE49-F238E27FC236}">
              <a16:creationId xmlns:a16="http://schemas.microsoft.com/office/drawing/2014/main" id="{6E510C32-57BA-4B3B-88DD-6F9771187D38}"/>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4" name="TextBox 2097">
          <a:extLst>
            <a:ext uri="{FF2B5EF4-FFF2-40B4-BE49-F238E27FC236}">
              <a16:creationId xmlns:a16="http://schemas.microsoft.com/office/drawing/2014/main" id="{929CB0E9-72F8-4F4D-82EC-AB8092107EA9}"/>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5" name="TextBox 2098">
          <a:extLst>
            <a:ext uri="{FF2B5EF4-FFF2-40B4-BE49-F238E27FC236}">
              <a16:creationId xmlns:a16="http://schemas.microsoft.com/office/drawing/2014/main" id="{7F60A105-932F-4A66-8110-6FDA8F7C61AC}"/>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6" name="TextBox 2099">
          <a:extLst>
            <a:ext uri="{FF2B5EF4-FFF2-40B4-BE49-F238E27FC236}">
              <a16:creationId xmlns:a16="http://schemas.microsoft.com/office/drawing/2014/main" id="{1B47F032-CD60-4F73-A57E-1C3FCBA1902B}"/>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7" name="TextBox 2100">
          <a:extLst>
            <a:ext uri="{FF2B5EF4-FFF2-40B4-BE49-F238E27FC236}">
              <a16:creationId xmlns:a16="http://schemas.microsoft.com/office/drawing/2014/main" id="{67ECAF26-BF33-4C47-94D6-0325729199A2}"/>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8" name="TextBox 2101">
          <a:extLst>
            <a:ext uri="{FF2B5EF4-FFF2-40B4-BE49-F238E27FC236}">
              <a16:creationId xmlns:a16="http://schemas.microsoft.com/office/drawing/2014/main" id="{062A59EB-7890-444A-A4F8-B50C41061D4A}"/>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69" name="TextBox 2102">
          <a:extLst>
            <a:ext uri="{FF2B5EF4-FFF2-40B4-BE49-F238E27FC236}">
              <a16:creationId xmlns:a16="http://schemas.microsoft.com/office/drawing/2014/main" id="{AB5EF3CC-AB5B-4878-89DB-24AC6A00488A}"/>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70" name="TextBox 2103">
          <a:extLst>
            <a:ext uri="{FF2B5EF4-FFF2-40B4-BE49-F238E27FC236}">
              <a16:creationId xmlns:a16="http://schemas.microsoft.com/office/drawing/2014/main" id="{3EB91416-6437-4475-BC58-4C839D000C83}"/>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71" name="TextBox 2104">
          <a:extLst>
            <a:ext uri="{FF2B5EF4-FFF2-40B4-BE49-F238E27FC236}">
              <a16:creationId xmlns:a16="http://schemas.microsoft.com/office/drawing/2014/main" id="{C805BAD9-0701-4810-A26A-C29401D80DC3}"/>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72" name="TextBox 2105">
          <a:extLst>
            <a:ext uri="{FF2B5EF4-FFF2-40B4-BE49-F238E27FC236}">
              <a16:creationId xmlns:a16="http://schemas.microsoft.com/office/drawing/2014/main" id="{4B8A8FC9-D78F-47EB-B3C4-1F373BF7B2C6}"/>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73" name="TextBox 783">
          <a:extLst>
            <a:ext uri="{FF2B5EF4-FFF2-40B4-BE49-F238E27FC236}">
              <a16:creationId xmlns:a16="http://schemas.microsoft.com/office/drawing/2014/main" id="{83CCEFCE-DE21-4C55-A3D3-64B4FCAF6BD6}"/>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74" name="TextBox 784">
          <a:extLst>
            <a:ext uri="{FF2B5EF4-FFF2-40B4-BE49-F238E27FC236}">
              <a16:creationId xmlns:a16="http://schemas.microsoft.com/office/drawing/2014/main" id="{858FE3FA-F5BD-43A2-B810-55AAC756D6D2}"/>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75" name="TextBox 785">
          <a:extLst>
            <a:ext uri="{FF2B5EF4-FFF2-40B4-BE49-F238E27FC236}">
              <a16:creationId xmlns:a16="http://schemas.microsoft.com/office/drawing/2014/main" id="{BED805FB-35D6-4FBC-8AE3-563AA3F18ED5}"/>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76" name="TextBox 786">
          <a:extLst>
            <a:ext uri="{FF2B5EF4-FFF2-40B4-BE49-F238E27FC236}">
              <a16:creationId xmlns:a16="http://schemas.microsoft.com/office/drawing/2014/main" id="{85410AB6-0EB2-4C37-AAB8-1AB0129394B3}"/>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77" name="TextBox 787">
          <a:extLst>
            <a:ext uri="{FF2B5EF4-FFF2-40B4-BE49-F238E27FC236}">
              <a16:creationId xmlns:a16="http://schemas.microsoft.com/office/drawing/2014/main" id="{F2C82D8D-AFB8-4961-BA29-4228C68F8AC2}"/>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78" name="TextBox 788">
          <a:extLst>
            <a:ext uri="{FF2B5EF4-FFF2-40B4-BE49-F238E27FC236}">
              <a16:creationId xmlns:a16="http://schemas.microsoft.com/office/drawing/2014/main" id="{C41779C8-C51E-4960-AA2D-152677E46875}"/>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79" name="TextBox 789">
          <a:extLst>
            <a:ext uri="{FF2B5EF4-FFF2-40B4-BE49-F238E27FC236}">
              <a16:creationId xmlns:a16="http://schemas.microsoft.com/office/drawing/2014/main" id="{A863D80B-4E57-491E-A85D-5328DB273FA1}"/>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80" name="TextBox 790">
          <a:extLst>
            <a:ext uri="{FF2B5EF4-FFF2-40B4-BE49-F238E27FC236}">
              <a16:creationId xmlns:a16="http://schemas.microsoft.com/office/drawing/2014/main" id="{9EEFB8B7-4700-4E63-A492-AC9B39B4B1BE}"/>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81" name="TextBox 791">
          <a:extLst>
            <a:ext uri="{FF2B5EF4-FFF2-40B4-BE49-F238E27FC236}">
              <a16:creationId xmlns:a16="http://schemas.microsoft.com/office/drawing/2014/main" id="{66D55EF4-A646-477C-B0DD-512B35E11636}"/>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82" name="TextBox 2088">
          <a:extLst>
            <a:ext uri="{FF2B5EF4-FFF2-40B4-BE49-F238E27FC236}">
              <a16:creationId xmlns:a16="http://schemas.microsoft.com/office/drawing/2014/main" id="{18F73172-CBDB-4D10-876D-24E07BF282E3}"/>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83" name="TextBox 2089">
          <a:extLst>
            <a:ext uri="{FF2B5EF4-FFF2-40B4-BE49-F238E27FC236}">
              <a16:creationId xmlns:a16="http://schemas.microsoft.com/office/drawing/2014/main" id="{94C70F76-F418-4C24-93A6-0AB898B1B180}"/>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84" name="TextBox 2090">
          <a:extLst>
            <a:ext uri="{FF2B5EF4-FFF2-40B4-BE49-F238E27FC236}">
              <a16:creationId xmlns:a16="http://schemas.microsoft.com/office/drawing/2014/main" id="{A9853EAF-29A7-42A4-BD31-05F962C88BE7}"/>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85" name="TextBox 2091">
          <a:extLst>
            <a:ext uri="{FF2B5EF4-FFF2-40B4-BE49-F238E27FC236}">
              <a16:creationId xmlns:a16="http://schemas.microsoft.com/office/drawing/2014/main" id="{81BF4B4C-C71C-4E11-8461-651B28AD14B3}"/>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86" name="TextBox 2092">
          <a:extLst>
            <a:ext uri="{FF2B5EF4-FFF2-40B4-BE49-F238E27FC236}">
              <a16:creationId xmlns:a16="http://schemas.microsoft.com/office/drawing/2014/main" id="{050BA0B5-2F88-4851-BC90-253033B77F47}"/>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87" name="TextBox 2093">
          <a:extLst>
            <a:ext uri="{FF2B5EF4-FFF2-40B4-BE49-F238E27FC236}">
              <a16:creationId xmlns:a16="http://schemas.microsoft.com/office/drawing/2014/main" id="{078EC21E-F48E-4A47-ABB9-F7330005EB4B}"/>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88" name="TextBox 2094">
          <a:extLst>
            <a:ext uri="{FF2B5EF4-FFF2-40B4-BE49-F238E27FC236}">
              <a16:creationId xmlns:a16="http://schemas.microsoft.com/office/drawing/2014/main" id="{5DF0C333-6154-409A-AEB5-3CA591CE2EEE}"/>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89" name="TextBox 2095">
          <a:extLst>
            <a:ext uri="{FF2B5EF4-FFF2-40B4-BE49-F238E27FC236}">
              <a16:creationId xmlns:a16="http://schemas.microsoft.com/office/drawing/2014/main" id="{B7507BA7-1541-448D-B9C7-82E7E5932F57}"/>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90" name="TextBox 2096">
          <a:extLst>
            <a:ext uri="{FF2B5EF4-FFF2-40B4-BE49-F238E27FC236}">
              <a16:creationId xmlns:a16="http://schemas.microsoft.com/office/drawing/2014/main" id="{D0977681-1CF0-48FB-8E48-6F792C188349}"/>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91" name="TextBox 784">
          <a:extLst>
            <a:ext uri="{FF2B5EF4-FFF2-40B4-BE49-F238E27FC236}">
              <a16:creationId xmlns:a16="http://schemas.microsoft.com/office/drawing/2014/main" id="{B33636E9-0F79-42F0-AD38-6FBCBA8F6449}"/>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92" name="TextBox 785">
          <a:extLst>
            <a:ext uri="{FF2B5EF4-FFF2-40B4-BE49-F238E27FC236}">
              <a16:creationId xmlns:a16="http://schemas.microsoft.com/office/drawing/2014/main" id="{773870DB-6221-4040-B4DB-A5BC793BB8AB}"/>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93" name="TextBox 786">
          <a:extLst>
            <a:ext uri="{FF2B5EF4-FFF2-40B4-BE49-F238E27FC236}">
              <a16:creationId xmlns:a16="http://schemas.microsoft.com/office/drawing/2014/main" id="{82A98764-F768-48EB-8667-9880EFEBC4B7}"/>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94" name="TextBox 787">
          <a:extLst>
            <a:ext uri="{FF2B5EF4-FFF2-40B4-BE49-F238E27FC236}">
              <a16:creationId xmlns:a16="http://schemas.microsoft.com/office/drawing/2014/main" id="{906D121D-6040-4101-A194-38281DAA63BD}"/>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95" name="TextBox 788">
          <a:extLst>
            <a:ext uri="{FF2B5EF4-FFF2-40B4-BE49-F238E27FC236}">
              <a16:creationId xmlns:a16="http://schemas.microsoft.com/office/drawing/2014/main" id="{AD32CF8C-C4E0-4697-967B-10781AD816BE}"/>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196" name="TextBox 789">
          <a:extLst>
            <a:ext uri="{FF2B5EF4-FFF2-40B4-BE49-F238E27FC236}">
              <a16:creationId xmlns:a16="http://schemas.microsoft.com/office/drawing/2014/main" id="{979845F9-11EB-423D-ADF5-8F18B41670B4}"/>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97" name="TextBox 790">
          <a:extLst>
            <a:ext uri="{FF2B5EF4-FFF2-40B4-BE49-F238E27FC236}">
              <a16:creationId xmlns:a16="http://schemas.microsoft.com/office/drawing/2014/main" id="{6D459B0F-858C-4D16-A609-4626076CD625}"/>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98" name="TextBox 791">
          <a:extLst>
            <a:ext uri="{FF2B5EF4-FFF2-40B4-BE49-F238E27FC236}">
              <a16:creationId xmlns:a16="http://schemas.microsoft.com/office/drawing/2014/main" id="{C2F089BC-791C-48E5-AFE9-E7C6906C8757}"/>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199" name="TextBox 792">
          <a:extLst>
            <a:ext uri="{FF2B5EF4-FFF2-40B4-BE49-F238E27FC236}">
              <a16:creationId xmlns:a16="http://schemas.microsoft.com/office/drawing/2014/main" id="{06CB5345-EEF3-4C27-8A86-B732A96F1AA2}"/>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0" name="TextBox 2097">
          <a:extLst>
            <a:ext uri="{FF2B5EF4-FFF2-40B4-BE49-F238E27FC236}">
              <a16:creationId xmlns:a16="http://schemas.microsoft.com/office/drawing/2014/main" id="{FE409821-A8F3-4F61-80C8-79315756FD06}"/>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1" name="TextBox 2098">
          <a:extLst>
            <a:ext uri="{FF2B5EF4-FFF2-40B4-BE49-F238E27FC236}">
              <a16:creationId xmlns:a16="http://schemas.microsoft.com/office/drawing/2014/main" id="{17B49E95-D162-408B-9A5B-966E76042078}"/>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2" name="TextBox 2099">
          <a:extLst>
            <a:ext uri="{FF2B5EF4-FFF2-40B4-BE49-F238E27FC236}">
              <a16:creationId xmlns:a16="http://schemas.microsoft.com/office/drawing/2014/main" id="{06855A15-5C51-4BFD-A073-F924815E35F2}"/>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3" name="TextBox 2100">
          <a:extLst>
            <a:ext uri="{FF2B5EF4-FFF2-40B4-BE49-F238E27FC236}">
              <a16:creationId xmlns:a16="http://schemas.microsoft.com/office/drawing/2014/main" id="{DBAD8009-250E-47EA-90D6-83BE6E8800A1}"/>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4" name="TextBox 2101">
          <a:extLst>
            <a:ext uri="{FF2B5EF4-FFF2-40B4-BE49-F238E27FC236}">
              <a16:creationId xmlns:a16="http://schemas.microsoft.com/office/drawing/2014/main" id="{671626CE-EA56-4D4E-B3DA-DABECB3ECB60}"/>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5" name="TextBox 2102">
          <a:extLst>
            <a:ext uri="{FF2B5EF4-FFF2-40B4-BE49-F238E27FC236}">
              <a16:creationId xmlns:a16="http://schemas.microsoft.com/office/drawing/2014/main" id="{E839180F-3764-41E2-B8C1-C96A2FB38F55}"/>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06" name="TextBox 2103">
          <a:extLst>
            <a:ext uri="{FF2B5EF4-FFF2-40B4-BE49-F238E27FC236}">
              <a16:creationId xmlns:a16="http://schemas.microsoft.com/office/drawing/2014/main" id="{235ADD97-5D83-4C7A-A87D-6EF0D55DF3A4}"/>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07" name="TextBox 2104">
          <a:extLst>
            <a:ext uri="{FF2B5EF4-FFF2-40B4-BE49-F238E27FC236}">
              <a16:creationId xmlns:a16="http://schemas.microsoft.com/office/drawing/2014/main" id="{D53363B6-53CA-4566-B83B-FF3D80D7B6D5}"/>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08" name="TextBox 2105">
          <a:extLst>
            <a:ext uri="{FF2B5EF4-FFF2-40B4-BE49-F238E27FC236}">
              <a16:creationId xmlns:a16="http://schemas.microsoft.com/office/drawing/2014/main" id="{A8C06E3E-170C-4446-B403-5D1E8C93D55D}"/>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09" name="TextBox 783">
          <a:extLst>
            <a:ext uri="{FF2B5EF4-FFF2-40B4-BE49-F238E27FC236}">
              <a16:creationId xmlns:a16="http://schemas.microsoft.com/office/drawing/2014/main" id="{6D651FCC-BCEE-4D16-855A-9788788A9301}"/>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0" name="TextBox 784">
          <a:extLst>
            <a:ext uri="{FF2B5EF4-FFF2-40B4-BE49-F238E27FC236}">
              <a16:creationId xmlns:a16="http://schemas.microsoft.com/office/drawing/2014/main" id="{E7DFF25F-0220-42ED-851F-B218C3E761DE}"/>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1" name="TextBox 785">
          <a:extLst>
            <a:ext uri="{FF2B5EF4-FFF2-40B4-BE49-F238E27FC236}">
              <a16:creationId xmlns:a16="http://schemas.microsoft.com/office/drawing/2014/main" id="{5CBB4989-C9C7-4F1B-B1B8-C2FEFD9668E0}"/>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2" name="TextBox 786">
          <a:extLst>
            <a:ext uri="{FF2B5EF4-FFF2-40B4-BE49-F238E27FC236}">
              <a16:creationId xmlns:a16="http://schemas.microsoft.com/office/drawing/2014/main" id="{8F9B87DC-D369-4F0E-B24F-DEF72DC4FA54}"/>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3" name="TextBox 787">
          <a:extLst>
            <a:ext uri="{FF2B5EF4-FFF2-40B4-BE49-F238E27FC236}">
              <a16:creationId xmlns:a16="http://schemas.microsoft.com/office/drawing/2014/main" id="{51077E15-B7BE-49B7-899F-652E11801EE7}"/>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4" name="TextBox 788">
          <a:extLst>
            <a:ext uri="{FF2B5EF4-FFF2-40B4-BE49-F238E27FC236}">
              <a16:creationId xmlns:a16="http://schemas.microsoft.com/office/drawing/2014/main" id="{57B1578A-5438-4DD6-A39F-A809060B0E00}"/>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15" name="TextBox 789">
          <a:extLst>
            <a:ext uri="{FF2B5EF4-FFF2-40B4-BE49-F238E27FC236}">
              <a16:creationId xmlns:a16="http://schemas.microsoft.com/office/drawing/2014/main" id="{E22A9B87-0F33-4907-8AD1-BE07C693F957}"/>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16" name="TextBox 790">
          <a:extLst>
            <a:ext uri="{FF2B5EF4-FFF2-40B4-BE49-F238E27FC236}">
              <a16:creationId xmlns:a16="http://schemas.microsoft.com/office/drawing/2014/main" id="{8B61674A-EB73-4D35-84B4-EBC151CCB468}"/>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17" name="TextBox 791">
          <a:extLst>
            <a:ext uri="{FF2B5EF4-FFF2-40B4-BE49-F238E27FC236}">
              <a16:creationId xmlns:a16="http://schemas.microsoft.com/office/drawing/2014/main" id="{41DA16D3-8312-4F57-A18F-645BC884BC2E}"/>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8" name="TextBox 2088">
          <a:extLst>
            <a:ext uri="{FF2B5EF4-FFF2-40B4-BE49-F238E27FC236}">
              <a16:creationId xmlns:a16="http://schemas.microsoft.com/office/drawing/2014/main" id="{E675274D-9C73-44D4-9355-AADC0FDDD52B}"/>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19" name="TextBox 2089">
          <a:extLst>
            <a:ext uri="{FF2B5EF4-FFF2-40B4-BE49-F238E27FC236}">
              <a16:creationId xmlns:a16="http://schemas.microsoft.com/office/drawing/2014/main" id="{A1602895-76A3-4508-B75E-47FC3432FFBE}"/>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20" name="TextBox 2090">
          <a:extLst>
            <a:ext uri="{FF2B5EF4-FFF2-40B4-BE49-F238E27FC236}">
              <a16:creationId xmlns:a16="http://schemas.microsoft.com/office/drawing/2014/main" id="{5ACA449B-212B-410F-BCBA-66C2D79E6DFF}"/>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21" name="TextBox 2091">
          <a:extLst>
            <a:ext uri="{FF2B5EF4-FFF2-40B4-BE49-F238E27FC236}">
              <a16:creationId xmlns:a16="http://schemas.microsoft.com/office/drawing/2014/main" id="{AF7CEF88-83DD-473E-8079-1AFDD84719F2}"/>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22" name="TextBox 2092">
          <a:extLst>
            <a:ext uri="{FF2B5EF4-FFF2-40B4-BE49-F238E27FC236}">
              <a16:creationId xmlns:a16="http://schemas.microsoft.com/office/drawing/2014/main" id="{19FBFB04-A4D3-4F89-8195-CF1C91D0EF69}"/>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923978" cy="311803"/>
    <xdr:sp macro="" textlink="">
      <xdr:nvSpPr>
        <xdr:cNvPr id="1223" name="TextBox 2093">
          <a:extLst>
            <a:ext uri="{FF2B5EF4-FFF2-40B4-BE49-F238E27FC236}">
              <a16:creationId xmlns:a16="http://schemas.microsoft.com/office/drawing/2014/main" id="{C7421015-ADFC-47B6-BCE5-F948D4AA8383}"/>
            </a:ext>
          </a:extLst>
        </xdr:cNvPr>
        <xdr:cNvSpPr txBox="1"/>
      </xdr:nvSpPr>
      <xdr:spPr>
        <a:xfrm>
          <a:off x="6727372" y="28781829"/>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24" name="TextBox 2094">
          <a:extLst>
            <a:ext uri="{FF2B5EF4-FFF2-40B4-BE49-F238E27FC236}">
              <a16:creationId xmlns:a16="http://schemas.microsoft.com/office/drawing/2014/main" id="{A7E9F081-826B-4EB3-A77C-EC1791213370}"/>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25" name="TextBox 2095">
          <a:extLst>
            <a:ext uri="{FF2B5EF4-FFF2-40B4-BE49-F238E27FC236}">
              <a16:creationId xmlns:a16="http://schemas.microsoft.com/office/drawing/2014/main" id="{B81234F8-8DF4-410E-93F7-B00B2EEEF664}"/>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99</xdr:row>
      <xdr:rowOff>0</xdr:rowOff>
    </xdr:from>
    <xdr:ext cx="878878" cy="311803"/>
    <xdr:sp macro="" textlink="">
      <xdr:nvSpPr>
        <xdr:cNvPr id="1226" name="TextBox 2096">
          <a:extLst>
            <a:ext uri="{FF2B5EF4-FFF2-40B4-BE49-F238E27FC236}">
              <a16:creationId xmlns:a16="http://schemas.microsoft.com/office/drawing/2014/main" id="{9C4DCE5F-42E8-4A23-8F9F-8BE2196273C6}"/>
            </a:ext>
          </a:extLst>
        </xdr:cNvPr>
        <xdr:cNvSpPr txBox="1"/>
      </xdr:nvSpPr>
      <xdr:spPr>
        <a:xfrm>
          <a:off x="6743700" y="28781829"/>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32</xdr:row>
      <xdr:rowOff>0</xdr:rowOff>
    </xdr:from>
    <xdr:ext cx="184731" cy="274009"/>
    <xdr:sp macro="" textlink="">
      <xdr:nvSpPr>
        <xdr:cNvPr id="1227" name="TextBox 4">
          <a:extLst>
            <a:ext uri="{FF2B5EF4-FFF2-40B4-BE49-F238E27FC236}">
              <a16:creationId xmlns:a16="http://schemas.microsoft.com/office/drawing/2014/main" id="{4509E37E-4213-4565-8612-B90022512A45}"/>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28" name="TextBox 5">
          <a:extLst>
            <a:ext uri="{FF2B5EF4-FFF2-40B4-BE49-F238E27FC236}">
              <a16:creationId xmlns:a16="http://schemas.microsoft.com/office/drawing/2014/main" id="{CE47CFC7-AD8D-49EC-A82D-6B0A8F0F3FB1}"/>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29" name="TextBox 6">
          <a:extLst>
            <a:ext uri="{FF2B5EF4-FFF2-40B4-BE49-F238E27FC236}">
              <a16:creationId xmlns:a16="http://schemas.microsoft.com/office/drawing/2014/main" id="{835A553B-FD39-4EDF-964A-295E36764786}"/>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30" name="TextBox 1229">
          <a:extLst>
            <a:ext uri="{FF2B5EF4-FFF2-40B4-BE49-F238E27FC236}">
              <a16:creationId xmlns:a16="http://schemas.microsoft.com/office/drawing/2014/main" id="{1155C86B-EABB-4B2E-A7BD-D00572B280EC}"/>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31" name="TextBox 1230">
          <a:extLst>
            <a:ext uri="{FF2B5EF4-FFF2-40B4-BE49-F238E27FC236}">
              <a16:creationId xmlns:a16="http://schemas.microsoft.com/office/drawing/2014/main" id="{A590F697-8F37-4D3A-A0C4-F26BC0487272}"/>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32" name="TextBox 1231">
          <a:extLst>
            <a:ext uri="{FF2B5EF4-FFF2-40B4-BE49-F238E27FC236}">
              <a16:creationId xmlns:a16="http://schemas.microsoft.com/office/drawing/2014/main" id="{41558301-E166-4550-BF86-E2D816EF85B6}"/>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33" name="TextBox 4">
          <a:extLst>
            <a:ext uri="{FF2B5EF4-FFF2-40B4-BE49-F238E27FC236}">
              <a16:creationId xmlns:a16="http://schemas.microsoft.com/office/drawing/2014/main" id="{108E408C-0BEE-49DF-A0AA-6694EB5200AB}"/>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34" name="TextBox 5">
          <a:extLst>
            <a:ext uri="{FF2B5EF4-FFF2-40B4-BE49-F238E27FC236}">
              <a16:creationId xmlns:a16="http://schemas.microsoft.com/office/drawing/2014/main" id="{D97DCE0E-6802-4632-A9D9-2E9930ED2CDF}"/>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35" name="TextBox 6">
          <a:extLst>
            <a:ext uri="{FF2B5EF4-FFF2-40B4-BE49-F238E27FC236}">
              <a16:creationId xmlns:a16="http://schemas.microsoft.com/office/drawing/2014/main" id="{646D3F73-E01E-4CA1-B596-36614A0CF1C8}"/>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36" name="TextBox 4">
          <a:extLst>
            <a:ext uri="{FF2B5EF4-FFF2-40B4-BE49-F238E27FC236}">
              <a16:creationId xmlns:a16="http://schemas.microsoft.com/office/drawing/2014/main" id="{AEC2C0DA-BCB1-4259-8E25-260C4B33FFCC}"/>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37" name="TextBox 5">
          <a:extLst>
            <a:ext uri="{FF2B5EF4-FFF2-40B4-BE49-F238E27FC236}">
              <a16:creationId xmlns:a16="http://schemas.microsoft.com/office/drawing/2014/main" id="{23E32428-ADB7-43A4-B08D-6AFBE1555E9A}"/>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38" name="TextBox 6">
          <a:extLst>
            <a:ext uri="{FF2B5EF4-FFF2-40B4-BE49-F238E27FC236}">
              <a16:creationId xmlns:a16="http://schemas.microsoft.com/office/drawing/2014/main" id="{19713FFD-554E-4012-8CD1-CE919717792E}"/>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39" name="TextBox 4">
          <a:extLst>
            <a:ext uri="{FF2B5EF4-FFF2-40B4-BE49-F238E27FC236}">
              <a16:creationId xmlns:a16="http://schemas.microsoft.com/office/drawing/2014/main" id="{E12EE69F-7F91-40B2-A094-8914E6327C0F}"/>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40" name="TextBox 5">
          <a:extLst>
            <a:ext uri="{FF2B5EF4-FFF2-40B4-BE49-F238E27FC236}">
              <a16:creationId xmlns:a16="http://schemas.microsoft.com/office/drawing/2014/main" id="{C9A6AFAD-DD1A-4BEC-87EC-8923B61DAF96}"/>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41" name="TextBox 6">
          <a:extLst>
            <a:ext uri="{FF2B5EF4-FFF2-40B4-BE49-F238E27FC236}">
              <a16:creationId xmlns:a16="http://schemas.microsoft.com/office/drawing/2014/main" id="{A9BAA102-BA1E-4EC2-BED1-98E9C3A8D2CE}"/>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42" name="TextBox 4">
          <a:extLst>
            <a:ext uri="{FF2B5EF4-FFF2-40B4-BE49-F238E27FC236}">
              <a16:creationId xmlns:a16="http://schemas.microsoft.com/office/drawing/2014/main" id="{0F92D8C6-0492-4813-9FAE-16BBF0D66CFE}"/>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43" name="TextBox 5">
          <a:extLst>
            <a:ext uri="{FF2B5EF4-FFF2-40B4-BE49-F238E27FC236}">
              <a16:creationId xmlns:a16="http://schemas.microsoft.com/office/drawing/2014/main" id="{F3256C39-89D1-4C71-9C7D-1719737CE879}"/>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38</xdr:row>
      <xdr:rowOff>0</xdr:rowOff>
    </xdr:from>
    <xdr:ext cx="184731" cy="274009"/>
    <xdr:sp macro="" textlink="">
      <xdr:nvSpPr>
        <xdr:cNvPr id="1244" name="TextBox 6">
          <a:extLst>
            <a:ext uri="{FF2B5EF4-FFF2-40B4-BE49-F238E27FC236}">
              <a16:creationId xmlns:a16="http://schemas.microsoft.com/office/drawing/2014/main" id="{975B377E-FD7D-42C7-BE06-9CCA40E9E01E}"/>
            </a:ext>
          </a:extLst>
        </xdr:cNvPr>
        <xdr:cNvSpPr txBox="1"/>
      </xdr:nvSpPr>
      <xdr:spPr>
        <a:xfrm>
          <a:off x="7024157" y="132588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41</xdr:row>
      <xdr:rowOff>0</xdr:rowOff>
    </xdr:from>
    <xdr:ext cx="184731" cy="274359"/>
    <xdr:sp macro="" textlink="">
      <xdr:nvSpPr>
        <xdr:cNvPr id="1245" name="TextBox 4">
          <a:extLst>
            <a:ext uri="{FF2B5EF4-FFF2-40B4-BE49-F238E27FC236}">
              <a16:creationId xmlns:a16="http://schemas.microsoft.com/office/drawing/2014/main" id="{1B819C96-9B34-4E39-895F-1B2CD4D102AA}"/>
            </a:ext>
          </a:extLst>
        </xdr:cNvPr>
        <xdr:cNvSpPr txBox="1"/>
      </xdr:nvSpPr>
      <xdr:spPr>
        <a:xfrm>
          <a:off x="7024157" y="13764986"/>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41</xdr:row>
      <xdr:rowOff>0</xdr:rowOff>
    </xdr:from>
    <xdr:ext cx="184731" cy="274359"/>
    <xdr:sp macro="" textlink="">
      <xdr:nvSpPr>
        <xdr:cNvPr id="1246" name="TextBox 5">
          <a:extLst>
            <a:ext uri="{FF2B5EF4-FFF2-40B4-BE49-F238E27FC236}">
              <a16:creationId xmlns:a16="http://schemas.microsoft.com/office/drawing/2014/main" id="{FD6A7C5E-5239-4B86-BF61-BDE8A1BEB6F1}"/>
            </a:ext>
          </a:extLst>
        </xdr:cNvPr>
        <xdr:cNvSpPr txBox="1"/>
      </xdr:nvSpPr>
      <xdr:spPr>
        <a:xfrm>
          <a:off x="7024157" y="13764986"/>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41</xdr:row>
      <xdr:rowOff>0</xdr:rowOff>
    </xdr:from>
    <xdr:ext cx="184731" cy="274359"/>
    <xdr:sp macro="" textlink="">
      <xdr:nvSpPr>
        <xdr:cNvPr id="1247" name="TextBox 6">
          <a:extLst>
            <a:ext uri="{FF2B5EF4-FFF2-40B4-BE49-F238E27FC236}">
              <a16:creationId xmlns:a16="http://schemas.microsoft.com/office/drawing/2014/main" id="{0B85FE14-3096-4E65-9789-6AF748EA3A95}"/>
            </a:ext>
          </a:extLst>
        </xdr:cNvPr>
        <xdr:cNvSpPr txBox="1"/>
      </xdr:nvSpPr>
      <xdr:spPr>
        <a:xfrm>
          <a:off x="7024157" y="13764986"/>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48" name="TextBox 4">
          <a:extLst>
            <a:ext uri="{FF2B5EF4-FFF2-40B4-BE49-F238E27FC236}">
              <a16:creationId xmlns:a16="http://schemas.microsoft.com/office/drawing/2014/main" id="{9EBBEDB4-1537-4220-BE3C-7263727A385F}"/>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49" name="TextBox 5">
          <a:extLst>
            <a:ext uri="{FF2B5EF4-FFF2-40B4-BE49-F238E27FC236}">
              <a16:creationId xmlns:a16="http://schemas.microsoft.com/office/drawing/2014/main" id="{F42288EE-6C9B-4844-8806-B54B4B859126}"/>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50" name="TextBox 6">
          <a:extLst>
            <a:ext uri="{FF2B5EF4-FFF2-40B4-BE49-F238E27FC236}">
              <a16:creationId xmlns:a16="http://schemas.microsoft.com/office/drawing/2014/main" id="{60C8AE65-50B8-491A-A083-10FB4F7BE72C}"/>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51" name="TextBox 4">
          <a:extLst>
            <a:ext uri="{FF2B5EF4-FFF2-40B4-BE49-F238E27FC236}">
              <a16:creationId xmlns:a16="http://schemas.microsoft.com/office/drawing/2014/main" id="{F8D1D35E-F5DA-4616-9D0B-F30BD76F5269}"/>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52" name="TextBox 5">
          <a:extLst>
            <a:ext uri="{FF2B5EF4-FFF2-40B4-BE49-F238E27FC236}">
              <a16:creationId xmlns:a16="http://schemas.microsoft.com/office/drawing/2014/main" id="{55879C72-49AA-4740-9BC1-8B3CC35D37DD}"/>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32</xdr:row>
      <xdr:rowOff>0</xdr:rowOff>
    </xdr:from>
    <xdr:ext cx="184731" cy="274009"/>
    <xdr:sp macro="" textlink="">
      <xdr:nvSpPr>
        <xdr:cNvPr id="1253" name="TextBox 6">
          <a:extLst>
            <a:ext uri="{FF2B5EF4-FFF2-40B4-BE49-F238E27FC236}">
              <a16:creationId xmlns:a16="http://schemas.microsoft.com/office/drawing/2014/main" id="{5CBE933A-BFF0-46D3-8B0D-F13FCDAB6E2D}"/>
            </a:ext>
          </a:extLst>
        </xdr:cNvPr>
        <xdr:cNvSpPr txBox="1"/>
      </xdr:nvSpPr>
      <xdr:spPr>
        <a:xfrm>
          <a:off x="7024157" y="106843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54" name="TextBox 4">
          <a:extLst>
            <a:ext uri="{FF2B5EF4-FFF2-40B4-BE49-F238E27FC236}">
              <a16:creationId xmlns:a16="http://schemas.microsoft.com/office/drawing/2014/main" id="{F10DF470-22E7-4FFB-8630-4E5B1C0503CA}"/>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55" name="TextBox 5">
          <a:extLst>
            <a:ext uri="{FF2B5EF4-FFF2-40B4-BE49-F238E27FC236}">
              <a16:creationId xmlns:a16="http://schemas.microsoft.com/office/drawing/2014/main" id="{B95F6A6E-6BB4-4F6F-B6E6-282C8AB0CFD5}"/>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56" name="TextBox 6">
          <a:extLst>
            <a:ext uri="{FF2B5EF4-FFF2-40B4-BE49-F238E27FC236}">
              <a16:creationId xmlns:a16="http://schemas.microsoft.com/office/drawing/2014/main" id="{767E947A-7F64-4E97-B0A3-3F9474295418}"/>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57" name="TextBox 4">
          <a:extLst>
            <a:ext uri="{FF2B5EF4-FFF2-40B4-BE49-F238E27FC236}">
              <a16:creationId xmlns:a16="http://schemas.microsoft.com/office/drawing/2014/main" id="{036BE275-34AC-458C-8C5F-26C84476E3A0}"/>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58" name="TextBox 5">
          <a:extLst>
            <a:ext uri="{FF2B5EF4-FFF2-40B4-BE49-F238E27FC236}">
              <a16:creationId xmlns:a16="http://schemas.microsoft.com/office/drawing/2014/main" id="{A6550E70-A939-4DA7-A6C3-B30CAEF4274F}"/>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59" name="TextBox 6">
          <a:extLst>
            <a:ext uri="{FF2B5EF4-FFF2-40B4-BE49-F238E27FC236}">
              <a16:creationId xmlns:a16="http://schemas.microsoft.com/office/drawing/2014/main" id="{A4B2EB0C-03C9-44AA-9CFC-088113B96BEC}"/>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60" name="TextBox 4">
          <a:extLst>
            <a:ext uri="{FF2B5EF4-FFF2-40B4-BE49-F238E27FC236}">
              <a16:creationId xmlns:a16="http://schemas.microsoft.com/office/drawing/2014/main" id="{794030FE-3EF2-4972-B0D9-9DFCFD3766B4}"/>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61" name="TextBox 5">
          <a:extLst>
            <a:ext uri="{FF2B5EF4-FFF2-40B4-BE49-F238E27FC236}">
              <a16:creationId xmlns:a16="http://schemas.microsoft.com/office/drawing/2014/main" id="{5E835D8D-3303-4145-A3F0-D996EA400CF0}"/>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61</xdr:row>
      <xdr:rowOff>0</xdr:rowOff>
    </xdr:from>
    <xdr:ext cx="184731" cy="264560"/>
    <xdr:sp macro="" textlink="">
      <xdr:nvSpPr>
        <xdr:cNvPr id="1262" name="TextBox 6">
          <a:extLst>
            <a:ext uri="{FF2B5EF4-FFF2-40B4-BE49-F238E27FC236}">
              <a16:creationId xmlns:a16="http://schemas.microsoft.com/office/drawing/2014/main" id="{EABB76FF-9A97-4E00-BEB2-A3C8E9F5A9D2}"/>
            </a:ext>
          </a:extLst>
        </xdr:cNvPr>
        <xdr:cNvSpPr txBox="1"/>
      </xdr:nvSpPr>
      <xdr:spPr>
        <a:xfrm>
          <a:off x="7024157" y="189030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3" name="TextBox 4">
          <a:extLst>
            <a:ext uri="{FF2B5EF4-FFF2-40B4-BE49-F238E27FC236}">
              <a16:creationId xmlns:a16="http://schemas.microsoft.com/office/drawing/2014/main" id="{4D894BB3-DD1A-4422-B3BA-7A1D04CCD450}"/>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4" name="TextBox 5">
          <a:extLst>
            <a:ext uri="{FF2B5EF4-FFF2-40B4-BE49-F238E27FC236}">
              <a16:creationId xmlns:a16="http://schemas.microsoft.com/office/drawing/2014/main" id="{E40207E1-43BD-4D4D-90AD-705FEE57822C}"/>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5" name="TextBox 6">
          <a:extLst>
            <a:ext uri="{FF2B5EF4-FFF2-40B4-BE49-F238E27FC236}">
              <a16:creationId xmlns:a16="http://schemas.microsoft.com/office/drawing/2014/main" id="{24FFDBD3-4CAF-41F0-9FF5-171D20352B18}"/>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6" name="TextBox 4">
          <a:extLst>
            <a:ext uri="{FF2B5EF4-FFF2-40B4-BE49-F238E27FC236}">
              <a16:creationId xmlns:a16="http://schemas.microsoft.com/office/drawing/2014/main" id="{CDE78FE8-464E-4050-9D29-9A95318FC695}"/>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7" name="TextBox 5">
          <a:extLst>
            <a:ext uri="{FF2B5EF4-FFF2-40B4-BE49-F238E27FC236}">
              <a16:creationId xmlns:a16="http://schemas.microsoft.com/office/drawing/2014/main" id="{29CD75D8-A78E-4D18-84E9-927FABFEA2C2}"/>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8" name="TextBox 6">
          <a:extLst>
            <a:ext uri="{FF2B5EF4-FFF2-40B4-BE49-F238E27FC236}">
              <a16:creationId xmlns:a16="http://schemas.microsoft.com/office/drawing/2014/main" id="{4BD750C2-EE80-4715-89AF-A0EBF953124A}"/>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69" name="TextBox 4">
          <a:extLst>
            <a:ext uri="{FF2B5EF4-FFF2-40B4-BE49-F238E27FC236}">
              <a16:creationId xmlns:a16="http://schemas.microsoft.com/office/drawing/2014/main" id="{BF733BC4-A4BE-4622-B754-7F379EA92CBB}"/>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70" name="TextBox 5">
          <a:extLst>
            <a:ext uri="{FF2B5EF4-FFF2-40B4-BE49-F238E27FC236}">
              <a16:creationId xmlns:a16="http://schemas.microsoft.com/office/drawing/2014/main" id="{4AD80C6D-8534-4CCF-9AF0-D87327A7B28F}"/>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42</xdr:row>
      <xdr:rowOff>0</xdr:rowOff>
    </xdr:from>
    <xdr:ext cx="184731" cy="264560"/>
    <xdr:sp macro="" textlink="">
      <xdr:nvSpPr>
        <xdr:cNvPr id="1271" name="TextBox 6">
          <a:extLst>
            <a:ext uri="{FF2B5EF4-FFF2-40B4-BE49-F238E27FC236}">
              <a16:creationId xmlns:a16="http://schemas.microsoft.com/office/drawing/2014/main" id="{9251F7DF-AA9E-49B6-9B46-1070736D8470}"/>
            </a:ext>
          </a:extLst>
        </xdr:cNvPr>
        <xdr:cNvSpPr txBox="1"/>
      </xdr:nvSpPr>
      <xdr:spPr>
        <a:xfrm>
          <a:off x="7024157" y="140915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45</xdr:row>
      <xdr:rowOff>0</xdr:rowOff>
    </xdr:from>
    <xdr:ext cx="184731" cy="274009"/>
    <xdr:sp macro="" textlink="">
      <xdr:nvSpPr>
        <xdr:cNvPr id="1272" name="TextBox 4">
          <a:extLst>
            <a:ext uri="{FF2B5EF4-FFF2-40B4-BE49-F238E27FC236}">
              <a16:creationId xmlns:a16="http://schemas.microsoft.com/office/drawing/2014/main" id="{AAD545CF-669F-4072-8C25-81A167186D20}"/>
            </a:ext>
          </a:extLst>
        </xdr:cNvPr>
        <xdr:cNvSpPr txBox="1"/>
      </xdr:nvSpPr>
      <xdr:spPr>
        <a:xfrm>
          <a:off x="7024157" y="146140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45</xdr:row>
      <xdr:rowOff>0</xdr:rowOff>
    </xdr:from>
    <xdr:ext cx="184731" cy="274009"/>
    <xdr:sp macro="" textlink="">
      <xdr:nvSpPr>
        <xdr:cNvPr id="1273" name="TextBox 5">
          <a:extLst>
            <a:ext uri="{FF2B5EF4-FFF2-40B4-BE49-F238E27FC236}">
              <a16:creationId xmlns:a16="http://schemas.microsoft.com/office/drawing/2014/main" id="{6C52095F-D934-435A-B8B6-FFFD5301913B}"/>
            </a:ext>
          </a:extLst>
        </xdr:cNvPr>
        <xdr:cNvSpPr txBox="1"/>
      </xdr:nvSpPr>
      <xdr:spPr>
        <a:xfrm>
          <a:off x="7024157" y="146140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45</xdr:row>
      <xdr:rowOff>0</xdr:rowOff>
    </xdr:from>
    <xdr:ext cx="184731" cy="274009"/>
    <xdr:sp macro="" textlink="">
      <xdr:nvSpPr>
        <xdr:cNvPr id="1274" name="TextBox 6">
          <a:extLst>
            <a:ext uri="{FF2B5EF4-FFF2-40B4-BE49-F238E27FC236}">
              <a16:creationId xmlns:a16="http://schemas.microsoft.com/office/drawing/2014/main" id="{A4BA9170-DD5F-49B8-9ED0-73997A44FB3E}"/>
            </a:ext>
          </a:extLst>
        </xdr:cNvPr>
        <xdr:cNvSpPr txBox="1"/>
      </xdr:nvSpPr>
      <xdr:spPr>
        <a:xfrm>
          <a:off x="7024157" y="146140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75" name="TextBox 4">
          <a:extLst>
            <a:ext uri="{FF2B5EF4-FFF2-40B4-BE49-F238E27FC236}">
              <a16:creationId xmlns:a16="http://schemas.microsoft.com/office/drawing/2014/main" id="{244952D4-D05A-4885-97F0-F0AC58C493A0}"/>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76" name="TextBox 5">
          <a:extLst>
            <a:ext uri="{FF2B5EF4-FFF2-40B4-BE49-F238E27FC236}">
              <a16:creationId xmlns:a16="http://schemas.microsoft.com/office/drawing/2014/main" id="{6C8D4E09-D5CE-4DE8-B98F-5D37E9AC8C7F}"/>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77" name="TextBox 6">
          <a:extLst>
            <a:ext uri="{FF2B5EF4-FFF2-40B4-BE49-F238E27FC236}">
              <a16:creationId xmlns:a16="http://schemas.microsoft.com/office/drawing/2014/main" id="{C0862ED6-7CD8-413F-94A4-94348D22B517}"/>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78" name="TextBox 1277">
          <a:extLst>
            <a:ext uri="{FF2B5EF4-FFF2-40B4-BE49-F238E27FC236}">
              <a16:creationId xmlns:a16="http://schemas.microsoft.com/office/drawing/2014/main" id="{E7755CDD-A673-4F83-91A2-669EB25043AE}"/>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79" name="TextBox 1278">
          <a:extLst>
            <a:ext uri="{FF2B5EF4-FFF2-40B4-BE49-F238E27FC236}">
              <a16:creationId xmlns:a16="http://schemas.microsoft.com/office/drawing/2014/main" id="{075EC34C-4630-4DD4-89D6-888A1F4770CC}"/>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0" name="TextBox 1279">
          <a:extLst>
            <a:ext uri="{FF2B5EF4-FFF2-40B4-BE49-F238E27FC236}">
              <a16:creationId xmlns:a16="http://schemas.microsoft.com/office/drawing/2014/main" id="{EA4155C5-252B-4F86-9DC5-1752329EBFE7}"/>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1" name="TextBox 4">
          <a:extLst>
            <a:ext uri="{FF2B5EF4-FFF2-40B4-BE49-F238E27FC236}">
              <a16:creationId xmlns:a16="http://schemas.microsoft.com/office/drawing/2014/main" id="{93A66F32-B707-4DFD-9A7F-E00CEBF8C2B2}"/>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2" name="TextBox 5">
          <a:extLst>
            <a:ext uri="{FF2B5EF4-FFF2-40B4-BE49-F238E27FC236}">
              <a16:creationId xmlns:a16="http://schemas.microsoft.com/office/drawing/2014/main" id="{3494CB1A-EFD5-43A0-B919-EDFF94E6968F}"/>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3" name="TextBox 6">
          <a:extLst>
            <a:ext uri="{FF2B5EF4-FFF2-40B4-BE49-F238E27FC236}">
              <a16:creationId xmlns:a16="http://schemas.microsoft.com/office/drawing/2014/main" id="{5B269D2B-827C-435E-97DA-C05E94C30260}"/>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4" name="TextBox 4">
          <a:extLst>
            <a:ext uri="{FF2B5EF4-FFF2-40B4-BE49-F238E27FC236}">
              <a16:creationId xmlns:a16="http://schemas.microsoft.com/office/drawing/2014/main" id="{3B217BBB-7254-4E07-8503-D879EBF83F07}"/>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5" name="TextBox 5">
          <a:extLst>
            <a:ext uri="{FF2B5EF4-FFF2-40B4-BE49-F238E27FC236}">
              <a16:creationId xmlns:a16="http://schemas.microsoft.com/office/drawing/2014/main" id="{CA92C772-44EF-4AEB-A86B-A734EA245EB9}"/>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6" name="TextBox 6">
          <a:extLst>
            <a:ext uri="{FF2B5EF4-FFF2-40B4-BE49-F238E27FC236}">
              <a16:creationId xmlns:a16="http://schemas.microsoft.com/office/drawing/2014/main" id="{81B4B5E4-BF8A-4763-AB42-F45926B641FE}"/>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7" name="TextBox 4">
          <a:extLst>
            <a:ext uri="{FF2B5EF4-FFF2-40B4-BE49-F238E27FC236}">
              <a16:creationId xmlns:a16="http://schemas.microsoft.com/office/drawing/2014/main" id="{73D98179-427C-49C5-860E-71699D50FAB4}"/>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8" name="TextBox 5">
          <a:extLst>
            <a:ext uri="{FF2B5EF4-FFF2-40B4-BE49-F238E27FC236}">
              <a16:creationId xmlns:a16="http://schemas.microsoft.com/office/drawing/2014/main" id="{70400ADB-669F-4D4B-904B-E5FDD9FB4DA1}"/>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89" name="TextBox 6">
          <a:extLst>
            <a:ext uri="{FF2B5EF4-FFF2-40B4-BE49-F238E27FC236}">
              <a16:creationId xmlns:a16="http://schemas.microsoft.com/office/drawing/2014/main" id="{329F33D5-8082-4EBB-8651-4C3AD7D7BC06}"/>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0" name="TextBox 4">
          <a:extLst>
            <a:ext uri="{FF2B5EF4-FFF2-40B4-BE49-F238E27FC236}">
              <a16:creationId xmlns:a16="http://schemas.microsoft.com/office/drawing/2014/main" id="{C845CD3C-42A3-4EAD-A068-FF2C45E577BB}"/>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1" name="TextBox 5">
          <a:extLst>
            <a:ext uri="{FF2B5EF4-FFF2-40B4-BE49-F238E27FC236}">
              <a16:creationId xmlns:a16="http://schemas.microsoft.com/office/drawing/2014/main" id="{2407488E-2E9D-416A-B450-F8FD19345CE3}"/>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2" name="TextBox 6">
          <a:extLst>
            <a:ext uri="{FF2B5EF4-FFF2-40B4-BE49-F238E27FC236}">
              <a16:creationId xmlns:a16="http://schemas.microsoft.com/office/drawing/2014/main" id="{FA9A26BE-8D23-45E8-8328-6E5DEE3E697A}"/>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359"/>
    <xdr:sp macro="" textlink="">
      <xdr:nvSpPr>
        <xdr:cNvPr id="1293" name="TextBox 4">
          <a:extLst>
            <a:ext uri="{FF2B5EF4-FFF2-40B4-BE49-F238E27FC236}">
              <a16:creationId xmlns:a16="http://schemas.microsoft.com/office/drawing/2014/main" id="{4223CA77-4A0D-4837-9E92-D047A6C81BF0}"/>
            </a:ext>
          </a:extLst>
        </xdr:cNvPr>
        <xdr:cNvSpPr txBox="1"/>
      </xdr:nvSpPr>
      <xdr:spPr>
        <a:xfrm>
          <a:off x="7024157" y="24438429"/>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359"/>
    <xdr:sp macro="" textlink="">
      <xdr:nvSpPr>
        <xdr:cNvPr id="1294" name="TextBox 5">
          <a:extLst>
            <a:ext uri="{FF2B5EF4-FFF2-40B4-BE49-F238E27FC236}">
              <a16:creationId xmlns:a16="http://schemas.microsoft.com/office/drawing/2014/main" id="{E9B4C473-1F74-4933-AF40-A305642C71B5}"/>
            </a:ext>
          </a:extLst>
        </xdr:cNvPr>
        <xdr:cNvSpPr txBox="1"/>
      </xdr:nvSpPr>
      <xdr:spPr>
        <a:xfrm>
          <a:off x="7024157" y="24438429"/>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359"/>
    <xdr:sp macro="" textlink="">
      <xdr:nvSpPr>
        <xdr:cNvPr id="1295" name="TextBox 6">
          <a:extLst>
            <a:ext uri="{FF2B5EF4-FFF2-40B4-BE49-F238E27FC236}">
              <a16:creationId xmlns:a16="http://schemas.microsoft.com/office/drawing/2014/main" id="{71835A60-3711-4162-B29E-6129D6866515}"/>
            </a:ext>
          </a:extLst>
        </xdr:cNvPr>
        <xdr:cNvSpPr txBox="1"/>
      </xdr:nvSpPr>
      <xdr:spPr>
        <a:xfrm>
          <a:off x="7024157" y="24438429"/>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6" name="TextBox 4">
          <a:extLst>
            <a:ext uri="{FF2B5EF4-FFF2-40B4-BE49-F238E27FC236}">
              <a16:creationId xmlns:a16="http://schemas.microsoft.com/office/drawing/2014/main" id="{E4D12865-695B-4E80-9CB7-071A717C2BD6}"/>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7" name="TextBox 5">
          <a:extLst>
            <a:ext uri="{FF2B5EF4-FFF2-40B4-BE49-F238E27FC236}">
              <a16:creationId xmlns:a16="http://schemas.microsoft.com/office/drawing/2014/main" id="{E922C6C2-A710-40D9-8615-2A92BE1F51B1}"/>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8" name="TextBox 6">
          <a:extLst>
            <a:ext uri="{FF2B5EF4-FFF2-40B4-BE49-F238E27FC236}">
              <a16:creationId xmlns:a16="http://schemas.microsoft.com/office/drawing/2014/main" id="{93292C0D-56AD-49E1-AFEF-99B73E410FF3}"/>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299" name="TextBox 4">
          <a:extLst>
            <a:ext uri="{FF2B5EF4-FFF2-40B4-BE49-F238E27FC236}">
              <a16:creationId xmlns:a16="http://schemas.microsoft.com/office/drawing/2014/main" id="{56BD60CB-EB62-48E3-A6CB-587E77BED1C3}"/>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300" name="TextBox 5">
          <a:extLst>
            <a:ext uri="{FF2B5EF4-FFF2-40B4-BE49-F238E27FC236}">
              <a16:creationId xmlns:a16="http://schemas.microsoft.com/office/drawing/2014/main" id="{F4D0481B-C8CE-4C47-8682-3E7E758F958F}"/>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301" name="TextBox 6">
          <a:extLst>
            <a:ext uri="{FF2B5EF4-FFF2-40B4-BE49-F238E27FC236}">
              <a16:creationId xmlns:a16="http://schemas.microsoft.com/office/drawing/2014/main" id="{12569853-2CAA-4647-A163-988298C3ED54}"/>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2" name="TextBox 4">
          <a:extLst>
            <a:ext uri="{FF2B5EF4-FFF2-40B4-BE49-F238E27FC236}">
              <a16:creationId xmlns:a16="http://schemas.microsoft.com/office/drawing/2014/main" id="{0F3EC49B-8F86-407A-A3E5-9342515055B0}"/>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3" name="TextBox 5">
          <a:extLst>
            <a:ext uri="{FF2B5EF4-FFF2-40B4-BE49-F238E27FC236}">
              <a16:creationId xmlns:a16="http://schemas.microsoft.com/office/drawing/2014/main" id="{6E151E9C-F2CB-467A-AD8F-E83AEA23BE8A}"/>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4" name="TextBox 6">
          <a:extLst>
            <a:ext uri="{FF2B5EF4-FFF2-40B4-BE49-F238E27FC236}">
              <a16:creationId xmlns:a16="http://schemas.microsoft.com/office/drawing/2014/main" id="{C69A9C77-F386-4222-8602-B420E068F41C}"/>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5" name="TextBox 4">
          <a:extLst>
            <a:ext uri="{FF2B5EF4-FFF2-40B4-BE49-F238E27FC236}">
              <a16:creationId xmlns:a16="http://schemas.microsoft.com/office/drawing/2014/main" id="{800F567D-49E4-4D5F-9897-BC54088D89BD}"/>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6" name="TextBox 5">
          <a:extLst>
            <a:ext uri="{FF2B5EF4-FFF2-40B4-BE49-F238E27FC236}">
              <a16:creationId xmlns:a16="http://schemas.microsoft.com/office/drawing/2014/main" id="{5D7EDCFD-34BB-48CA-885C-8DBFAAE32C7E}"/>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7" name="TextBox 6">
          <a:extLst>
            <a:ext uri="{FF2B5EF4-FFF2-40B4-BE49-F238E27FC236}">
              <a16:creationId xmlns:a16="http://schemas.microsoft.com/office/drawing/2014/main" id="{0AF29DC4-AFE1-4995-A983-FFA61789B27F}"/>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8" name="TextBox 4">
          <a:extLst>
            <a:ext uri="{FF2B5EF4-FFF2-40B4-BE49-F238E27FC236}">
              <a16:creationId xmlns:a16="http://schemas.microsoft.com/office/drawing/2014/main" id="{C1133C19-51CE-446B-84F2-EDCD0B5BF6C3}"/>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09" name="TextBox 5">
          <a:extLst>
            <a:ext uri="{FF2B5EF4-FFF2-40B4-BE49-F238E27FC236}">
              <a16:creationId xmlns:a16="http://schemas.microsoft.com/office/drawing/2014/main" id="{B99377D9-61DF-4D14-8683-9C087DA427CD}"/>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0" name="TextBox 6">
          <a:extLst>
            <a:ext uri="{FF2B5EF4-FFF2-40B4-BE49-F238E27FC236}">
              <a16:creationId xmlns:a16="http://schemas.microsoft.com/office/drawing/2014/main" id="{3648C6D9-3A7F-4C9C-B358-E7395A2A3DB1}"/>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1" name="TextBox 4">
          <a:extLst>
            <a:ext uri="{FF2B5EF4-FFF2-40B4-BE49-F238E27FC236}">
              <a16:creationId xmlns:a16="http://schemas.microsoft.com/office/drawing/2014/main" id="{6A035968-CA20-448E-B47A-D22066E75A46}"/>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2" name="TextBox 5">
          <a:extLst>
            <a:ext uri="{FF2B5EF4-FFF2-40B4-BE49-F238E27FC236}">
              <a16:creationId xmlns:a16="http://schemas.microsoft.com/office/drawing/2014/main" id="{577097B2-92C4-4B6A-A507-7D16E62BAB68}"/>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3" name="TextBox 6">
          <a:extLst>
            <a:ext uri="{FF2B5EF4-FFF2-40B4-BE49-F238E27FC236}">
              <a16:creationId xmlns:a16="http://schemas.microsoft.com/office/drawing/2014/main" id="{F9918369-51B3-4D21-B885-F295A6938425}"/>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4" name="TextBox 4">
          <a:extLst>
            <a:ext uri="{FF2B5EF4-FFF2-40B4-BE49-F238E27FC236}">
              <a16:creationId xmlns:a16="http://schemas.microsoft.com/office/drawing/2014/main" id="{64860960-7637-48DB-B7B4-0DF3D9AE9078}"/>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5" name="TextBox 5">
          <a:extLst>
            <a:ext uri="{FF2B5EF4-FFF2-40B4-BE49-F238E27FC236}">
              <a16:creationId xmlns:a16="http://schemas.microsoft.com/office/drawing/2014/main" id="{3A10D93D-D68A-4392-9B41-F7BDA6ED8401}"/>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6" name="TextBox 6">
          <a:extLst>
            <a:ext uri="{FF2B5EF4-FFF2-40B4-BE49-F238E27FC236}">
              <a16:creationId xmlns:a16="http://schemas.microsoft.com/office/drawing/2014/main" id="{944AE98A-6C7F-45A1-972E-D37D2354D763}"/>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7" name="TextBox 4">
          <a:extLst>
            <a:ext uri="{FF2B5EF4-FFF2-40B4-BE49-F238E27FC236}">
              <a16:creationId xmlns:a16="http://schemas.microsoft.com/office/drawing/2014/main" id="{FE3FFE23-B19F-4E25-A9BB-B8589824DF75}"/>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8" name="TextBox 5">
          <a:extLst>
            <a:ext uri="{FF2B5EF4-FFF2-40B4-BE49-F238E27FC236}">
              <a16:creationId xmlns:a16="http://schemas.microsoft.com/office/drawing/2014/main" id="{12CCE04D-93A0-4539-9C53-7FE061C2C8D0}"/>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64560"/>
    <xdr:sp macro="" textlink="">
      <xdr:nvSpPr>
        <xdr:cNvPr id="1319" name="TextBox 6">
          <a:extLst>
            <a:ext uri="{FF2B5EF4-FFF2-40B4-BE49-F238E27FC236}">
              <a16:creationId xmlns:a16="http://schemas.microsoft.com/office/drawing/2014/main" id="{B3F5556A-163A-4E3C-A60D-A0A0FF6C837A}"/>
            </a:ext>
          </a:extLst>
        </xdr:cNvPr>
        <xdr:cNvSpPr txBox="1"/>
      </xdr:nvSpPr>
      <xdr:spPr>
        <a:xfrm>
          <a:off x="7024157" y="2443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320" name="TextBox 4">
          <a:extLst>
            <a:ext uri="{FF2B5EF4-FFF2-40B4-BE49-F238E27FC236}">
              <a16:creationId xmlns:a16="http://schemas.microsoft.com/office/drawing/2014/main" id="{CE4268BD-E429-4066-AF6E-6C868CA95608}"/>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321" name="TextBox 5">
          <a:extLst>
            <a:ext uri="{FF2B5EF4-FFF2-40B4-BE49-F238E27FC236}">
              <a16:creationId xmlns:a16="http://schemas.microsoft.com/office/drawing/2014/main" id="{F74AAE45-2A2D-42E2-88B8-6C8FA1263726}"/>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83</xdr:row>
      <xdr:rowOff>0</xdr:rowOff>
    </xdr:from>
    <xdr:ext cx="184731" cy="274009"/>
    <xdr:sp macro="" textlink="">
      <xdr:nvSpPr>
        <xdr:cNvPr id="1322" name="TextBox 6">
          <a:extLst>
            <a:ext uri="{FF2B5EF4-FFF2-40B4-BE49-F238E27FC236}">
              <a16:creationId xmlns:a16="http://schemas.microsoft.com/office/drawing/2014/main" id="{1C6B6F7F-A9DA-4ACF-814F-7966A41899CE}"/>
            </a:ext>
          </a:extLst>
        </xdr:cNvPr>
        <xdr:cNvSpPr txBox="1"/>
      </xdr:nvSpPr>
      <xdr:spPr>
        <a:xfrm>
          <a:off x="7024157" y="24438429"/>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923978" cy="311803"/>
    <xdr:sp macro="" textlink="">
      <xdr:nvSpPr>
        <xdr:cNvPr id="1323" name="TextBox 784">
          <a:extLst>
            <a:ext uri="{FF2B5EF4-FFF2-40B4-BE49-F238E27FC236}">
              <a16:creationId xmlns:a16="http://schemas.microsoft.com/office/drawing/2014/main" id="{A481068E-18D4-426E-8714-2C7C0A5E87B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24" name="TextBox 785">
          <a:extLst>
            <a:ext uri="{FF2B5EF4-FFF2-40B4-BE49-F238E27FC236}">
              <a16:creationId xmlns:a16="http://schemas.microsoft.com/office/drawing/2014/main" id="{ADCBDA50-C357-4321-A43A-43FD25EE642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25" name="TextBox 786">
          <a:extLst>
            <a:ext uri="{FF2B5EF4-FFF2-40B4-BE49-F238E27FC236}">
              <a16:creationId xmlns:a16="http://schemas.microsoft.com/office/drawing/2014/main" id="{178D4133-92C3-46EC-87AB-00FC8F955A9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26" name="TextBox 787">
          <a:extLst>
            <a:ext uri="{FF2B5EF4-FFF2-40B4-BE49-F238E27FC236}">
              <a16:creationId xmlns:a16="http://schemas.microsoft.com/office/drawing/2014/main" id="{559C07CF-F549-488A-8B0B-2F54D3C1211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27" name="TextBox 788">
          <a:extLst>
            <a:ext uri="{FF2B5EF4-FFF2-40B4-BE49-F238E27FC236}">
              <a16:creationId xmlns:a16="http://schemas.microsoft.com/office/drawing/2014/main" id="{01E9FEB4-A3A2-443F-B56B-3B30B1B3137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28" name="TextBox 789">
          <a:extLst>
            <a:ext uri="{FF2B5EF4-FFF2-40B4-BE49-F238E27FC236}">
              <a16:creationId xmlns:a16="http://schemas.microsoft.com/office/drawing/2014/main" id="{669DC97C-BACF-46BA-B52C-674CD6B0017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29" name="TextBox 790">
          <a:extLst>
            <a:ext uri="{FF2B5EF4-FFF2-40B4-BE49-F238E27FC236}">
              <a16:creationId xmlns:a16="http://schemas.microsoft.com/office/drawing/2014/main" id="{C79E28EF-262F-4ACB-A6C0-F0A7FC20C546}"/>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30" name="TextBox 791">
          <a:extLst>
            <a:ext uri="{FF2B5EF4-FFF2-40B4-BE49-F238E27FC236}">
              <a16:creationId xmlns:a16="http://schemas.microsoft.com/office/drawing/2014/main" id="{99BC4BE7-A025-4848-8594-9C1794C864DF}"/>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31" name="TextBox 792">
          <a:extLst>
            <a:ext uri="{FF2B5EF4-FFF2-40B4-BE49-F238E27FC236}">
              <a16:creationId xmlns:a16="http://schemas.microsoft.com/office/drawing/2014/main" id="{85D1B196-425F-46F6-8CB7-079412BBBA5B}"/>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32" name="TextBox 2097">
          <a:extLst>
            <a:ext uri="{FF2B5EF4-FFF2-40B4-BE49-F238E27FC236}">
              <a16:creationId xmlns:a16="http://schemas.microsoft.com/office/drawing/2014/main" id="{6388EFB7-8B42-48E1-A386-782DD67B74C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33" name="TextBox 2098">
          <a:extLst>
            <a:ext uri="{FF2B5EF4-FFF2-40B4-BE49-F238E27FC236}">
              <a16:creationId xmlns:a16="http://schemas.microsoft.com/office/drawing/2014/main" id="{1E44811B-1FF1-4280-AF45-096E6D42693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34" name="TextBox 2099">
          <a:extLst>
            <a:ext uri="{FF2B5EF4-FFF2-40B4-BE49-F238E27FC236}">
              <a16:creationId xmlns:a16="http://schemas.microsoft.com/office/drawing/2014/main" id="{53FC08F0-9C8A-449C-96E7-45A3D3F29DC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35" name="TextBox 2100">
          <a:extLst>
            <a:ext uri="{FF2B5EF4-FFF2-40B4-BE49-F238E27FC236}">
              <a16:creationId xmlns:a16="http://schemas.microsoft.com/office/drawing/2014/main" id="{2AD43013-A848-4B9B-BBEA-583A828849C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36" name="TextBox 2101">
          <a:extLst>
            <a:ext uri="{FF2B5EF4-FFF2-40B4-BE49-F238E27FC236}">
              <a16:creationId xmlns:a16="http://schemas.microsoft.com/office/drawing/2014/main" id="{6CC09ACB-38EB-4CD3-AC0A-8EA8157C3A08}"/>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37" name="TextBox 2102">
          <a:extLst>
            <a:ext uri="{FF2B5EF4-FFF2-40B4-BE49-F238E27FC236}">
              <a16:creationId xmlns:a16="http://schemas.microsoft.com/office/drawing/2014/main" id="{4259EFF8-54FE-44FA-8A09-7443F9AA81D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38" name="TextBox 2103">
          <a:extLst>
            <a:ext uri="{FF2B5EF4-FFF2-40B4-BE49-F238E27FC236}">
              <a16:creationId xmlns:a16="http://schemas.microsoft.com/office/drawing/2014/main" id="{CB7034E4-564B-40A4-B67E-ECDB4755B553}"/>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39" name="TextBox 2104">
          <a:extLst>
            <a:ext uri="{FF2B5EF4-FFF2-40B4-BE49-F238E27FC236}">
              <a16:creationId xmlns:a16="http://schemas.microsoft.com/office/drawing/2014/main" id="{6B0B08E1-4CDE-487F-872F-1BF615AC7F13}"/>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40" name="TextBox 2105">
          <a:extLst>
            <a:ext uri="{FF2B5EF4-FFF2-40B4-BE49-F238E27FC236}">
              <a16:creationId xmlns:a16="http://schemas.microsoft.com/office/drawing/2014/main" id="{DF114A0D-6D2F-4A4B-8491-2EFAA3CA22AA}"/>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41" name="TextBox 783">
          <a:extLst>
            <a:ext uri="{FF2B5EF4-FFF2-40B4-BE49-F238E27FC236}">
              <a16:creationId xmlns:a16="http://schemas.microsoft.com/office/drawing/2014/main" id="{52A818CF-8758-4192-8231-566F08044B4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42" name="TextBox 784">
          <a:extLst>
            <a:ext uri="{FF2B5EF4-FFF2-40B4-BE49-F238E27FC236}">
              <a16:creationId xmlns:a16="http://schemas.microsoft.com/office/drawing/2014/main" id="{6131E16C-F588-4F2F-A8B5-3C14D763521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43" name="TextBox 785">
          <a:extLst>
            <a:ext uri="{FF2B5EF4-FFF2-40B4-BE49-F238E27FC236}">
              <a16:creationId xmlns:a16="http://schemas.microsoft.com/office/drawing/2014/main" id="{4A761BBD-4726-4D31-AA7C-88F6F15CB4C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44" name="TextBox 786">
          <a:extLst>
            <a:ext uri="{FF2B5EF4-FFF2-40B4-BE49-F238E27FC236}">
              <a16:creationId xmlns:a16="http://schemas.microsoft.com/office/drawing/2014/main" id="{F7AB2744-C5E3-46DC-A372-35671F96DA52}"/>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45" name="TextBox 787">
          <a:extLst>
            <a:ext uri="{FF2B5EF4-FFF2-40B4-BE49-F238E27FC236}">
              <a16:creationId xmlns:a16="http://schemas.microsoft.com/office/drawing/2014/main" id="{3BD88ABB-91E0-49A8-A019-E5BFC7D70C2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46" name="TextBox 788">
          <a:extLst>
            <a:ext uri="{FF2B5EF4-FFF2-40B4-BE49-F238E27FC236}">
              <a16:creationId xmlns:a16="http://schemas.microsoft.com/office/drawing/2014/main" id="{5D3C906F-3427-4D8A-BBEF-124B29F4BB2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47" name="TextBox 789">
          <a:extLst>
            <a:ext uri="{FF2B5EF4-FFF2-40B4-BE49-F238E27FC236}">
              <a16:creationId xmlns:a16="http://schemas.microsoft.com/office/drawing/2014/main" id="{5D640CD8-08A2-40F2-9EC2-A55ABC15FF0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48" name="TextBox 790">
          <a:extLst>
            <a:ext uri="{FF2B5EF4-FFF2-40B4-BE49-F238E27FC236}">
              <a16:creationId xmlns:a16="http://schemas.microsoft.com/office/drawing/2014/main" id="{90E94CEE-5624-4D24-A82B-9BAC6523182A}"/>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49" name="TextBox 791">
          <a:extLst>
            <a:ext uri="{FF2B5EF4-FFF2-40B4-BE49-F238E27FC236}">
              <a16:creationId xmlns:a16="http://schemas.microsoft.com/office/drawing/2014/main" id="{F1841421-18F0-4E35-9F09-E2A34379EFA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0" name="TextBox 2088">
          <a:extLst>
            <a:ext uri="{FF2B5EF4-FFF2-40B4-BE49-F238E27FC236}">
              <a16:creationId xmlns:a16="http://schemas.microsoft.com/office/drawing/2014/main" id="{87D6E347-5A26-444A-9123-1A117519DF1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1" name="TextBox 2089">
          <a:extLst>
            <a:ext uri="{FF2B5EF4-FFF2-40B4-BE49-F238E27FC236}">
              <a16:creationId xmlns:a16="http://schemas.microsoft.com/office/drawing/2014/main" id="{B684699A-466D-4A16-A165-9282F7F5666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2" name="TextBox 2090">
          <a:extLst>
            <a:ext uri="{FF2B5EF4-FFF2-40B4-BE49-F238E27FC236}">
              <a16:creationId xmlns:a16="http://schemas.microsoft.com/office/drawing/2014/main" id="{0C29C02E-64E4-405E-A0B8-173E4528909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3" name="TextBox 2091">
          <a:extLst>
            <a:ext uri="{FF2B5EF4-FFF2-40B4-BE49-F238E27FC236}">
              <a16:creationId xmlns:a16="http://schemas.microsoft.com/office/drawing/2014/main" id="{7D0C0EE8-A50A-441C-9191-F5467D154FE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4" name="TextBox 2092">
          <a:extLst>
            <a:ext uri="{FF2B5EF4-FFF2-40B4-BE49-F238E27FC236}">
              <a16:creationId xmlns:a16="http://schemas.microsoft.com/office/drawing/2014/main" id="{BFD3585B-3C97-489C-B604-265D1798533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5" name="TextBox 2093">
          <a:extLst>
            <a:ext uri="{FF2B5EF4-FFF2-40B4-BE49-F238E27FC236}">
              <a16:creationId xmlns:a16="http://schemas.microsoft.com/office/drawing/2014/main" id="{36888E42-921F-4F9D-9A98-A0B9D888E06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56" name="TextBox 2094">
          <a:extLst>
            <a:ext uri="{FF2B5EF4-FFF2-40B4-BE49-F238E27FC236}">
              <a16:creationId xmlns:a16="http://schemas.microsoft.com/office/drawing/2014/main" id="{25FA8EC2-F20C-49CB-BA03-AF47D4BE560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57" name="TextBox 2095">
          <a:extLst>
            <a:ext uri="{FF2B5EF4-FFF2-40B4-BE49-F238E27FC236}">
              <a16:creationId xmlns:a16="http://schemas.microsoft.com/office/drawing/2014/main" id="{E58DE844-A4B9-4DCA-AA4A-7AA25B5DD10A}"/>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58" name="TextBox 2096">
          <a:extLst>
            <a:ext uri="{FF2B5EF4-FFF2-40B4-BE49-F238E27FC236}">
              <a16:creationId xmlns:a16="http://schemas.microsoft.com/office/drawing/2014/main" id="{59F8BFA3-8C78-4125-875B-D866148FFEB7}"/>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59" name="TextBox 784">
          <a:extLst>
            <a:ext uri="{FF2B5EF4-FFF2-40B4-BE49-F238E27FC236}">
              <a16:creationId xmlns:a16="http://schemas.microsoft.com/office/drawing/2014/main" id="{2FA00A35-4D57-43A5-B3DC-B9B7C87EE2D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0" name="TextBox 785">
          <a:extLst>
            <a:ext uri="{FF2B5EF4-FFF2-40B4-BE49-F238E27FC236}">
              <a16:creationId xmlns:a16="http://schemas.microsoft.com/office/drawing/2014/main" id="{19BD179C-6CB8-4A08-B2E4-2FE7AAEAAA4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1" name="TextBox 786">
          <a:extLst>
            <a:ext uri="{FF2B5EF4-FFF2-40B4-BE49-F238E27FC236}">
              <a16:creationId xmlns:a16="http://schemas.microsoft.com/office/drawing/2014/main" id="{80A12EFF-2EE5-4F2C-8789-37349778F41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2" name="TextBox 787">
          <a:extLst>
            <a:ext uri="{FF2B5EF4-FFF2-40B4-BE49-F238E27FC236}">
              <a16:creationId xmlns:a16="http://schemas.microsoft.com/office/drawing/2014/main" id="{B8EDF508-9B75-48AB-8F57-416DF67B742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3" name="TextBox 788">
          <a:extLst>
            <a:ext uri="{FF2B5EF4-FFF2-40B4-BE49-F238E27FC236}">
              <a16:creationId xmlns:a16="http://schemas.microsoft.com/office/drawing/2014/main" id="{B2973A56-6756-441B-82EE-C77859E8983F}"/>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4" name="TextBox 789">
          <a:extLst>
            <a:ext uri="{FF2B5EF4-FFF2-40B4-BE49-F238E27FC236}">
              <a16:creationId xmlns:a16="http://schemas.microsoft.com/office/drawing/2014/main" id="{142277BD-AA81-4C43-A4B9-F5D808514D8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65" name="TextBox 790">
          <a:extLst>
            <a:ext uri="{FF2B5EF4-FFF2-40B4-BE49-F238E27FC236}">
              <a16:creationId xmlns:a16="http://schemas.microsoft.com/office/drawing/2014/main" id="{6A21E68A-7297-4718-BD93-7E5804358D6A}"/>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66" name="TextBox 791">
          <a:extLst>
            <a:ext uri="{FF2B5EF4-FFF2-40B4-BE49-F238E27FC236}">
              <a16:creationId xmlns:a16="http://schemas.microsoft.com/office/drawing/2014/main" id="{AC692749-20B4-4418-AFC8-8174D38A930C}"/>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67" name="TextBox 792">
          <a:extLst>
            <a:ext uri="{FF2B5EF4-FFF2-40B4-BE49-F238E27FC236}">
              <a16:creationId xmlns:a16="http://schemas.microsoft.com/office/drawing/2014/main" id="{F0F0808F-B52D-4718-9346-6039565EC8C0}"/>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8" name="TextBox 2097">
          <a:extLst>
            <a:ext uri="{FF2B5EF4-FFF2-40B4-BE49-F238E27FC236}">
              <a16:creationId xmlns:a16="http://schemas.microsoft.com/office/drawing/2014/main" id="{60B013F9-98EF-474C-A986-52032B6DD02A}"/>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69" name="TextBox 2098">
          <a:extLst>
            <a:ext uri="{FF2B5EF4-FFF2-40B4-BE49-F238E27FC236}">
              <a16:creationId xmlns:a16="http://schemas.microsoft.com/office/drawing/2014/main" id="{2A994EBF-329D-43FF-BCC4-9EF8DA876C8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0" name="TextBox 2099">
          <a:extLst>
            <a:ext uri="{FF2B5EF4-FFF2-40B4-BE49-F238E27FC236}">
              <a16:creationId xmlns:a16="http://schemas.microsoft.com/office/drawing/2014/main" id="{D95AAA15-0C03-43F1-9A18-D43B6DC53FFA}"/>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1" name="TextBox 2100">
          <a:extLst>
            <a:ext uri="{FF2B5EF4-FFF2-40B4-BE49-F238E27FC236}">
              <a16:creationId xmlns:a16="http://schemas.microsoft.com/office/drawing/2014/main" id="{75FD16BC-BFB0-4A92-91F6-47C2950F1FB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2" name="TextBox 2101">
          <a:extLst>
            <a:ext uri="{FF2B5EF4-FFF2-40B4-BE49-F238E27FC236}">
              <a16:creationId xmlns:a16="http://schemas.microsoft.com/office/drawing/2014/main" id="{F4D3F1D6-76C2-4D3A-AF96-EC32876E316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3" name="TextBox 2102">
          <a:extLst>
            <a:ext uri="{FF2B5EF4-FFF2-40B4-BE49-F238E27FC236}">
              <a16:creationId xmlns:a16="http://schemas.microsoft.com/office/drawing/2014/main" id="{6489E9ED-57CA-4980-BBD9-5F53B8273CAD}"/>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74" name="TextBox 2103">
          <a:extLst>
            <a:ext uri="{FF2B5EF4-FFF2-40B4-BE49-F238E27FC236}">
              <a16:creationId xmlns:a16="http://schemas.microsoft.com/office/drawing/2014/main" id="{40EBC28E-3019-4783-85F0-52481950B4B2}"/>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75" name="TextBox 2104">
          <a:extLst>
            <a:ext uri="{FF2B5EF4-FFF2-40B4-BE49-F238E27FC236}">
              <a16:creationId xmlns:a16="http://schemas.microsoft.com/office/drawing/2014/main" id="{2CB6EB2E-6402-432C-A858-C904E5DBB210}"/>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76" name="TextBox 2105">
          <a:extLst>
            <a:ext uri="{FF2B5EF4-FFF2-40B4-BE49-F238E27FC236}">
              <a16:creationId xmlns:a16="http://schemas.microsoft.com/office/drawing/2014/main" id="{67951668-60AB-4AC5-821E-7D7E79014B5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7" name="TextBox 783">
          <a:extLst>
            <a:ext uri="{FF2B5EF4-FFF2-40B4-BE49-F238E27FC236}">
              <a16:creationId xmlns:a16="http://schemas.microsoft.com/office/drawing/2014/main" id="{E3481949-76DC-42DA-8CC1-92E0B660F27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8" name="TextBox 784">
          <a:extLst>
            <a:ext uri="{FF2B5EF4-FFF2-40B4-BE49-F238E27FC236}">
              <a16:creationId xmlns:a16="http://schemas.microsoft.com/office/drawing/2014/main" id="{AD906012-CD60-4D86-ABDB-97FCEFCD03C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79" name="TextBox 785">
          <a:extLst>
            <a:ext uri="{FF2B5EF4-FFF2-40B4-BE49-F238E27FC236}">
              <a16:creationId xmlns:a16="http://schemas.microsoft.com/office/drawing/2014/main" id="{00592A72-F9D4-46D7-AC67-C5A0296E46F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0" name="TextBox 786">
          <a:extLst>
            <a:ext uri="{FF2B5EF4-FFF2-40B4-BE49-F238E27FC236}">
              <a16:creationId xmlns:a16="http://schemas.microsoft.com/office/drawing/2014/main" id="{26971E2A-2E7C-4133-92AC-1FF29EC1DB08}"/>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1" name="TextBox 787">
          <a:extLst>
            <a:ext uri="{FF2B5EF4-FFF2-40B4-BE49-F238E27FC236}">
              <a16:creationId xmlns:a16="http://schemas.microsoft.com/office/drawing/2014/main" id="{A609D27B-CEAF-44D5-A705-74B96A2CBDF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2" name="TextBox 788">
          <a:extLst>
            <a:ext uri="{FF2B5EF4-FFF2-40B4-BE49-F238E27FC236}">
              <a16:creationId xmlns:a16="http://schemas.microsoft.com/office/drawing/2014/main" id="{A4DABFB4-DEFF-42E8-8812-F615A91D6D8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83" name="TextBox 789">
          <a:extLst>
            <a:ext uri="{FF2B5EF4-FFF2-40B4-BE49-F238E27FC236}">
              <a16:creationId xmlns:a16="http://schemas.microsoft.com/office/drawing/2014/main" id="{BCC47B12-A8EC-4989-82FB-7D8EACDB82C5}"/>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84" name="TextBox 790">
          <a:extLst>
            <a:ext uri="{FF2B5EF4-FFF2-40B4-BE49-F238E27FC236}">
              <a16:creationId xmlns:a16="http://schemas.microsoft.com/office/drawing/2014/main" id="{E1A54A84-08F6-45C3-83F6-A9FD0FD29341}"/>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85" name="TextBox 791">
          <a:extLst>
            <a:ext uri="{FF2B5EF4-FFF2-40B4-BE49-F238E27FC236}">
              <a16:creationId xmlns:a16="http://schemas.microsoft.com/office/drawing/2014/main" id="{50FD4D46-2FFF-48B3-9F24-61BDA7BD637F}"/>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6" name="TextBox 2088">
          <a:extLst>
            <a:ext uri="{FF2B5EF4-FFF2-40B4-BE49-F238E27FC236}">
              <a16:creationId xmlns:a16="http://schemas.microsoft.com/office/drawing/2014/main" id="{9A1E3EB5-91F6-4718-BC2C-88A1BB11DF4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7" name="TextBox 2089">
          <a:extLst>
            <a:ext uri="{FF2B5EF4-FFF2-40B4-BE49-F238E27FC236}">
              <a16:creationId xmlns:a16="http://schemas.microsoft.com/office/drawing/2014/main" id="{B2B91C8F-C358-4D35-AC2D-BCF7958B67E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8" name="TextBox 2090">
          <a:extLst>
            <a:ext uri="{FF2B5EF4-FFF2-40B4-BE49-F238E27FC236}">
              <a16:creationId xmlns:a16="http://schemas.microsoft.com/office/drawing/2014/main" id="{40127CC9-AF22-4C9F-8CC0-EB1B9A895392}"/>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89" name="TextBox 2091">
          <a:extLst>
            <a:ext uri="{FF2B5EF4-FFF2-40B4-BE49-F238E27FC236}">
              <a16:creationId xmlns:a16="http://schemas.microsoft.com/office/drawing/2014/main" id="{3EE5E16E-ED17-4942-9A10-9BBC5FE9418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90" name="TextBox 2092">
          <a:extLst>
            <a:ext uri="{FF2B5EF4-FFF2-40B4-BE49-F238E27FC236}">
              <a16:creationId xmlns:a16="http://schemas.microsoft.com/office/drawing/2014/main" id="{1EE3C379-586C-4196-BA1A-F66E26B9EC6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391" name="TextBox 2093">
          <a:extLst>
            <a:ext uri="{FF2B5EF4-FFF2-40B4-BE49-F238E27FC236}">
              <a16:creationId xmlns:a16="http://schemas.microsoft.com/office/drawing/2014/main" id="{F4B7EC09-B358-472A-9541-13ACDC07E07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92" name="TextBox 2094">
          <a:extLst>
            <a:ext uri="{FF2B5EF4-FFF2-40B4-BE49-F238E27FC236}">
              <a16:creationId xmlns:a16="http://schemas.microsoft.com/office/drawing/2014/main" id="{7FAE8943-B8A8-4FF1-A57C-C5E658D01466}"/>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93" name="TextBox 2095">
          <a:extLst>
            <a:ext uri="{FF2B5EF4-FFF2-40B4-BE49-F238E27FC236}">
              <a16:creationId xmlns:a16="http://schemas.microsoft.com/office/drawing/2014/main" id="{65A1F9A9-EF9C-46A1-A1AD-EF46726BCAE1}"/>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394" name="TextBox 2096">
          <a:extLst>
            <a:ext uri="{FF2B5EF4-FFF2-40B4-BE49-F238E27FC236}">
              <a16:creationId xmlns:a16="http://schemas.microsoft.com/office/drawing/2014/main" id="{D42FA6CB-F590-43BC-9930-B0D7AA173CB3}"/>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184731" cy="274009"/>
    <xdr:sp macro="" textlink="">
      <xdr:nvSpPr>
        <xdr:cNvPr id="1395" name="TextBox 4">
          <a:extLst>
            <a:ext uri="{FF2B5EF4-FFF2-40B4-BE49-F238E27FC236}">
              <a16:creationId xmlns:a16="http://schemas.microsoft.com/office/drawing/2014/main" id="{FAC9C7BE-86B8-478E-9BF1-86A0D2C33E2E}"/>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396" name="TextBox 5">
          <a:extLst>
            <a:ext uri="{FF2B5EF4-FFF2-40B4-BE49-F238E27FC236}">
              <a16:creationId xmlns:a16="http://schemas.microsoft.com/office/drawing/2014/main" id="{8B35ED98-A4CC-4916-8CAD-7B8EE45BA8B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397" name="TextBox 6">
          <a:extLst>
            <a:ext uri="{FF2B5EF4-FFF2-40B4-BE49-F238E27FC236}">
              <a16:creationId xmlns:a16="http://schemas.microsoft.com/office/drawing/2014/main" id="{1F975A72-2BD8-4B65-A54D-F92C6864FA0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398" name="TextBox 108">
          <a:extLst>
            <a:ext uri="{FF2B5EF4-FFF2-40B4-BE49-F238E27FC236}">
              <a16:creationId xmlns:a16="http://schemas.microsoft.com/office/drawing/2014/main" id="{1941F7D6-AE29-475B-90F0-8B02B557358D}"/>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399" name="TextBox 109">
          <a:extLst>
            <a:ext uri="{FF2B5EF4-FFF2-40B4-BE49-F238E27FC236}">
              <a16:creationId xmlns:a16="http://schemas.microsoft.com/office/drawing/2014/main" id="{47EB4510-01C7-47C6-9F72-DC019C3C8B8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0" name="TextBox 110">
          <a:extLst>
            <a:ext uri="{FF2B5EF4-FFF2-40B4-BE49-F238E27FC236}">
              <a16:creationId xmlns:a16="http://schemas.microsoft.com/office/drawing/2014/main" id="{C28C776D-A64B-4CE3-8D56-91594F9AA97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1" name="TextBox 4">
          <a:extLst>
            <a:ext uri="{FF2B5EF4-FFF2-40B4-BE49-F238E27FC236}">
              <a16:creationId xmlns:a16="http://schemas.microsoft.com/office/drawing/2014/main" id="{8608B60C-A81F-4A0A-9F28-2F10D30B43E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2" name="TextBox 5">
          <a:extLst>
            <a:ext uri="{FF2B5EF4-FFF2-40B4-BE49-F238E27FC236}">
              <a16:creationId xmlns:a16="http://schemas.microsoft.com/office/drawing/2014/main" id="{02414C54-4832-4C5F-A1F9-AF9F0E2359A7}"/>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3" name="TextBox 6">
          <a:extLst>
            <a:ext uri="{FF2B5EF4-FFF2-40B4-BE49-F238E27FC236}">
              <a16:creationId xmlns:a16="http://schemas.microsoft.com/office/drawing/2014/main" id="{F9CBC058-0C9C-4CDF-8E80-6418C3BC715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4" name="TextBox 4">
          <a:extLst>
            <a:ext uri="{FF2B5EF4-FFF2-40B4-BE49-F238E27FC236}">
              <a16:creationId xmlns:a16="http://schemas.microsoft.com/office/drawing/2014/main" id="{847893F0-F079-46C8-AA48-8EC764ACC2B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5" name="TextBox 5">
          <a:extLst>
            <a:ext uri="{FF2B5EF4-FFF2-40B4-BE49-F238E27FC236}">
              <a16:creationId xmlns:a16="http://schemas.microsoft.com/office/drawing/2014/main" id="{998992F3-82C3-4141-8A67-841E52C8675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6" name="TextBox 6">
          <a:extLst>
            <a:ext uri="{FF2B5EF4-FFF2-40B4-BE49-F238E27FC236}">
              <a16:creationId xmlns:a16="http://schemas.microsoft.com/office/drawing/2014/main" id="{F8A6BD9F-64C9-48B1-975D-83002391354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7" name="TextBox 4">
          <a:extLst>
            <a:ext uri="{FF2B5EF4-FFF2-40B4-BE49-F238E27FC236}">
              <a16:creationId xmlns:a16="http://schemas.microsoft.com/office/drawing/2014/main" id="{937DACB1-3C04-4871-A649-ADCBE570ACE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8" name="TextBox 5">
          <a:extLst>
            <a:ext uri="{FF2B5EF4-FFF2-40B4-BE49-F238E27FC236}">
              <a16:creationId xmlns:a16="http://schemas.microsoft.com/office/drawing/2014/main" id="{C160F766-7005-4036-9FA9-13AB6DE9ADC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09" name="TextBox 6">
          <a:extLst>
            <a:ext uri="{FF2B5EF4-FFF2-40B4-BE49-F238E27FC236}">
              <a16:creationId xmlns:a16="http://schemas.microsoft.com/office/drawing/2014/main" id="{4238D6FB-5397-4B7D-B639-C82288C5032D}"/>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0" name="TextBox 4">
          <a:extLst>
            <a:ext uri="{FF2B5EF4-FFF2-40B4-BE49-F238E27FC236}">
              <a16:creationId xmlns:a16="http://schemas.microsoft.com/office/drawing/2014/main" id="{56045E54-D7FF-42D8-9CE5-D744638BBED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1" name="TextBox 5">
          <a:extLst>
            <a:ext uri="{FF2B5EF4-FFF2-40B4-BE49-F238E27FC236}">
              <a16:creationId xmlns:a16="http://schemas.microsoft.com/office/drawing/2014/main" id="{7830C7F8-CFD5-463E-B4C9-1F167182C65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2" name="TextBox 6">
          <a:extLst>
            <a:ext uri="{FF2B5EF4-FFF2-40B4-BE49-F238E27FC236}">
              <a16:creationId xmlns:a16="http://schemas.microsoft.com/office/drawing/2014/main" id="{D0F1B879-6820-47CD-83A2-508B8DAFF4A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413" name="TextBox 4">
          <a:extLst>
            <a:ext uri="{FF2B5EF4-FFF2-40B4-BE49-F238E27FC236}">
              <a16:creationId xmlns:a16="http://schemas.microsoft.com/office/drawing/2014/main" id="{DCA78436-85FB-4BA3-AA02-A4EE16F5422D}"/>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414" name="TextBox 5">
          <a:extLst>
            <a:ext uri="{FF2B5EF4-FFF2-40B4-BE49-F238E27FC236}">
              <a16:creationId xmlns:a16="http://schemas.microsoft.com/office/drawing/2014/main" id="{6F62F76C-A2A7-44DE-B3F5-88FE432D0A17}"/>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415" name="TextBox 6">
          <a:extLst>
            <a:ext uri="{FF2B5EF4-FFF2-40B4-BE49-F238E27FC236}">
              <a16:creationId xmlns:a16="http://schemas.microsoft.com/office/drawing/2014/main" id="{54A46E3A-0A2A-44DD-845C-028D07B9C15C}"/>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6" name="TextBox 4">
          <a:extLst>
            <a:ext uri="{FF2B5EF4-FFF2-40B4-BE49-F238E27FC236}">
              <a16:creationId xmlns:a16="http://schemas.microsoft.com/office/drawing/2014/main" id="{19BF5B50-FB63-4733-BFBB-7C74DBCE943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7" name="TextBox 5">
          <a:extLst>
            <a:ext uri="{FF2B5EF4-FFF2-40B4-BE49-F238E27FC236}">
              <a16:creationId xmlns:a16="http://schemas.microsoft.com/office/drawing/2014/main" id="{6760B8F0-41D8-446D-A317-5E3A857BCFC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8" name="TextBox 6">
          <a:extLst>
            <a:ext uri="{FF2B5EF4-FFF2-40B4-BE49-F238E27FC236}">
              <a16:creationId xmlns:a16="http://schemas.microsoft.com/office/drawing/2014/main" id="{31307204-B630-4DDF-A08C-DB2257D4EC97}"/>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19" name="TextBox 4">
          <a:extLst>
            <a:ext uri="{FF2B5EF4-FFF2-40B4-BE49-F238E27FC236}">
              <a16:creationId xmlns:a16="http://schemas.microsoft.com/office/drawing/2014/main" id="{973E47ED-6D9D-481B-9B68-46ED38C1C84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20" name="TextBox 5">
          <a:extLst>
            <a:ext uri="{FF2B5EF4-FFF2-40B4-BE49-F238E27FC236}">
              <a16:creationId xmlns:a16="http://schemas.microsoft.com/office/drawing/2014/main" id="{8F3D2029-9E3B-4207-932E-A40D48BFFEAE}"/>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21" name="TextBox 6">
          <a:extLst>
            <a:ext uri="{FF2B5EF4-FFF2-40B4-BE49-F238E27FC236}">
              <a16:creationId xmlns:a16="http://schemas.microsoft.com/office/drawing/2014/main" id="{8E8E4D68-40C5-4F81-A4B2-A9C0CE439BB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2" name="TextBox 4">
          <a:extLst>
            <a:ext uri="{FF2B5EF4-FFF2-40B4-BE49-F238E27FC236}">
              <a16:creationId xmlns:a16="http://schemas.microsoft.com/office/drawing/2014/main" id="{C2724B6E-402C-43DF-B531-854F54FE4D53}"/>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3" name="TextBox 5">
          <a:extLst>
            <a:ext uri="{FF2B5EF4-FFF2-40B4-BE49-F238E27FC236}">
              <a16:creationId xmlns:a16="http://schemas.microsoft.com/office/drawing/2014/main" id="{53995DB5-C443-4225-B168-94C25872C10F}"/>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4" name="TextBox 6">
          <a:extLst>
            <a:ext uri="{FF2B5EF4-FFF2-40B4-BE49-F238E27FC236}">
              <a16:creationId xmlns:a16="http://schemas.microsoft.com/office/drawing/2014/main" id="{286F09D4-3337-4947-9557-17CD5F626952}"/>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5" name="TextBox 4">
          <a:extLst>
            <a:ext uri="{FF2B5EF4-FFF2-40B4-BE49-F238E27FC236}">
              <a16:creationId xmlns:a16="http://schemas.microsoft.com/office/drawing/2014/main" id="{1FBC0A39-6E09-48FA-912E-888E3E4C4053}"/>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6" name="TextBox 5">
          <a:extLst>
            <a:ext uri="{FF2B5EF4-FFF2-40B4-BE49-F238E27FC236}">
              <a16:creationId xmlns:a16="http://schemas.microsoft.com/office/drawing/2014/main" id="{51D18508-D014-44D3-8734-ADA4060F9A38}"/>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7" name="TextBox 6">
          <a:extLst>
            <a:ext uri="{FF2B5EF4-FFF2-40B4-BE49-F238E27FC236}">
              <a16:creationId xmlns:a16="http://schemas.microsoft.com/office/drawing/2014/main" id="{B5068362-B25E-4160-BD14-16C5226C1ED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8" name="TextBox 4">
          <a:extLst>
            <a:ext uri="{FF2B5EF4-FFF2-40B4-BE49-F238E27FC236}">
              <a16:creationId xmlns:a16="http://schemas.microsoft.com/office/drawing/2014/main" id="{10F87E71-6B5D-4676-838A-7BA07B28D03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29" name="TextBox 5">
          <a:extLst>
            <a:ext uri="{FF2B5EF4-FFF2-40B4-BE49-F238E27FC236}">
              <a16:creationId xmlns:a16="http://schemas.microsoft.com/office/drawing/2014/main" id="{7D627755-0F6C-4F85-A671-94E6AD6E8439}"/>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0" name="TextBox 6">
          <a:extLst>
            <a:ext uri="{FF2B5EF4-FFF2-40B4-BE49-F238E27FC236}">
              <a16:creationId xmlns:a16="http://schemas.microsoft.com/office/drawing/2014/main" id="{4FFB5689-014E-4BC6-813F-53D945C4787E}"/>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1" name="TextBox 4">
          <a:extLst>
            <a:ext uri="{FF2B5EF4-FFF2-40B4-BE49-F238E27FC236}">
              <a16:creationId xmlns:a16="http://schemas.microsoft.com/office/drawing/2014/main" id="{A96410FB-91B3-408F-B289-43929FBC802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2" name="TextBox 5">
          <a:extLst>
            <a:ext uri="{FF2B5EF4-FFF2-40B4-BE49-F238E27FC236}">
              <a16:creationId xmlns:a16="http://schemas.microsoft.com/office/drawing/2014/main" id="{DE00C669-9D7A-441A-8180-6BC6CD204D76}"/>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3" name="TextBox 6">
          <a:extLst>
            <a:ext uri="{FF2B5EF4-FFF2-40B4-BE49-F238E27FC236}">
              <a16:creationId xmlns:a16="http://schemas.microsoft.com/office/drawing/2014/main" id="{865C66DB-75B9-4DF0-8806-9A98B4C064E1}"/>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4" name="TextBox 4">
          <a:extLst>
            <a:ext uri="{FF2B5EF4-FFF2-40B4-BE49-F238E27FC236}">
              <a16:creationId xmlns:a16="http://schemas.microsoft.com/office/drawing/2014/main" id="{9C095B5E-E9C3-443E-BAA6-C00BC122AF81}"/>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5" name="TextBox 5">
          <a:extLst>
            <a:ext uri="{FF2B5EF4-FFF2-40B4-BE49-F238E27FC236}">
              <a16:creationId xmlns:a16="http://schemas.microsoft.com/office/drawing/2014/main" id="{DF5612CF-56DB-453A-BF2C-B303D70A430F}"/>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6" name="TextBox 6">
          <a:extLst>
            <a:ext uri="{FF2B5EF4-FFF2-40B4-BE49-F238E27FC236}">
              <a16:creationId xmlns:a16="http://schemas.microsoft.com/office/drawing/2014/main" id="{F17D4449-B601-49BA-8CB8-403BD4E621F6}"/>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7" name="TextBox 4">
          <a:extLst>
            <a:ext uri="{FF2B5EF4-FFF2-40B4-BE49-F238E27FC236}">
              <a16:creationId xmlns:a16="http://schemas.microsoft.com/office/drawing/2014/main" id="{F3A50FDC-C780-480A-A58E-A287BBC47745}"/>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8" name="TextBox 5">
          <a:extLst>
            <a:ext uri="{FF2B5EF4-FFF2-40B4-BE49-F238E27FC236}">
              <a16:creationId xmlns:a16="http://schemas.microsoft.com/office/drawing/2014/main" id="{F92D71B4-B0CE-4549-B56D-877723CB14E1}"/>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39" name="TextBox 6">
          <a:extLst>
            <a:ext uri="{FF2B5EF4-FFF2-40B4-BE49-F238E27FC236}">
              <a16:creationId xmlns:a16="http://schemas.microsoft.com/office/drawing/2014/main" id="{850EB31B-A4CA-4F51-A2C6-A3DB95C0DFC4}"/>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0" name="TextBox 4">
          <a:extLst>
            <a:ext uri="{FF2B5EF4-FFF2-40B4-BE49-F238E27FC236}">
              <a16:creationId xmlns:a16="http://schemas.microsoft.com/office/drawing/2014/main" id="{03C7ACC9-03D9-48A4-B371-2810F0DE140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1" name="TextBox 5">
          <a:extLst>
            <a:ext uri="{FF2B5EF4-FFF2-40B4-BE49-F238E27FC236}">
              <a16:creationId xmlns:a16="http://schemas.microsoft.com/office/drawing/2014/main" id="{D5D2C73D-F7B6-486A-A1B0-1079FA803AAD}"/>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2" name="TextBox 6">
          <a:extLst>
            <a:ext uri="{FF2B5EF4-FFF2-40B4-BE49-F238E27FC236}">
              <a16:creationId xmlns:a16="http://schemas.microsoft.com/office/drawing/2014/main" id="{669DF024-1C17-45FD-9978-E4FE2535A7B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3" name="TextBox 4">
          <a:extLst>
            <a:ext uri="{FF2B5EF4-FFF2-40B4-BE49-F238E27FC236}">
              <a16:creationId xmlns:a16="http://schemas.microsoft.com/office/drawing/2014/main" id="{6EBDC5D5-3CF3-45A7-ADA6-32A7AA2ECCD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4" name="TextBox 5">
          <a:extLst>
            <a:ext uri="{FF2B5EF4-FFF2-40B4-BE49-F238E27FC236}">
              <a16:creationId xmlns:a16="http://schemas.microsoft.com/office/drawing/2014/main" id="{1A84F439-B02A-4F98-8AB2-8C716A4F6DB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5" name="TextBox 6">
          <a:extLst>
            <a:ext uri="{FF2B5EF4-FFF2-40B4-BE49-F238E27FC236}">
              <a16:creationId xmlns:a16="http://schemas.microsoft.com/office/drawing/2014/main" id="{7AFC3CA5-57B8-4F4A-A06B-4365EBD6986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6" name="TextBox 156">
          <a:extLst>
            <a:ext uri="{FF2B5EF4-FFF2-40B4-BE49-F238E27FC236}">
              <a16:creationId xmlns:a16="http://schemas.microsoft.com/office/drawing/2014/main" id="{B5CB04BA-26F2-4EE9-8A19-4C1FE16ADEB4}"/>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7" name="TextBox 157">
          <a:extLst>
            <a:ext uri="{FF2B5EF4-FFF2-40B4-BE49-F238E27FC236}">
              <a16:creationId xmlns:a16="http://schemas.microsoft.com/office/drawing/2014/main" id="{BE40C682-6F2A-4136-A3DF-1807890C612D}"/>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8" name="TextBox 158">
          <a:extLst>
            <a:ext uri="{FF2B5EF4-FFF2-40B4-BE49-F238E27FC236}">
              <a16:creationId xmlns:a16="http://schemas.microsoft.com/office/drawing/2014/main" id="{A3F2A6D9-321E-4BE9-91D9-3D12274A93D9}"/>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49" name="TextBox 4">
          <a:extLst>
            <a:ext uri="{FF2B5EF4-FFF2-40B4-BE49-F238E27FC236}">
              <a16:creationId xmlns:a16="http://schemas.microsoft.com/office/drawing/2014/main" id="{81BA0D1C-1CEE-43B1-B536-2CB640B3E28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0" name="TextBox 5">
          <a:extLst>
            <a:ext uri="{FF2B5EF4-FFF2-40B4-BE49-F238E27FC236}">
              <a16:creationId xmlns:a16="http://schemas.microsoft.com/office/drawing/2014/main" id="{F00D7298-13B8-4635-8C9A-E474352C76E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1" name="TextBox 6">
          <a:extLst>
            <a:ext uri="{FF2B5EF4-FFF2-40B4-BE49-F238E27FC236}">
              <a16:creationId xmlns:a16="http://schemas.microsoft.com/office/drawing/2014/main" id="{389781CF-2C4E-4D13-B55C-84C11859C8C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2" name="TextBox 4">
          <a:extLst>
            <a:ext uri="{FF2B5EF4-FFF2-40B4-BE49-F238E27FC236}">
              <a16:creationId xmlns:a16="http://schemas.microsoft.com/office/drawing/2014/main" id="{1180BE7C-7F63-41F7-B182-1BAA8D2CCE7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3" name="TextBox 5">
          <a:extLst>
            <a:ext uri="{FF2B5EF4-FFF2-40B4-BE49-F238E27FC236}">
              <a16:creationId xmlns:a16="http://schemas.microsoft.com/office/drawing/2014/main" id="{4ED1E49D-9CF0-4345-A98A-6D64E121248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4" name="TextBox 6">
          <a:extLst>
            <a:ext uri="{FF2B5EF4-FFF2-40B4-BE49-F238E27FC236}">
              <a16:creationId xmlns:a16="http://schemas.microsoft.com/office/drawing/2014/main" id="{CA5520A6-AABF-4665-9CB9-B490B1B71AF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5" name="TextBox 4">
          <a:extLst>
            <a:ext uri="{FF2B5EF4-FFF2-40B4-BE49-F238E27FC236}">
              <a16:creationId xmlns:a16="http://schemas.microsoft.com/office/drawing/2014/main" id="{CE4F8616-840F-4AF3-A89C-9624D10AE2EE}"/>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6" name="TextBox 5">
          <a:extLst>
            <a:ext uri="{FF2B5EF4-FFF2-40B4-BE49-F238E27FC236}">
              <a16:creationId xmlns:a16="http://schemas.microsoft.com/office/drawing/2014/main" id="{FB132CF2-931F-4589-9996-0C17061C75F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7" name="TextBox 6">
          <a:extLst>
            <a:ext uri="{FF2B5EF4-FFF2-40B4-BE49-F238E27FC236}">
              <a16:creationId xmlns:a16="http://schemas.microsoft.com/office/drawing/2014/main" id="{7DB47BB6-EA1D-4E34-AD3E-790241ED5763}"/>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8" name="TextBox 4">
          <a:extLst>
            <a:ext uri="{FF2B5EF4-FFF2-40B4-BE49-F238E27FC236}">
              <a16:creationId xmlns:a16="http://schemas.microsoft.com/office/drawing/2014/main" id="{C5C6A550-F82E-49D6-ADD8-5F29FB35BF4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59" name="TextBox 5">
          <a:extLst>
            <a:ext uri="{FF2B5EF4-FFF2-40B4-BE49-F238E27FC236}">
              <a16:creationId xmlns:a16="http://schemas.microsoft.com/office/drawing/2014/main" id="{1BC80BA0-556E-4D10-B6A6-F614FEDE357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0" name="TextBox 6">
          <a:extLst>
            <a:ext uri="{FF2B5EF4-FFF2-40B4-BE49-F238E27FC236}">
              <a16:creationId xmlns:a16="http://schemas.microsoft.com/office/drawing/2014/main" id="{E0D74273-979E-43A9-8CC8-90202A5E6CA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461" name="TextBox 4">
          <a:extLst>
            <a:ext uri="{FF2B5EF4-FFF2-40B4-BE49-F238E27FC236}">
              <a16:creationId xmlns:a16="http://schemas.microsoft.com/office/drawing/2014/main" id="{4A176185-14DD-4BE9-914A-9386CE5F9EA4}"/>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462" name="TextBox 5">
          <a:extLst>
            <a:ext uri="{FF2B5EF4-FFF2-40B4-BE49-F238E27FC236}">
              <a16:creationId xmlns:a16="http://schemas.microsoft.com/office/drawing/2014/main" id="{52DCB512-33D3-4A11-B662-D83BC4F04453}"/>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463" name="TextBox 6">
          <a:extLst>
            <a:ext uri="{FF2B5EF4-FFF2-40B4-BE49-F238E27FC236}">
              <a16:creationId xmlns:a16="http://schemas.microsoft.com/office/drawing/2014/main" id="{7A86B84D-8B72-4697-8EFD-7BA3DF0A6F2A}"/>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4" name="TextBox 4">
          <a:extLst>
            <a:ext uri="{FF2B5EF4-FFF2-40B4-BE49-F238E27FC236}">
              <a16:creationId xmlns:a16="http://schemas.microsoft.com/office/drawing/2014/main" id="{3ABC890C-5291-435C-BD42-CF45C839515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5" name="TextBox 5">
          <a:extLst>
            <a:ext uri="{FF2B5EF4-FFF2-40B4-BE49-F238E27FC236}">
              <a16:creationId xmlns:a16="http://schemas.microsoft.com/office/drawing/2014/main" id="{93F0BEA1-3B0D-4241-B4DA-3851EDA6E8C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6" name="TextBox 6">
          <a:extLst>
            <a:ext uri="{FF2B5EF4-FFF2-40B4-BE49-F238E27FC236}">
              <a16:creationId xmlns:a16="http://schemas.microsoft.com/office/drawing/2014/main" id="{7C32E706-5D4D-431A-843E-A726C98B388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7" name="TextBox 4">
          <a:extLst>
            <a:ext uri="{FF2B5EF4-FFF2-40B4-BE49-F238E27FC236}">
              <a16:creationId xmlns:a16="http://schemas.microsoft.com/office/drawing/2014/main" id="{652C2AED-7C61-4B57-94F8-AFF4676570A9}"/>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8" name="TextBox 5">
          <a:extLst>
            <a:ext uri="{FF2B5EF4-FFF2-40B4-BE49-F238E27FC236}">
              <a16:creationId xmlns:a16="http://schemas.microsoft.com/office/drawing/2014/main" id="{DFF75699-5FBC-4B85-9B6C-DED342287B1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69" name="TextBox 6">
          <a:extLst>
            <a:ext uri="{FF2B5EF4-FFF2-40B4-BE49-F238E27FC236}">
              <a16:creationId xmlns:a16="http://schemas.microsoft.com/office/drawing/2014/main" id="{C1AA9FEB-A450-4B63-8B35-C6A34FC504D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0" name="TextBox 4">
          <a:extLst>
            <a:ext uri="{FF2B5EF4-FFF2-40B4-BE49-F238E27FC236}">
              <a16:creationId xmlns:a16="http://schemas.microsoft.com/office/drawing/2014/main" id="{ACCD2A19-F028-4769-A261-696FB194423F}"/>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1" name="TextBox 5">
          <a:extLst>
            <a:ext uri="{FF2B5EF4-FFF2-40B4-BE49-F238E27FC236}">
              <a16:creationId xmlns:a16="http://schemas.microsoft.com/office/drawing/2014/main" id="{BE3CBF60-8398-40E2-AB93-4443E5B37169}"/>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2" name="TextBox 6">
          <a:extLst>
            <a:ext uri="{FF2B5EF4-FFF2-40B4-BE49-F238E27FC236}">
              <a16:creationId xmlns:a16="http://schemas.microsoft.com/office/drawing/2014/main" id="{9BB41BB0-4D27-4797-958A-B3E50296EAB6}"/>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3" name="TextBox 4">
          <a:extLst>
            <a:ext uri="{FF2B5EF4-FFF2-40B4-BE49-F238E27FC236}">
              <a16:creationId xmlns:a16="http://schemas.microsoft.com/office/drawing/2014/main" id="{697EDECD-0323-4628-920A-444BA0E1F8EE}"/>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4" name="TextBox 5">
          <a:extLst>
            <a:ext uri="{FF2B5EF4-FFF2-40B4-BE49-F238E27FC236}">
              <a16:creationId xmlns:a16="http://schemas.microsoft.com/office/drawing/2014/main" id="{ED18F29E-9E44-4C35-9800-C00F244C0EEF}"/>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5" name="TextBox 6">
          <a:extLst>
            <a:ext uri="{FF2B5EF4-FFF2-40B4-BE49-F238E27FC236}">
              <a16:creationId xmlns:a16="http://schemas.microsoft.com/office/drawing/2014/main" id="{AC1FF4A0-C831-4945-9F1D-FADC4C85E68B}"/>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6" name="TextBox 4">
          <a:extLst>
            <a:ext uri="{FF2B5EF4-FFF2-40B4-BE49-F238E27FC236}">
              <a16:creationId xmlns:a16="http://schemas.microsoft.com/office/drawing/2014/main" id="{DD8495BA-F791-4EF0-874A-4EBBE2986F3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7" name="TextBox 5">
          <a:extLst>
            <a:ext uri="{FF2B5EF4-FFF2-40B4-BE49-F238E27FC236}">
              <a16:creationId xmlns:a16="http://schemas.microsoft.com/office/drawing/2014/main" id="{AC3EB10F-184C-492B-A22F-53C6C44C359F}"/>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8" name="TextBox 6">
          <a:extLst>
            <a:ext uri="{FF2B5EF4-FFF2-40B4-BE49-F238E27FC236}">
              <a16:creationId xmlns:a16="http://schemas.microsoft.com/office/drawing/2014/main" id="{D3F4F7E9-2EEF-4CD6-A236-8163ACAA2F76}"/>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79" name="TextBox 4">
          <a:extLst>
            <a:ext uri="{FF2B5EF4-FFF2-40B4-BE49-F238E27FC236}">
              <a16:creationId xmlns:a16="http://schemas.microsoft.com/office/drawing/2014/main" id="{B3498C7B-9D2C-4D3B-8195-7DC1E140D7E3}"/>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0" name="TextBox 5">
          <a:extLst>
            <a:ext uri="{FF2B5EF4-FFF2-40B4-BE49-F238E27FC236}">
              <a16:creationId xmlns:a16="http://schemas.microsoft.com/office/drawing/2014/main" id="{C8590E90-21E5-4D16-94A0-517876591C15}"/>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1" name="TextBox 6">
          <a:extLst>
            <a:ext uri="{FF2B5EF4-FFF2-40B4-BE49-F238E27FC236}">
              <a16:creationId xmlns:a16="http://schemas.microsoft.com/office/drawing/2014/main" id="{E713A284-3235-41BB-A1A0-86878544F0A9}"/>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2" name="TextBox 4">
          <a:extLst>
            <a:ext uri="{FF2B5EF4-FFF2-40B4-BE49-F238E27FC236}">
              <a16:creationId xmlns:a16="http://schemas.microsoft.com/office/drawing/2014/main" id="{639B6955-0F19-4C26-AD8A-6937C78DD336}"/>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3" name="TextBox 5">
          <a:extLst>
            <a:ext uri="{FF2B5EF4-FFF2-40B4-BE49-F238E27FC236}">
              <a16:creationId xmlns:a16="http://schemas.microsoft.com/office/drawing/2014/main" id="{35D28456-68C6-4D57-ACB8-B38C9A736663}"/>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4" name="TextBox 6">
          <a:extLst>
            <a:ext uri="{FF2B5EF4-FFF2-40B4-BE49-F238E27FC236}">
              <a16:creationId xmlns:a16="http://schemas.microsoft.com/office/drawing/2014/main" id="{BC21F7AB-25A4-46A7-8688-8EBFFB863868}"/>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5" name="TextBox 4">
          <a:extLst>
            <a:ext uri="{FF2B5EF4-FFF2-40B4-BE49-F238E27FC236}">
              <a16:creationId xmlns:a16="http://schemas.microsoft.com/office/drawing/2014/main" id="{ACED2FBC-BC54-4F7B-A79A-77F520F0926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6" name="TextBox 5">
          <a:extLst>
            <a:ext uri="{FF2B5EF4-FFF2-40B4-BE49-F238E27FC236}">
              <a16:creationId xmlns:a16="http://schemas.microsoft.com/office/drawing/2014/main" id="{5B5A8A9B-23CC-41B0-8FA5-8838B7625073}"/>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487" name="TextBox 6">
          <a:extLst>
            <a:ext uri="{FF2B5EF4-FFF2-40B4-BE49-F238E27FC236}">
              <a16:creationId xmlns:a16="http://schemas.microsoft.com/office/drawing/2014/main" id="{59B03496-DE18-4695-850E-C40E2A709EAC}"/>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88" name="TextBox 4">
          <a:extLst>
            <a:ext uri="{FF2B5EF4-FFF2-40B4-BE49-F238E27FC236}">
              <a16:creationId xmlns:a16="http://schemas.microsoft.com/office/drawing/2014/main" id="{199AD60F-9BEA-44E0-B696-6695DCA89E0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89" name="TextBox 5">
          <a:extLst>
            <a:ext uri="{FF2B5EF4-FFF2-40B4-BE49-F238E27FC236}">
              <a16:creationId xmlns:a16="http://schemas.microsoft.com/office/drawing/2014/main" id="{B7CB83AC-FBDC-4BA3-8A56-37745E7610C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490" name="TextBox 6">
          <a:extLst>
            <a:ext uri="{FF2B5EF4-FFF2-40B4-BE49-F238E27FC236}">
              <a16:creationId xmlns:a16="http://schemas.microsoft.com/office/drawing/2014/main" id="{B7F6D3CF-5A97-4AA0-9789-897A0D6B3F0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923978" cy="311803"/>
    <xdr:sp macro="" textlink="">
      <xdr:nvSpPr>
        <xdr:cNvPr id="1491" name="TextBox 784">
          <a:extLst>
            <a:ext uri="{FF2B5EF4-FFF2-40B4-BE49-F238E27FC236}">
              <a16:creationId xmlns:a16="http://schemas.microsoft.com/office/drawing/2014/main" id="{AD688CFF-4A10-41A4-BE3F-CD5238D20CA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492" name="TextBox 785">
          <a:extLst>
            <a:ext uri="{FF2B5EF4-FFF2-40B4-BE49-F238E27FC236}">
              <a16:creationId xmlns:a16="http://schemas.microsoft.com/office/drawing/2014/main" id="{18F48EFD-FDE9-4640-8B15-46A19174E09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493" name="TextBox 786">
          <a:extLst>
            <a:ext uri="{FF2B5EF4-FFF2-40B4-BE49-F238E27FC236}">
              <a16:creationId xmlns:a16="http://schemas.microsoft.com/office/drawing/2014/main" id="{6F48505E-01C2-4CD2-96C4-5D788CA1FB8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494" name="TextBox 787">
          <a:extLst>
            <a:ext uri="{FF2B5EF4-FFF2-40B4-BE49-F238E27FC236}">
              <a16:creationId xmlns:a16="http://schemas.microsoft.com/office/drawing/2014/main" id="{09688614-6BD6-4D52-8DE4-52615F04A24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495" name="TextBox 788">
          <a:extLst>
            <a:ext uri="{FF2B5EF4-FFF2-40B4-BE49-F238E27FC236}">
              <a16:creationId xmlns:a16="http://schemas.microsoft.com/office/drawing/2014/main" id="{27664796-089A-4195-8D99-6F814B7187C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496" name="TextBox 789">
          <a:extLst>
            <a:ext uri="{FF2B5EF4-FFF2-40B4-BE49-F238E27FC236}">
              <a16:creationId xmlns:a16="http://schemas.microsoft.com/office/drawing/2014/main" id="{044532C0-9AC1-4E28-AF3F-444D08E88C5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497" name="TextBox 790">
          <a:extLst>
            <a:ext uri="{FF2B5EF4-FFF2-40B4-BE49-F238E27FC236}">
              <a16:creationId xmlns:a16="http://schemas.microsoft.com/office/drawing/2014/main" id="{BA9FEB36-BB0D-4AD0-9F2E-2CE149B5337D}"/>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498" name="TextBox 791">
          <a:extLst>
            <a:ext uri="{FF2B5EF4-FFF2-40B4-BE49-F238E27FC236}">
              <a16:creationId xmlns:a16="http://schemas.microsoft.com/office/drawing/2014/main" id="{2026E6E2-01C2-4B16-8F51-6C73B3DE9789}"/>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499" name="TextBox 792">
          <a:extLst>
            <a:ext uri="{FF2B5EF4-FFF2-40B4-BE49-F238E27FC236}">
              <a16:creationId xmlns:a16="http://schemas.microsoft.com/office/drawing/2014/main" id="{432CA3EF-9F9A-4B76-92EE-4283A196DDDE}"/>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0" name="TextBox 2097">
          <a:extLst>
            <a:ext uri="{FF2B5EF4-FFF2-40B4-BE49-F238E27FC236}">
              <a16:creationId xmlns:a16="http://schemas.microsoft.com/office/drawing/2014/main" id="{36C3456D-1C20-49F2-B31C-AC8FB81B760F}"/>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1" name="TextBox 2098">
          <a:extLst>
            <a:ext uri="{FF2B5EF4-FFF2-40B4-BE49-F238E27FC236}">
              <a16:creationId xmlns:a16="http://schemas.microsoft.com/office/drawing/2014/main" id="{A31657D3-3F56-49EF-8D30-B84A327C7EE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2" name="TextBox 2099">
          <a:extLst>
            <a:ext uri="{FF2B5EF4-FFF2-40B4-BE49-F238E27FC236}">
              <a16:creationId xmlns:a16="http://schemas.microsoft.com/office/drawing/2014/main" id="{85CDDA5D-F31A-4F8A-85CC-E8C892DB11D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3" name="TextBox 2100">
          <a:extLst>
            <a:ext uri="{FF2B5EF4-FFF2-40B4-BE49-F238E27FC236}">
              <a16:creationId xmlns:a16="http://schemas.microsoft.com/office/drawing/2014/main" id="{1BC71D9D-A701-4F94-B858-B8AC785825D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4" name="TextBox 2101">
          <a:extLst>
            <a:ext uri="{FF2B5EF4-FFF2-40B4-BE49-F238E27FC236}">
              <a16:creationId xmlns:a16="http://schemas.microsoft.com/office/drawing/2014/main" id="{CAD59D45-FB26-4656-9CB2-5EF06D987B2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5" name="TextBox 2102">
          <a:extLst>
            <a:ext uri="{FF2B5EF4-FFF2-40B4-BE49-F238E27FC236}">
              <a16:creationId xmlns:a16="http://schemas.microsoft.com/office/drawing/2014/main" id="{A9F89189-AC32-4A8E-A6CC-EF1991D0EF0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06" name="TextBox 2103">
          <a:extLst>
            <a:ext uri="{FF2B5EF4-FFF2-40B4-BE49-F238E27FC236}">
              <a16:creationId xmlns:a16="http://schemas.microsoft.com/office/drawing/2014/main" id="{993F0BF4-CD13-4A69-B5C1-9F32C11BA5A4}"/>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07" name="TextBox 2104">
          <a:extLst>
            <a:ext uri="{FF2B5EF4-FFF2-40B4-BE49-F238E27FC236}">
              <a16:creationId xmlns:a16="http://schemas.microsoft.com/office/drawing/2014/main" id="{64042FB8-002E-4876-9B57-0EA53D68EA4C}"/>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08" name="TextBox 2105">
          <a:extLst>
            <a:ext uri="{FF2B5EF4-FFF2-40B4-BE49-F238E27FC236}">
              <a16:creationId xmlns:a16="http://schemas.microsoft.com/office/drawing/2014/main" id="{954F4A67-7E4D-4787-AA2B-E9A9A8867CFF}"/>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09" name="TextBox 783">
          <a:extLst>
            <a:ext uri="{FF2B5EF4-FFF2-40B4-BE49-F238E27FC236}">
              <a16:creationId xmlns:a16="http://schemas.microsoft.com/office/drawing/2014/main" id="{411ED7AC-13D6-4D4A-BFC3-FECF6E46A00A}"/>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0" name="TextBox 784">
          <a:extLst>
            <a:ext uri="{FF2B5EF4-FFF2-40B4-BE49-F238E27FC236}">
              <a16:creationId xmlns:a16="http://schemas.microsoft.com/office/drawing/2014/main" id="{3CB225CD-2C13-48AD-95D7-626F7C5BD55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1" name="TextBox 785">
          <a:extLst>
            <a:ext uri="{FF2B5EF4-FFF2-40B4-BE49-F238E27FC236}">
              <a16:creationId xmlns:a16="http://schemas.microsoft.com/office/drawing/2014/main" id="{3C512161-5A16-40F3-A71C-084812CF926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2" name="TextBox 786">
          <a:extLst>
            <a:ext uri="{FF2B5EF4-FFF2-40B4-BE49-F238E27FC236}">
              <a16:creationId xmlns:a16="http://schemas.microsoft.com/office/drawing/2014/main" id="{EC88F037-83A5-457C-B1AA-855E987FAE82}"/>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3" name="TextBox 787">
          <a:extLst>
            <a:ext uri="{FF2B5EF4-FFF2-40B4-BE49-F238E27FC236}">
              <a16:creationId xmlns:a16="http://schemas.microsoft.com/office/drawing/2014/main" id="{5730ED5D-1D13-4588-8C10-59BC725BD23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4" name="TextBox 788">
          <a:extLst>
            <a:ext uri="{FF2B5EF4-FFF2-40B4-BE49-F238E27FC236}">
              <a16:creationId xmlns:a16="http://schemas.microsoft.com/office/drawing/2014/main" id="{FCA5F953-BFD3-42D5-94DE-89C8220C7A48}"/>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15" name="TextBox 789">
          <a:extLst>
            <a:ext uri="{FF2B5EF4-FFF2-40B4-BE49-F238E27FC236}">
              <a16:creationId xmlns:a16="http://schemas.microsoft.com/office/drawing/2014/main" id="{EA83AAC9-3228-4965-B035-58168F088DC6}"/>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16" name="TextBox 790">
          <a:extLst>
            <a:ext uri="{FF2B5EF4-FFF2-40B4-BE49-F238E27FC236}">
              <a16:creationId xmlns:a16="http://schemas.microsoft.com/office/drawing/2014/main" id="{37708703-EC55-4637-B48D-66547324EA2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17" name="TextBox 791">
          <a:extLst>
            <a:ext uri="{FF2B5EF4-FFF2-40B4-BE49-F238E27FC236}">
              <a16:creationId xmlns:a16="http://schemas.microsoft.com/office/drawing/2014/main" id="{377BD716-EEE6-4F74-A0BA-66CF27D7FC54}"/>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8" name="TextBox 2088">
          <a:extLst>
            <a:ext uri="{FF2B5EF4-FFF2-40B4-BE49-F238E27FC236}">
              <a16:creationId xmlns:a16="http://schemas.microsoft.com/office/drawing/2014/main" id="{68D66B82-C34C-4F11-89C9-08A739A5982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19" name="TextBox 2089">
          <a:extLst>
            <a:ext uri="{FF2B5EF4-FFF2-40B4-BE49-F238E27FC236}">
              <a16:creationId xmlns:a16="http://schemas.microsoft.com/office/drawing/2014/main" id="{BEA03BE2-1065-4D73-A669-FB8DDBC1A87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0" name="TextBox 2090">
          <a:extLst>
            <a:ext uri="{FF2B5EF4-FFF2-40B4-BE49-F238E27FC236}">
              <a16:creationId xmlns:a16="http://schemas.microsoft.com/office/drawing/2014/main" id="{3421BCB9-E32E-4CD0-BD4D-AD80A160FA22}"/>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1" name="TextBox 2091">
          <a:extLst>
            <a:ext uri="{FF2B5EF4-FFF2-40B4-BE49-F238E27FC236}">
              <a16:creationId xmlns:a16="http://schemas.microsoft.com/office/drawing/2014/main" id="{8DD19312-DB53-4454-9E28-784192852DFD}"/>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2" name="TextBox 2092">
          <a:extLst>
            <a:ext uri="{FF2B5EF4-FFF2-40B4-BE49-F238E27FC236}">
              <a16:creationId xmlns:a16="http://schemas.microsoft.com/office/drawing/2014/main" id="{25646F62-5B4F-497D-8BA8-828C646050D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3" name="TextBox 2093">
          <a:extLst>
            <a:ext uri="{FF2B5EF4-FFF2-40B4-BE49-F238E27FC236}">
              <a16:creationId xmlns:a16="http://schemas.microsoft.com/office/drawing/2014/main" id="{E60AD108-A911-4549-8C56-00CCCC5B0BC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24" name="TextBox 2094">
          <a:extLst>
            <a:ext uri="{FF2B5EF4-FFF2-40B4-BE49-F238E27FC236}">
              <a16:creationId xmlns:a16="http://schemas.microsoft.com/office/drawing/2014/main" id="{E0B0E65B-1F84-4367-91B0-8EE2EA459B3B}"/>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25" name="TextBox 2095">
          <a:extLst>
            <a:ext uri="{FF2B5EF4-FFF2-40B4-BE49-F238E27FC236}">
              <a16:creationId xmlns:a16="http://schemas.microsoft.com/office/drawing/2014/main" id="{EEAD8DB0-5C74-439E-8991-4BD75A53E5CF}"/>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26" name="TextBox 2096">
          <a:extLst>
            <a:ext uri="{FF2B5EF4-FFF2-40B4-BE49-F238E27FC236}">
              <a16:creationId xmlns:a16="http://schemas.microsoft.com/office/drawing/2014/main" id="{E86C7BA7-5364-4A1D-95C8-D56AA02C46C0}"/>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7" name="TextBox 784">
          <a:extLst>
            <a:ext uri="{FF2B5EF4-FFF2-40B4-BE49-F238E27FC236}">
              <a16:creationId xmlns:a16="http://schemas.microsoft.com/office/drawing/2014/main" id="{A16E60AA-8885-47D1-92C2-3BE59AED57C2}"/>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8" name="TextBox 785">
          <a:extLst>
            <a:ext uri="{FF2B5EF4-FFF2-40B4-BE49-F238E27FC236}">
              <a16:creationId xmlns:a16="http://schemas.microsoft.com/office/drawing/2014/main" id="{37FFFD5B-3777-4B7C-9D76-22E9E764E69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29" name="TextBox 786">
          <a:extLst>
            <a:ext uri="{FF2B5EF4-FFF2-40B4-BE49-F238E27FC236}">
              <a16:creationId xmlns:a16="http://schemas.microsoft.com/office/drawing/2014/main" id="{83E81794-CD18-40CE-8BF6-6F537909C95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0" name="TextBox 787">
          <a:extLst>
            <a:ext uri="{FF2B5EF4-FFF2-40B4-BE49-F238E27FC236}">
              <a16:creationId xmlns:a16="http://schemas.microsoft.com/office/drawing/2014/main" id="{04208F32-5082-4C4F-9F16-63B69F760C9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1" name="TextBox 788">
          <a:extLst>
            <a:ext uri="{FF2B5EF4-FFF2-40B4-BE49-F238E27FC236}">
              <a16:creationId xmlns:a16="http://schemas.microsoft.com/office/drawing/2014/main" id="{8D1C61A7-65E5-4CF6-9C1B-8069821EE75D}"/>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2" name="TextBox 789">
          <a:extLst>
            <a:ext uri="{FF2B5EF4-FFF2-40B4-BE49-F238E27FC236}">
              <a16:creationId xmlns:a16="http://schemas.microsoft.com/office/drawing/2014/main" id="{E511E444-9B9E-4F5F-AC3B-E51EBF3DC04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33" name="TextBox 790">
          <a:extLst>
            <a:ext uri="{FF2B5EF4-FFF2-40B4-BE49-F238E27FC236}">
              <a16:creationId xmlns:a16="http://schemas.microsoft.com/office/drawing/2014/main" id="{520C8C94-10C3-4F14-BD6C-48B4BE98DA00}"/>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34" name="TextBox 791">
          <a:extLst>
            <a:ext uri="{FF2B5EF4-FFF2-40B4-BE49-F238E27FC236}">
              <a16:creationId xmlns:a16="http://schemas.microsoft.com/office/drawing/2014/main" id="{1D8C0A52-6187-477A-B6A4-6ED16C8D5A00}"/>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35" name="TextBox 792">
          <a:extLst>
            <a:ext uri="{FF2B5EF4-FFF2-40B4-BE49-F238E27FC236}">
              <a16:creationId xmlns:a16="http://schemas.microsoft.com/office/drawing/2014/main" id="{4E4A2A5F-5A69-4EDA-9808-41A06EFADF6F}"/>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6" name="TextBox 2097">
          <a:extLst>
            <a:ext uri="{FF2B5EF4-FFF2-40B4-BE49-F238E27FC236}">
              <a16:creationId xmlns:a16="http://schemas.microsoft.com/office/drawing/2014/main" id="{341D73C1-2768-4007-8A34-4308077B6E0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7" name="TextBox 2098">
          <a:extLst>
            <a:ext uri="{FF2B5EF4-FFF2-40B4-BE49-F238E27FC236}">
              <a16:creationId xmlns:a16="http://schemas.microsoft.com/office/drawing/2014/main" id="{35FB84CC-BAFC-4AC7-9313-7EFABC07BF5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8" name="TextBox 2099">
          <a:extLst>
            <a:ext uri="{FF2B5EF4-FFF2-40B4-BE49-F238E27FC236}">
              <a16:creationId xmlns:a16="http://schemas.microsoft.com/office/drawing/2014/main" id="{012CF5AF-05ED-4583-9E25-E9A80C54AAE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39" name="TextBox 2100">
          <a:extLst>
            <a:ext uri="{FF2B5EF4-FFF2-40B4-BE49-F238E27FC236}">
              <a16:creationId xmlns:a16="http://schemas.microsoft.com/office/drawing/2014/main" id="{6464467A-EFC7-4D90-8C7A-2CBF123903F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0" name="TextBox 2101">
          <a:extLst>
            <a:ext uri="{FF2B5EF4-FFF2-40B4-BE49-F238E27FC236}">
              <a16:creationId xmlns:a16="http://schemas.microsoft.com/office/drawing/2014/main" id="{1D06E00A-1FF0-4ADF-8E18-8FD1440210A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1" name="TextBox 2102">
          <a:extLst>
            <a:ext uri="{FF2B5EF4-FFF2-40B4-BE49-F238E27FC236}">
              <a16:creationId xmlns:a16="http://schemas.microsoft.com/office/drawing/2014/main" id="{D9F7CD39-E01B-4B19-A2A5-C4704DCE8C5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42" name="TextBox 2103">
          <a:extLst>
            <a:ext uri="{FF2B5EF4-FFF2-40B4-BE49-F238E27FC236}">
              <a16:creationId xmlns:a16="http://schemas.microsoft.com/office/drawing/2014/main" id="{F618E1C4-E9C0-40AC-A067-DE1ECD61C1A3}"/>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43" name="TextBox 2104">
          <a:extLst>
            <a:ext uri="{FF2B5EF4-FFF2-40B4-BE49-F238E27FC236}">
              <a16:creationId xmlns:a16="http://schemas.microsoft.com/office/drawing/2014/main" id="{BA0F220C-86C5-40A7-AC7B-AD7B970AB054}"/>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44" name="TextBox 2105">
          <a:extLst>
            <a:ext uri="{FF2B5EF4-FFF2-40B4-BE49-F238E27FC236}">
              <a16:creationId xmlns:a16="http://schemas.microsoft.com/office/drawing/2014/main" id="{EB83C445-4C43-4FF4-82D2-5244680B705A}"/>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5" name="TextBox 783">
          <a:extLst>
            <a:ext uri="{FF2B5EF4-FFF2-40B4-BE49-F238E27FC236}">
              <a16:creationId xmlns:a16="http://schemas.microsoft.com/office/drawing/2014/main" id="{D57FCC49-32ED-4BD2-97C2-C91ECA88B07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6" name="TextBox 784">
          <a:extLst>
            <a:ext uri="{FF2B5EF4-FFF2-40B4-BE49-F238E27FC236}">
              <a16:creationId xmlns:a16="http://schemas.microsoft.com/office/drawing/2014/main" id="{62B8FB4E-6F5D-4C56-AA37-138F4DBED4DD}"/>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7" name="TextBox 785">
          <a:extLst>
            <a:ext uri="{FF2B5EF4-FFF2-40B4-BE49-F238E27FC236}">
              <a16:creationId xmlns:a16="http://schemas.microsoft.com/office/drawing/2014/main" id="{265DE9EE-DC4F-45AA-87A8-0E7DD62A0AD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8" name="TextBox 786">
          <a:extLst>
            <a:ext uri="{FF2B5EF4-FFF2-40B4-BE49-F238E27FC236}">
              <a16:creationId xmlns:a16="http://schemas.microsoft.com/office/drawing/2014/main" id="{D6A292D3-4273-4FF4-BC19-23F7D629FC3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49" name="TextBox 787">
          <a:extLst>
            <a:ext uri="{FF2B5EF4-FFF2-40B4-BE49-F238E27FC236}">
              <a16:creationId xmlns:a16="http://schemas.microsoft.com/office/drawing/2014/main" id="{CF77F12C-0ADB-4AFD-9F8D-358436E2DBA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0" name="TextBox 788">
          <a:extLst>
            <a:ext uri="{FF2B5EF4-FFF2-40B4-BE49-F238E27FC236}">
              <a16:creationId xmlns:a16="http://schemas.microsoft.com/office/drawing/2014/main" id="{82AF41F5-1283-40DC-A0D2-0B58756099D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51" name="TextBox 789">
          <a:extLst>
            <a:ext uri="{FF2B5EF4-FFF2-40B4-BE49-F238E27FC236}">
              <a16:creationId xmlns:a16="http://schemas.microsoft.com/office/drawing/2014/main" id="{E7A3E357-D83A-4782-B382-3B051EAED6A6}"/>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52" name="TextBox 790">
          <a:extLst>
            <a:ext uri="{FF2B5EF4-FFF2-40B4-BE49-F238E27FC236}">
              <a16:creationId xmlns:a16="http://schemas.microsoft.com/office/drawing/2014/main" id="{777BC94C-FC97-4228-9474-E354142A66F9}"/>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53" name="TextBox 791">
          <a:extLst>
            <a:ext uri="{FF2B5EF4-FFF2-40B4-BE49-F238E27FC236}">
              <a16:creationId xmlns:a16="http://schemas.microsoft.com/office/drawing/2014/main" id="{9C22412E-9E25-46E0-97E9-AA7629D182E4}"/>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4" name="TextBox 2088">
          <a:extLst>
            <a:ext uri="{FF2B5EF4-FFF2-40B4-BE49-F238E27FC236}">
              <a16:creationId xmlns:a16="http://schemas.microsoft.com/office/drawing/2014/main" id="{1547C302-3BC4-4452-B851-DAFB6148D09A}"/>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5" name="TextBox 2089">
          <a:extLst>
            <a:ext uri="{FF2B5EF4-FFF2-40B4-BE49-F238E27FC236}">
              <a16:creationId xmlns:a16="http://schemas.microsoft.com/office/drawing/2014/main" id="{BDEEEAF8-7923-4E96-A3E4-ED2C2B957BB5}"/>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6" name="TextBox 2090">
          <a:extLst>
            <a:ext uri="{FF2B5EF4-FFF2-40B4-BE49-F238E27FC236}">
              <a16:creationId xmlns:a16="http://schemas.microsoft.com/office/drawing/2014/main" id="{8D029892-9842-47AE-8183-3EA94D2B5E5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7" name="TextBox 2091">
          <a:extLst>
            <a:ext uri="{FF2B5EF4-FFF2-40B4-BE49-F238E27FC236}">
              <a16:creationId xmlns:a16="http://schemas.microsoft.com/office/drawing/2014/main" id="{2A74E7E2-FF6B-41E6-8168-2370BDE0C7E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8" name="TextBox 2092">
          <a:extLst>
            <a:ext uri="{FF2B5EF4-FFF2-40B4-BE49-F238E27FC236}">
              <a16:creationId xmlns:a16="http://schemas.microsoft.com/office/drawing/2014/main" id="{0E322CC0-4A4C-423F-9E1C-075D3662054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559" name="TextBox 2093">
          <a:extLst>
            <a:ext uri="{FF2B5EF4-FFF2-40B4-BE49-F238E27FC236}">
              <a16:creationId xmlns:a16="http://schemas.microsoft.com/office/drawing/2014/main" id="{533B374D-FD8D-433C-A410-D104620DA2B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60" name="TextBox 2094">
          <a:extLst>
            <a:ext uri="{FF2B5EF4-FFF2-40B4-BE49-F238E27FC236}">
              <a16:creationId xmlns:a16="http://schemas.microsoft.com/office/drawing/2014/main" id="{58DD06C2-24CC-4101-84B8-20A193142CDE}"/>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61" name="TextBox 2095">
          <a:extLst>
            <a:ext uri="{FF2B5EF4-FFF2-40B4-BE49-F238E27FC236}">
              <a16:creationId xmlns:a16="http://schemas.microsoft.com/office/drawing/2014/main" id="{DABC7E39-A41A-4F45-A05D-B2B963509C9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562" name="TextBox 2096">
          <a:extLst>
            <a:ext uri="{FF2B5EF4-FFF2-40B4-BE49-F238E27FC236}">
              <a16:creationId xmlns:a16="http://schemas.microsoft.com/office/drawing/2014/main" id="{F8144EB5-8311-438B-8F96-4E1F77335DD5}"/>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184731" cy="274009"/>
    <xdr:sp macro="" textlink="">
      <xdr:nvSpPr>
        <xdr:cNvPr id="1563" name="TextBox 4">
          <a:extLst>
            <a:ext uri="{FF2B5EF4-FFF2-40B4-BE49-F238E27FC236}">
              <a16:creationId xmlns:a16="http://schemas.microsoft.com/office/drawing/2014/main" id="{87425166-7988-4D10-8204-7A93EE0772F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64" name="TextBox 5">
          <a:extLst>
            <a:ext uri="{FF2B5EF4-FFF2-40B4-BE49-F238E27FC236}">
              <a16:creationId xmlns:a16="http://schemas.microsoft.com/office/drawing/2014/main" id="{49640FCC-0791-402E-8858-EFBD672DBD2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65" name="TextBox 6">
          <a:extLst>
            <a:ext uri="{FF2B5EF4-FFF2-40B4-BE49-F238E27FC236}">
              <a16:creationId xmlns:a16="http://schemas.microsoft.com/office/drawing/2014/main" id="{1727EEA7-2512-4867-942E-B8D04EA7D8A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66" name="TextBox 245">
          <a:extLst>
            <a:ext uri="{FF2B5EF4-FFF2-40B4-BE49-F238E27FC236}">
              <a16:creationId xmlns:a16="http://schemas.microsoft.com/office/drawing/2014/main" id="{22F810CA-EB58-4A58-B71B-C85A4B43971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67" name="TextBox 246">
          <a:extLst>
            <a:ext uri="{FF2B5EF4-FFF2-40B4-BE49-F238E27FC236}">
              <a16:creationId xmlns:a16="http://schemas.microsoft.com/office/drawing/2014/main" id="{D64AB9C3-5812-46BC-81FA-89485E1D7C0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68" name="TextBox 247">
          <a:extLst>
            <a:ext uri="{FF2B5EF4-FFF2-40B4-BE49-F238E27FC236}">
              <a16:creationId xmlns:a16="http://schemas.microsoft.com/office/drawing/2014/main" id="{4723C103-FD99-4184-A391-26237E15B6A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69" name="TextBox 4">
          <a:extLst>
            <a:ext uri="{FF2B5EF4-FFF2-40B4-BE49-F238E27FC236}">
              <a16:creationId xmlns:a16="http://schemas.microsoft.com/office/drawing/2014/main" id="{2A1FFF23-1B13-4AF5-A13B-A2A61CF400D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0" name="TextBox 5">
          <a:extLst>
            <a:ext uri="{FF2B5EF4-FFF2-40B4-BE49-F238E27FC236}">
              <a16:creationId xmlns:a16="http://schemas.microsoft.com/office/drawing/2014/main" id="{CB0832FA-B745-4D2C-A432-35FEC8AA02E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1" name="TextBox 6">
          <a:extLst>
            <a:ext uri="{FF2B5EF4-FFF2-40B4-BE49-F238E27FC236}">
              <a16:creationId xmlns:a16="http://schemas.microsoft.com/office/drawing/2014/main" id="{B6F853D9-E994-4C56-BD25-3176A48CDA4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2" name="TextBox 4">
          <a:extLst>
            <a:ext uri="{FF2B5EF4-FFF2-40B4-BE49-F238E27FC236}">
              <a16:creationId xmlns:a16="http://schemas.microsoft.com/office/drawing/2014/main" id="{9F224125-C36E-406F-8AB5-C67BC87E2304}"/>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3" name="TextBox 5">
          <a:extLst>
            <a:ext uri="{FF2B5EF4-FFF2-40B4-BE49-F238E27FC236}">
              <a16:creationId xmlns:a16="http://schemas.microsoft.com/office/drawing/2014/main" id="{D6D9336F-B7FB-4576-ADE1-1B68181686A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4" name="TextBox 6">
          <a:extLst>
            <a:ext uri="{FF2B5EF4-FFF2-40B4-BE49-F238E27FC236}">
              <a16:creationId xmlns:a16="http://schemas.microsoft.com/office/drawing/2014/main" id="{A08B6AC8-9C0C-46C8-8A73-6AB9B0CE48D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5" name="TextBox 4">
          <a:extLst>
            <a:ext uri="{FF2B5EF4-FFF2-40B4-BE49-F238E27FC236}">
              <a16:creationId xmlns:a16="http://schemas.microsoft.com/office/drawing/2014/main" id="{F1898DEB-1F93-436A-B880-9710856A5409}"/>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6" name="TextBox 5">
          <a:extLst>
            <a:ext uri="{FF2B5EF4-FFF2-40B4-BE49-F238E27FC236}">
              <a16:creationId xmlns:a16="http://schemas.microsoft.com/office/drawing/2014/main" id="{30AF60CB-562D-4BE8-BE6A-3833BFFE502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7" name="TextBox 6">
          <a:extLst>
            <a:ext uri="{FF2B5EF4-FFF2-40B4-BE49-F238E27FC236}">
              <a16:creationId xmlns:a16="http://schemas.microsoft.com/office/drawing/2014/main" id="{4CB58B00-0C75-4242-B75D-E18F200D31F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8" name="TextBox 4">
          <a:extLst>
            <a:ext uri="{FF2B5EF4-FFF2-40B4-BE49-F238E27FC236}">
              <a16:creationId xmlns:a16="http://schemas.microsoft.com/office/drawing/2014/main" id="{BCD0294F-7412-4771-97BD-6D8CD825ADC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79" name="TextBox 5">
          <a:extLst>
            <a:ext uri="{FF2B5EF4-FFF2-40B4-BE49-F238E27FC236}">
              <a16:creationId xmlns:a16="http://schemas.microsoft.com/office/drawing/2014/main" id="{37CFC8B3-B18A-4392-B91A-9928CD2BA71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0" name="TextBox 6">
          <a:extLst>
            <a:ext uri="{FF2B5EF4-FFF2-40B4-BE49-F238E27FC236}">
              <a16:creationId xmlns:a16="http://schemas.microsoft.com/office/drawing/2014/main" id="{9C497F19-B234-4C47-98FE-03B9CB5C9A5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581" name="TextBox 4">
          <a:extLst>
            <a:ext uri="{FF2B5EF4-FFF2-40B4-BE49-F238E27FC236}">
              <a16:creationId xmlns:a16="http://schemas.microsoft.com/office/drawing/2014/main" id="{458BD7DF-BFB5-49ED-A553-C703812FA5C6}"/>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582" name="TextBox 5">
          <a:extLst>
            <a:ext uri="{FF2B5EF4-FFF2-40B4-BE49-F238E27FC236}">
              <a16:creationId xmlns:a16="http://schemas.microsoft.com/office/drawing/2014/main" id="{33FAD3DA-43F3-4124-BCF1-E45B2E70277C}"/>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583" name="TextBox 6">
          <a:extLst>
            <a:ext uri="{FF2B5EF4-FFF2-40B4-BE49-F238E27FC236}">
              <a16:creationId xmlns:a16="http://schemas.microsoft.com/office/drawing/2014/main" id="{43162E7D-BCF7-4344-8038-7B7896634774}"/>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4" name="TextBox 4">
          <a:extLst>
            <a:ext uri="{FF2B5EF4-FFF2-40B4-BE49-F238E27FC236}">
              <a16:creationId xmlns:a16="http://schemas.microsoft.com/office/drawing/2014/main" id="{73C8849B-F994-4F43-AC8E-F35BD8B7CC6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5" name="TextBox 5">
          <a:extLst>
            <a:ext uri="{FF2B5EF4-FFF2-40B4-BE49-F238E27FC236}">
              <a16:creationId xmlns:a16="http://schemas.microsoft.com/office/drawing/2014/main" id="{2E618791-D4CA-4009-B064-F5AA3DDECE5E}"/>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6" name="TextBox 6">
          <a:extLst>
            <a:ext uri="{FF2B5EF4-FFF2-40B4-BE49-F238E27FC236}">
              <a16:creationId xmlns:a16="http://schemas.microsoft.com/office/drawing/2014/main" id="{E010368F-0A33-4F30-B74C-E195FB77BC81}"/>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7" name="TextBox 4">
          <a:extLst>
            <a:ext uri="{FF2B5EF4-FFF2-40B4-BE49-F238E27FC236}">
              <a16:creationId xmlns:a16="http://schemas.microsoft.com/office/drawing/2014/main" id="{881BD12D-1508-4244-BA56-646D17FBDEA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8" name="TextBox 5">
          <a:extLst>
            <a:ext uri="{FF2B5EF4-FFF2-40B4-BE49-F238E27FC236}">
              <a16:creationId xmlns:a16="http://schemas.microsoft.com/office/drawing/2014/main" id="{20345C28-4E0A-4A71-9FDD-4AA3EFA9374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589" name="TextBox 6">
          <a:extLst>
            <a:ext uri="{FF2B5EF4-FFF2-40B4-BE49-F238E27FC236}">
              <a16:creationId xmlns:a16="http://schemas.microsoft.com/office/drawing/2014/main" id="{89C33007-E0A5-440F-B93D-F2D6C7A5F320}"/>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0" name="TextBox 4">
          <a:extLst>
            <a:ext uri="{FF2B5EF4-FFF2-40B4-BE49-F238E27FC236}">
              <a16:creationId xmlns:a16="http://schemas.microsoft.com/office/drawing/2014/main" id="{8740BD6F-B9CC-4F4C-99EA-82C182B71C70}"/>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1" name="TextBox 5">
          <a:extLst>
            <a:ext uri="{FF2B5EF4-FFF2-40B4-BE49-F238E27FC236}">
              <a16:creationId xmlns:a16="http://schemas.microsoft.com/office/drawing/2014/main" id="{7BA5EE60-8783-41A3-BC91-B12F3F7235AB}"/>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2" name="TextBox 6">
          <a:extLst>
            <a:ext uri="{FF2B5EF4-FFF2-40B4-BE49-F238E27FC236}">
              <a16:creationId xmlns:a16="http://schemas.microsoft.com/office/drawing/2014/main" id="{5DDFFBC4-4319-4CD2-BC26-7A2E3A0EA8F1}"/>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3" name="TextBox 4">
          <a:extLst>
            <a:ext uri="{FF2B5EF4-FFF2-40B4-BE49-F238E27FC236}">
              <a16:creationId xmlns:a16="http://schemas.microsoft.com/office/drawing/2014/main" id="{09AF508B-683F-4A79-9E63-5FA66A4410F9}"/>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4" name="TextBox 5">
          <a:extLst>
            <a:ext uri="{FF2B5EF4-FFF2-40B4-BE49-F238E27FC236}">
              <a16:creationId xmlns:a16="http://schemas.microsoft.com/office/drawing/2014/main" id="{3ADFFC1C-C549-41E3-AFEE-E4261E6F0332}"/>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5" name="TextBox 6">
          <a:extLst>
            <a:ext uri="{FF2B5EF4-FFF2-40B4-BE49-F238E27FC236}">
              <a16:creationId xmlns:a16="http://schemas.microsoft.com/office/drawing/2014/main" id="{FBD022C4-B10B-4AA3-89C3-80673DF804C5}"/>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6" name="TextBox 4">
          <a:extLst>
            <a:ext uri="{FF2B5EF4-FFF2-40B4-BE49-F238E27FC236}">
              <a16:creationId xmlns:a16="http://schemas.microsoft.com/office/drawing/2014/main" id="{DC8FB7F0-4BDD-41AC-8F71-6E5D011F68BC}"/>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7" name="TextBox 5">
          <a:extLst>
            <a:ext uri="{FF2B5EF4-FFF2-40B4-BE49-F238E27FC236}">
              <a16:creationId xmlns:a16="http://schemas.microsoft.com/office/drawing/2014/main" id="{18FFE96A-104E-4899-B772-7712079D8DFA}"/>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8" name="TextBox 6">
          <a:extLst>
            <a:ext uri="{FF2B5EF4-FFF2-40B4-BE49-F238E27FC236}">
              <a16:creationId xmlns:a16="http://schemas.microsoft.com/office/drawing/2014/main" id="{3169F789-D4A8-4231-B2FB-5BB2CB3BC3E9}"/>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599" name="TextBox 4">
          <a:extLst>
            <a:ext uri="{FF2B5EF4-FFF2-40B4-BE49-F238E27FC236}">
              <a16:creationId xmlns:a16="http://schemas.microsoft.com/office/drawing/2014/main" id="{AAC14688-384B-4CFF-95A5-ED4E66A95BE4}"/>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0" name="TextBox 5">
          <a:extLst>
            <a:ext uri="{FF2B5EF4-FFF2-40B4-BE49-F238E27FC236}">
              <a16:creationId xmlns:a16="http://schemas.microsoft.com/office/drawing/2014/main" id="{F2EC9EF3-A8C3-4259-8322-CF50F210CB9E}"/>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1" name="TextBox 6">
          <a:extLst>
            <a:ext uri="{FF2B5EF4-FFF2-40B4-BE49-F238E27FC236}">
              <a16:creationId xmlns:a16="http://schemas.microsoft.com/office/drawing/2014/main" id="{36424BC0-CFA5-4B44-A5E7-67124BE1810A}"/>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2" name="TextBox 4">
          <a:extLst>
            <a:ext uri="{FF2B5EF4-FFF2-40B4-BE49-F238E27FC236}">
              <a16:creationId xmlns:a16="http://schemas.microsoft.com/office/drawing/2014/main" id="{DE625D5A-B733-47D5-9CC6-344EC3C6A869}"/>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3" name="TextBox 5">
          <a:extLst>
            <a:ext uri="{FF2B5EF4-FFF2-40B4-BE49-F238E27FC236}">
              <a16:creationId xmlns:a16="http://schemas.microsoft.com/office/drawing/2014/main" id="{FCF626EF-1C64-45B3-A0B4-274FCD721562}"/>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4" name="TextBox 6">
          <a:extLst>
            <a:ext uri="{FF2B5EF4-FFF2-40B4-BE49-F238E27FC236}">
              <a16:creationId xmlns:a16="http://schemas.microsoft.com/office/drawing/2014/main" id="{82460C03-61DC-417B-92E4-92616061DBE5}"/>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5" name="TextBox 4">
          <a:extLst>
            <a:ext uri="{FF2B5EF4-FFF2-40B4-BE49-F238E27FC236}">
              <a16:creationId xmlns:a16="http://schemas.microsoft.com/office/drawing/2014/main" id="{CE583C1C-9816-4E4D-8257-DFAAFFC44286}"/>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6" name="TextBox 5">
          <a:extLst>
            <a:ext uri="{FF2B5EF4-FFF2-40B4-BE49-F238E27FC236}">
              <a16:creationId xmlns:a16="http://schemas.microsoft.com/office/drawing/2014/main" id="{26A9F176-D720-406E-871E-7A162769641E}"/>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07" name="TextBox 6">
          <a:extLst>
            <a:ext uri="{FF2B5EF4-FFF2-40B4-BE49-F238E27FC236}">
              <a16:creationId xmlns:a16="http://schemas.microsoft.com/office/drawing/2014/main" id="{3EB62A53-FE76-43F5-AA85-3D049E3D07D1}"/>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08" name="TextBox 4">
          <a:extLst>
            <a:ext uri="{FF2B5EF4-FFF2-40B4-BE49-F238E27FC236}">
              <a16:creationId xmlns:a16="http://schemas.microsoft.com/office/drawing/2014/main" id="{F93F64B8-603C-4AA1-9BD9-E19526A72EA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09" name="TextBox 5">
          <a:extLst>
            <a:ext uri="{FF2B5EF4-FFF2-40B4-BE49-F238E27FC236}">
              <a16:creationId xmlns:a16="http://schemas.microsoft.com/office/drawing/2014/main" id="{37ADBE80-2883-41DA-8AFE-46E49463529E}"/>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0" name="TextBox 6">
          <a:extLst>
            <a:ext uri="{FF2B5EF4-FFF2-40B4-BE49-F238E27FC236}">
              <a16:creationId xmlns:a16="http://schemas.microsoft.com/office/drawing/2014/main" id="{3BAF3391-7C71-4DBF-A5DA-B5CED133C6F6}"/>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1" name="TextBox 4">
          <a:extLst>
            <a:ext uri="{FF2B5EF4-FFF2-40B4-BE49-F238E27FC236}">
              <a16:creationId xmlns:a16="http://schemas.microsoft.com/office/drawing/2014/main" id="{0FE28D8F-C797-46B6-BEDB-1645FBAA6FC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2" name="TextBox 5">
          <a:extLst>
            <a:ext uri="{FF2B5EF4-FFF2-40B4-BE49-F238E27FC236}">
              <a16:creationId xmlns:a16="http://schemas.microsoft.com/office/drawing/2014/main" id="{82AE6709-3E0E-4E4B-9D89-9D03F56F306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3" name="TextBox 6">
          <a:extLst>
            <a:ext uri="{FF2B5EF4-FFF2-40B4-BE49-F238E27FC236}">
              <a16:creationId xmlns:a16="http://schemas.microsoft.com/office/drawing/2014/main" id="{00CE5022-F3C2-48FB-8EE6-64D9B5185F2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4" name="TextBox 293">
          <a:extLst>
            <a:ext uri="{FF2B5EF4-FFF2-40B4-BE49-F238E27FC236}">
              <a16:creationId xmlns:a16="http://schemas.microsoft.com/office/drawing/2014/main" id="{0B0CE74A-0425-4E92-9167-3FC371199684}"/>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5" name="TextBox 294">
          <a:extLst>
            <a:ext uri="{FF2B5EF4-FFF2-40B4-BE49-F238E27FC236}">
              <a16:creationId xmlns:a16="http://schemas.microsoft.com/office/drawing/2014/main" id="{81A50183-ACE9-49E7-8005-4CB947AA7F8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6" name="TextBox 295">
          <a:extLst>
            <a:ext uri="{FF2B5EF4-FFF2-40B4-BE49-F238E27FC236}">
              <a16:creationId xmlns:a16="http://schemas.microsoft.com/office/drawing/2014/main" id="{CD50DA35-6479-48AC-8D0C-480684E21D74}"/>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7" name="TextBox 4">
          <a:extLst>
            <a:ext uri="{FF2B5EF4-FFF2-40B4-BE49-F238E27FC236}">
              <a16:creationId xmlns:a16="http://schemas.microsoft.com/office/drawing/2014/main" id="{B4DCE624-4888-4AE4-919C-953A183E7A0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8" name="TextBox 5">
          <a:extLst>
            <a:ext uri="{FF2B5EF4-FFF2-40B4-BE49-F238E27FC236}">
              <a16:creationId xmlns:a16="http://schemas.microsoft.com/office/drawing/2014/main" id="{F4303FD4-6AE3-42F4-A231-350FEBEB7C87}"/>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19" name="TextBox 6">
          <a:extLst>
            <a:ext uri="{FF2B5EF4-FFF2-40B4-BE49-F238E27FC236}">
              <a16:creationId xmlns:a16="http://schemas.microsoft.com/office/drawing/2014/main" id="{FC76AFEF-100D-4EFE-BCED-80332A6EAE64}"/>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0" name="TextBox 4">
          <a:extLst>
            <a:ext uri="{FF2B5EF4-FFF2-40B4-BE49-F238E27FC236}">
              <a16:creationId xmlns:a16="http://schemas.microsoft.com/office/drawing/2014/main" id="{9B50E5DE-CFF9-4E0A-9F19-8E44A9FA3B6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1" name="TextBox 5">
          <a:extLst>
            <a:ext uri="{FF2B5EF4-FFF2-40B4-BE49-F238E27FC236}">
              <a16:creationId xmlns:a16="http://schemas.microsoft.com/office/drawing/2014/main" id="{AF882B0A-9D2B-460E-9C25-13129E571862}"/>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2" name="TextBox 6">
          <a:extLst>
            <a:ext uri="{FF2B5EF4-FFF2-40B4-BE49-F238E27FC236}">
              <a16:creationId xmlns:a16="http://schemas.microsoft.com/office/drawing/2014/main" id="{55A060E2-7F8C-4F3A-803A-034FA564383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3" name="TextBox 4">
          <a:extLst>
            <a:ext uri="{FF2B5EF4-FFF2-40B4-BE49-F238E27FC236}">
              <a16:creationId xmlns:a16="http://schemas.microsoft.com/office/drawing/2014/main" id="{E6EF0559-4A7B-41B6-8457-24AD77C4C2F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4" name="TextBox 5">
          <a:extLst>
            <a:ext uri="{FF2B5EF4-FFF2-40B4-BE49-F238E27FC236}">
              <a16:creationId xmlns:a16="http://schemas.microsoft.com/office/drawing/2014/main" id="{158839CF-E8E5-4312-AC8F-BC3AB11A31C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5" name="TextBox 6">
          <a:extLst>
            <a:ext uri="{FF2B5EF4-FFF2-40B4-BE49-F238E27FC236}">
              <a16:creationId xmlns:a16="http://schemas.microsoft.com/office/drawing/2014/main" id="{7012EF0A-1BEF-4C1B-9772-F217C1B3024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6" name="TextBox 4">
          <a:extLst>
            <a:ext uri="{FF2B5EF4-FFF2-40B4-BE49-F238E27FC236}">
              <a16:creationId xmlns:a16="http://schemas.microsoft.com/office/drawing/2014/main" id="{3607DE6C-0455-4A18-A0A6-E25EBA2A3E89}"/>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7" name="TextBox 5">
          <a:extLst>
            <a:ext uri="{FF2B5EF4-FFF2-40B4-BE49-F238E27FC236}">
              <a16:creationId xmlns:a16="http://schemas.microsoft.com/office/drawing/2014/main" id="{606499A4-F6A9-4204-A596-F68EF9D7ED4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28" name="TextBox 6">
          <a:extLst>
            <a:ext uri="{FF2B5EF4-FFF2-40B4-BE49-F238E27FC236}">
              <a16:creationId xmlns:a16="http://schemas.microsoft.com/office/drawing/2014/main" id="{D48C0144-54AA-4196-B19F-102926930E1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629" name="TextBox 4">
          <a:extLst>
            <a:ext uri="{FF2B5EF4-FFF2-40B4-BE49-F238E27FC236}">
              <a16:creationId xmlns:a16="http://schemas.microsoft.com/office/drawing/2014/main" id="{D588D904-BABF-4617-ACF2-612C08E3B721}"/>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630" name="TextBox 5">
          <a:extLst>
            <a:ext uri="{FF2B5EF4-FFF2-40B4-BE49-F238E27FC236}">
              <a16:creationId xmlns:a16="http://schemas.microsoft.com/office/drawing/2014/main" id="{1051D7A4-AAE3-4B45-B299-3B1A5F791F08}"/>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359"/>
    <xdr:sp macro="" textlink="">
      <xdr:nvSpPr>
        <xdr:cNvPr id="1631" name="TextBox 6">
          <a:extLst>
            <a:ext uri="{FF2B5EF4-FFF2-40B4-BE49-F238E27FC236}">
              <a16:creationId xmlns:a16="http://schemas.microsoft.com/office/drawing/2014/main" id="{E1CFB49C-7976-4668-8987-755851EFC059}"/>
            </a:ext>
          </a:extLst>
        </xdr:cNvPr>
        <xdr:cNvSpPr txBox="1"/>
      </xdr:nvSpPr>
      <xdr:spPr>
        <a:xfrm>
          <a:off x="7024157" y="59495871"/>
          <a:ext cx="184731" cy="27435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32" name="TextBox 4">
          <a:extLst>
            <a:ext uri="{FF2B5EF4-FFF2-40B4-BE49-F238E27FC236}">
              <a16:creationId xmlns:a16="http://schemas.microsoft.com/office/drawing/2014/main" id="{CAEF564C-BD6F-48C3-8F42-E6C35939CD5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33" name="TextBox 5">
          <a:extLst>
            <a:ext uri="{FF2B5EF4-FFF2-40B4-BE49-F238E27FC236}">
              <a16:creationId xmlns:a16="http://schemas.microsoft.com/office/drawing/2014/main" id="{6A9BC63B-B695-4410-AAC8-AFE9192141DF}"/>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34" name="TextBox 6">
          <a:extLst>
            <a:ext uri="{FF2B5EF4-FFF2-40B4-BE49-F238E27FC236}">
              <a16:creationId xmlns:a16="http://schemas.microsoft.com/office/drawing/2014/main" id="{32A20BE6-01E4-4137-AD5E-258967C78B6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35" name="TextBox 4">
          <a:extLst>
            <a:ext uri="{FF2B5EF4-FFF2-40B4-BE49-F238E27FC236}">
              <a16:creationId xmlns:a16="http://schemas.microsoft.com/office/drawing/2014/main" id="{7FEF0854-0268-499E-8F72-B41EFF910C7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36" name="TextBox 5">
          <a:extLst>
            <a:ext uri="{FF2B5EF4-FFF2-40B4-BE49-F238E27FC236}">
              <a16:creationId xmlns:a16="http://schemas.microsoft.com/office/drawing/2014/main" id="{A5685AA4-2636-4B56-B4F9-6E6C86747D1C}"/>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37" name="TextBox 6">
          <a:extLst>
            <a:ext uri="{FF2B5EF4-FFF2-40B4-BE49-F238E27FC236}">
              <a16:creationId xmlns:a16="http://schemas.microsoft.com/office/drawing/2014/main" id="{FD85B314-B0F1-4108-AEDB-5419937A1EC8}"/>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38" name="TextBox 4">
          <a:extLst>
            <a:ext uri="{FF2B5EF4-FFF2-40B4-BE49-F238E27FC236}">
              <a16:creationId xmlns:a16="http://schemas.microsoft.com/office/drawing/2014/main" id="{AA6D17D2-E189-4B14-985B-D31ABCB0E20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39" name="TextBox 5">
          <a:extLst>
            <a:ext uri="{FF2B5EF4-FFF2-40B4-BE49-F238E27FC236}">
              <a16:creationId xmlns:a16="http://schemas.microsoft.com/office/drawing/2014/main" id="{1E2C637C-6300-46E2-A06C-CD11FC9CF8C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0" name="TextBox 6">
          <a:extLst>
            <a:ext uri="{FF2B5EF4-FFF2-40B4-BE49-F238E27FC236}">
              <a16:creationId xmlns:a16="http://schemas.microsoft.com/office/drawing/2014/main" id="{A6269F98-A4BF-4E09-994D-6E31ACCAC813}"/>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1" name="TextBox 4">
          <a:extLst>
            <a:ext uri="{FF2B5EF4-FFF2-40B4-BE49-F238E27FC236}">
              <a16:creationId xmlns:a16="http://schemas.microsoft.com/office/drawing/2014/main" id="{9F342A9B-4E84-4690-9466-0F388E6FC812}"/>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2" name="TextBox 5">
          <a:extLst>
            <a:ext uri="{FF2B5EF4-FFF2-40B4-BE49-F238E27FC236}">
              <a16:creationId xmlns:a16="http://schemas.microsoft.com/office/drawing/2014/main" id="{29D7DAD1-ACF9-4260-8075-3E2EC737F07A}"/>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3" name="TextBox 6">
          <a:extLst>
            <a:ext uri="{FF2B5EF4-FFF2-40B4-BE49-F238E27FC236}">
              <a16:creationId xmlns:a16="http://schemas.microsoft.com/office/drawing/2014/main" id="{2105FEE2-5D59-44ED-AEEB-7D699027659F}"/>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4" name="TextBox 4">
          <a:extLst>
            <a:ext uri="{FF2B5EF4-FFF2-40B4-BE49-F238E27FC236}">
              <a16:creationId xmlns:a16="http://schemas.microsoft.com/office/drawing/2014/main" id="{209AB746-BF9F-4F7E-A5CB-2D1D8F73A9D7}"/>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5" name="TextBox 5">
          <a:extLst>
            <a:ext uri="{FF2B5EF4-FFF2-40B4-BE49-F238E27FC236}">
              <a16:creationId xmlns:a16="http://schemas.microsoft.com/office/drawing/2014/main" id="{656BA4A9-1F7C-434E-8993-C33A8FE82A52}"/>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6" name="TextBox 6">
          <a:extLst>
            <a:ext uri="{FF2B5EF4-FFF2-40B4-BE49-F238E27FC236}">
              <a16:creationId xmlns:a16="http://schemas.microsoft.com/office/drawing/2014/main" id="{EA514012-0338-4A51-BD72-87422D2DCEFE}"/>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7" name="TextBox 4">
          <a:extLst>
            <a:ext uri="{FF2B5EF4-FFF2-40B4-BE49-F238E27FC236}">
              <a16:creationId xmlns:a16="http://schemas.microsoft.com/office/drawing/2014/main" id="{AFED976B-6ECE-4853-A15C-338CF2A1D7A5}"/>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8" name="TextBox 5">
          <a:extLst>
            <a:ext uri="{FF2B5EF4-FFF2-40B4-BE49-F238E27FC236}">
              <a16:creationId xmlns:a16="http://schemas.microsoft.com/office/drawing/2014/main" id="{978685D4-BA8F-4AD3-9949-B2D3E4C642AC}"/>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49" name="TextBox 6">
          <a:extLst>
            <a:ext uri="{FF2B5EF4-FFF2-40B4-BE49-F238E27FC236}">
              <a16:creationId xmlns:a16="http://schemas.microsoft.com/office/drawing/2014/main" id="{3429EE13-A042-4C09-B5ED-DE538D665CBB}"/>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50" name="TextBox 4">
          <a:extLst>
            <a:ext uri="{FF2B5EF4-FFF2-40B4-BE49-F238E27FC236}">
              <a16:creationId xmlns:a16="http://schemas.microsoft.com/office/drawing/2014/main" id="{64719109-7BC9-470D-B1A1-99358BCCE38C}"/>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51" name="TextBox 5">
          <a:extLst>
            <a:ext uri="{FF2B5EF4-FFF2-40B4-BE49-F238E27FC236}">
              <a16:creationId xmlns:a16="http://schemas.microsoft.com/office/drawing/2014/main" id="{4EE54811-D61E-48BA-B6FB-96971F7030F8}"/>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52" name="TextBox 6">
          <a:extLst>
            <a:ext uri="{FF2B5EF4-FFF2-40B4-BE49-F238E27FC236}">
              <a16:creationId xmlns:a16="http://schemas.microsoft.com/office/drawing/2014/main" id="{74452118-E045-4FBD-99A9-29C786C8B282}"/>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53" name="TextBox 4">
          <a:extLst>
            <a:ext uri="{FF2B5EF4-FFF2-40B4-BE49-F238E27FC236}">
              <a16:creationId xmlns:a16="http://schemas.microsoft.com/office/drawing/2014/main" id="{56A72039-2BD6-45DD-A12B-6261217BE3F1}"/>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54" name="TextBox 5">
          <a:extLst>
            <a:ext uri="{FF2B5EF4-FFF2-40B4-BE49-F238E27FC236}">
              <a16:creationId xmlns:a16="http://schemas.microsoft.com/office/drawing/2014/main" id="{4AE6A415-A194-4CD1-AAC9-D4D381B4C4CE}"/>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64560"/>
    <xdr:sp macro="" textlink="">
      <xdr:nvSpPr>
        <xdr:cNvPr id="1655" name="TextBox 6">
          <a:extLst>
            <a:ext uri="{FF2B5EF4-FFF2-40B4-BE49-F238E27FC236}">
              <a16:creationId xmlns:a16="http://schemas.microsoft.com/office/drawing/2014/main" id="{85AFD0EB-20F7-4F63-8A7F-0D726BE245BC}"/>
            </a:ext>
          </a:extLst>
        </xdr:cNvPr>
        <xdr:cNvSpPr txBox="1"/>
      </xdr:nvSpPr>
      <xdr:spPr>
        <a:xfrm>
          <a:off x="7024157" y="59495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56" name="TextBox 4">
          <a:extLst>
            <a:ext uri="{FF2B5EF4-FFF2-40B4-BE49-F238E27FC236}">
              <a16:creationId xmlns:a16="http://schemas.microsoft.com/office/drawing/2014/main" id="{71D35DB2-BFE2-4953-B5AC-92AB6792589B}"/>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57" name="TextBox 5">
          <a:extLst>
            <a:ext uri="{FF2B5EF4-FFF2-40B4-BE49-F238E27FC236}">
              <a16:creationId xmlns:a16="http://schemas.microsoft.com/office/drawing/2014/main" id="{7939AAEB-263E-4D40-88AC-65195A3F5A25}"/>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184731" cy="274009"/>
    <xdr:sp macro="" textlink="">
      <xdr:nvSpPr>
        <xdr:cNvPr id="1658" name="TextBox 6">
          <a:extLst>
            <a:ext uri="{FF2B5EF4-FFF2-40B4-BE49-F238E27FC236}">
              <a16:creationId xmlns:a16="http://schemas.microsoft.com/office/drawing/2014/main" id="{BF861E98-BAF3-425D-B000-32BCBFF801FA}"/>
            </a:ext>
          </a:extLst>
        </xdr:cNvPr>
        <xdr:cNvSpPr txBox="1"/>
      </xdr:nvSpPr>
      <xdr:spPr>
        <a:xfrm>
          <a:off x="7024157" y="59495871"/>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6</xdr:col>
      <xdr:colOff>0</xdr:colOff>
      <xdr:row>152</xdr:row>
      <xdr:rowOff>0</xdr:rowOff>
    </xdr:from>
    <xdr:ext cx="923978" cy="311803"/>
    <xdr:sp macro="" textlink="">
      <xdr:nvSpPr>
        <xdr:cNvPr id="1659" name="TextBox 784">
          <a:extLst>
            <a:ext uri="{FF2B5EF4-FFF2-40B4-BE49-F238E27FC236}">
              <a16:creationId xmlns:a16="http://schemas.microsoft.com/office/drawing/2014/main" id="{6DCE7D80-C7BF-4316-A5F4-1F1BFBCB1ED8}"/>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0" name="TextBox 785">
          <a:extLst>
            <a:ext uri="{FF2B5EF4-FFF2-40B4-BE49-F238E27FC236}">
              <a16:creationId xmlns:a16="http://schemas.microsoft.com/office/drawing/2014/main" id="{6E9AAAA8-E8BB-455C-927E-8A6BBC65565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1" name="TextBox 786">
          <a:extLst>
            <a:ext uri="{FF2B5EF4-FFF2-40B4-BE49-F238E27FC236}">
              <a16:creationId xmlns:a16="http://schemas.microsoft.com/office/drawing/2014/main" id="{5CB4B0D0-A938-4849-9D3C-2F7557F7189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2" name="TextBox 787">
          <a:extLst>
            <a:ext uri="{FF2B5EF4-FFF2-40B4-BE49-F238E27FC236}">
              <a16:creationId xmlns:a16="http://schemas.microsoft.com/office/drawing/2014/main" id="{16A1CB5D-6AEA-4679-B530-3D65A65DCCC6}"/>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3" name="TextBox 788">
          <a:extLst>
            <a:ext uri="{FF2B5EF4-FFF2-40B4-BE49-F238E27FC236}">
              <a16:creationId xmlns:a16="http://schemas.microsoft.com/office/drawing/2014/main" id="{FFA93386-F85A-4C27-8FF3-0D81AB7197FC}"/>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4" name="TextBox 789">
          <a:extLst>
            <a:ext uri="{FF2B5EF4-FFF2-40B4-BE49-F238E27FC236}">
              <a16:creationId xmlns:a16="http://schemas.microsoft.com/office/drawing/2014/main" id="{1C0056E2-6E16-4B4A-AD53-52AB8DB4998E}"/>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65" name="TextBox 790">
          <a:extLst>
            <a:ext uri="{FF2B5EF4-FFF2-40B4-BE49-F238E27FC236}">
              <a16:creationId xmlns:a16="http://schemas.microsoft.com/office/drawing/2014/main" id="{00763DF2-CBB5-4AFE-8DFF-24D14E9C2E3D}"/>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66" name="TextBox 791">
          <a:extLst>
            <a:ext uri="{FF2B5EF4-FFF2-40B4-BE49-F238E27FC236}">
              <a16:creationId xmlns:a16="http://schemas.microsoft.com/office/drawing/2014/main" id="{853F4ED2-FE98-4827-A733-7764DDED824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67" name="TextBox 792">
          <a:extLst>
            <a:ext uri="{FF2B5EF4-FFF2-40B4-BE49-F238E27FC236}">
              <a16:creationId xmlns:a16="http://schemas.microsoft.com/office/drawing/2014/main" id="{48EA0188-35F5-4556-AC8E-76526A2CBA94}"/>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8" name="TextBox 2097">
          <a:extLst>
            <a:ext uri="{FF2B5EF4-FFF2-40B4-BE49-F238E27FC236}">
              <a16:creationId xmlns:a16="http://schemas.microsoft.com/office/drawing/2014/main" id="{FC7FE6C6-07DB-4C1B-93F8-BCE9A3F251D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69" name="TextBox 2098">
          <a:extLst>
            <a:ext uri="{FF2B5EF4-FFF2-40B4-BE49-F238E27FC236}">
              <a16:creationId xmlns:a16="http://schemas.microsoft.com/office/drawing/2014/main" id="{B5B12128-B51C-4BD4-8949-B4DA28519083}"/>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0" name="TextBox 2099">
          <a:extLst>
            <a:ext uri="{FF2B5EF4-FFF2-40B4-BE49-F238E27FC236}">
              <a16:creationId xmlns:a16="http://schemas.microsoft.com/office/drawing/2014/main" id="{076F3C21-1F5B-4B22-A69C-769F77DD985A}"/>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1" name="TextBox 2100">
          <a:extLst>
            <a:ext uri="{FF2B5EF4-FFF2-40B4-BE49-F238E27FC236}">
              <a16:creationId xmlns:a16="http://schemas.microsoft.com/office/drawing/2014/main" id="{87C8217B-AD26-4E89-A484-41674CE0FD0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2" name="TextBox 2101">
          <a:extLst>
            <a:ext uri="{FF2B5EF4-FFF2-40B4-BE49-F238E27FC236}">
              <a16:creationId xmlns:a16="http://schemas.microsoft.com/office/drawing/2014/main" id="{390A320A-1D86-4F02-8E85-1DBCDD29F852}"/>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3" name="TextBox 2102">
          <a:extLst>
            <a:ext uri="{FF2B5EF4-FFF2-40B4-BE49-F238E27FC236}">
              <a16:creationId xmlns:a16="http://schemas.microsoft.com/office/drawing/2014/main" id="{4FCC4A15-1D0D-49E6-89C6-E49AEF25A87D}"/>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74" name="TextBox 2103">
          <a:extLst>
            <a:ext uri="{FF2B5EF4-FFF2-40B4-BE49-F238E27FC236}">
              <a16:creationId xmlns:a16="http://schemas.microsoft.com/office/drawing/2014/main" id="{B9F36B68-ED7B-46AC-8E23-1CD72AF338BC}"/>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75" name="TextBox 2104">
          <a:extLst>
            <a:ext uri="{FF2B5EF4-FFF2-40B4-BE49-F238E27FC236}">
              <a16:creationId xmlns:a16="http://schemas.microsoft.com/office/drawing/2014/main" id="{E1B98845-2AB1-4AC4-BAD3-E38BE2426E17}"/>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76" name="TextBox 2105">
          <a:extLst>
            <a:ext uri="{FF2B5EF4-FFF2-40B4-BE49-F238E27FC236}">
              <a16:creationId xmlns:a16="http://schemas.microsoft.com/office/drawing/2014/main" id="{C5FF8D96-19C7-4DFD-AAE8-1CF71F256EAA}"/>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7" name="TextBox 783">
          <a:extLst>
            <a:ext uri="{FF2B5EF4-FFF2-40B4-BE49-F238E27FC236}">
              <a16:creationId xmlns:a16="http://schemas.microsoft.com/office/drawing/2014/main" id="{389132C4-93D8-425F-9439-38EDB8F66E5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8" name="TextBox 784">
          <a:extLst>
            <a:ext uri="{FF2B5EF4-FFF2-40B4-BE49-F238E27FC236}">
              <a16:creationId xmlns:a16="http://schemas.microsoft.com/office/drawing/2014/main" id="{A297336C-19A0-4C88-8B0E-A14FB475385A}"/>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79" name="TextBox 785">
          <a:extLst>
            <a:ext uri="{FF2B5EF4-FFF2-40B4-BE49-F238E27FC236}">
              <a16:creationId xmlns:a16="http://schemas.microsoft.com/office/drawing/2014/main" id="{3C591707-BA01-4B3E-BEF6-95E586249BD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0" name="TextBox 786">
          <a:extLst>
            <a:ext uri="{FF2B5EF4-FFF2-40B4-BE49-F238E27FC236}">
              <a16:creationId xmlns:a16="http://schemas.microsoft.com/office/drawing/2014/main" id="{CEC59AEA-0513-4CA3-9908-7EBE1FC1DCD9}"/>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1" name="TextBox 787">
          <a:extLst>
            <a:ext uri="{FF2B5EF4-FFF2-40B4-BE49-F238E27FC236}">
              <a16:creationId xmlns:a16="http://schemas.microsoft.com/office/drawing/2014/main" id="{FDAFF54C-BDDD-4C97-961A-CDBDDCADAC48}"/>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2" name="TextBox 788">
          <a:extLst>
            <a:ext uri="{FF2B5EF4-FFF2-40B4-BE49-F238E27FC236}">
              <a16:creationId xmlns:a16="http://schemas.microsoft.com/office/drawing/2014/main" id="{F9ABC259-B832-4DAC-9A71-1664851FB63D}"/>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83" name="TextBox 789">
          <a:extLst>
            <a:ext uri="{FF2B5EF4-FFF2-40B4-BE49-F238E27FC236}">
              <a16:creationId xmlns:a16="http://schemas.microsoft.com/office/drawing/2014/main" id="{E7CB9741-3DDD-4B31-9E76-488F65B3275B}"/>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84" name="TextBox 790">
          <a:extLst>
            <a:ext uri="{FF2B5EF4-FFF2-40B4-BE49-F238E27FC236}">
              <a16:creationId xmlns:a16="http://schemas.microsoft.com/office/drawing/2014/main" id="{0FC5826C-A66B-4B8F-9BE4-D39917B41DF8}"/>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85" name="TextBox 791">
          <a:extLst>
            <a:ext uri="{FF2B5EF4-FFF2-40B4-BE49-F238E27FC236}">
              <a16:creationId xmlns:a16="http://schemas.microsoft.com/office/drawing/2014/main" id="{3CE013BE-70F7-41CF-8B07-1F14F54A65E9}"/>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6" name="TextBox 2088">
          <a:extLst>
            <a:ext uri="{FF2B5EF4-FFF2-40B4-BE49-F238E27FC236}">
              <a16:creationId xmlns:a16="http://schemas.microsoft.com/office/drawing/2014/main" id="{E033F3B7-3FB4-4732-8091-4CD61B9B504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7" name="TextBox 2089">
          <a:extLst>
            <a:ext uri="{FF2B5EF4-FFF2-40B4-BE49-F238E27FC236}">
              <a16:creationId xmlns:a16="http://schemas.microsoft.com/office/drawing/2014/main" id="{B4992CC6-7434-4CA4-B7A3-7BC7578656CB}"/>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8" name="TextBox 2090">
          <a:extLst>
            <a:ext uri="{FF2B5EF4-FFF2-40B4-BE49-F238E27FC236}">
              <a16:creationId xmlns:a16="http://schemas.microsoft.com/office/drawing/2014/main" id="{29B7D097-EB3B-4198-949F-65A2F8753340}"/>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89" name="TextBox 2091">
          <a:extLst>
            <a:ext uri="{FF2B5EF4-FFF2-40B4-BE49-F238E27FC236}">
              <a16:creationId xmlns:a16="http://schemas.microsoft.com/office/drawing/2014/main" id="{5C7A1196-0940-4295-AE0C-11E28B09BEE1}"/>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90" name="TextBox 2092">
          <a:extLst>
            <a:ext uri="{FF2B5EF4-FFF2-40B4-BE49-F238E27FC236}">
              <a16:creationId xmlns:a16="http://schemas.microsoft.com/office/drawing/2014/main" id="{D3BEFD1A-D52F-4120-A196-F5F4510197C7}"/>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923978" cy="311803"/>
    <xdr:sp macro="" textlink="">
      <xdr:nvSpPr>
        <xdr:cNvPr id="1691" name="TextBox 2093">
          <a:extLst>
            <a:ext uri="{FF2B5EF4-FFF2-40B4-BE49-F238E27FC236}">
              <a16:creationId xmlns:a16="http://schemas.microsoft.com/office/drawing/2014/main" id="{E67CF217-5E1E-41BA-8812-B5DFFB90E364}"/>
            </a:ext>
          </a:extLst>
        </xdr:cNvPr>
        <xdr:cNvSpPr txBox="1"/>
      </xdr:nvSpPr>
      <xdr:spPr>
        <a:xfrm>
          <a:off x="6727372" y="59495871"/>
          <a:ext cx="9239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92" name="TextBox 2094">
          <a:extLst>
            <a:ext uri="{FF2B5EF4-FFF2-40B4-BE49-F238E27FC236}">
              <a16:creationId xmlns:a16="http://schemas.microsoft.com/office/drawing/2014/main" id="{E3CEFFE5-8006-44C7-BFF2-C217710EC5C2}"/>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oneCellAnchor>
    <xdr:from>
      <xdr:col>6</xdr:col>
      <xdr:colOff>0</xdr:colOff>
      <xdr:row>152</xdr:row>
      <xdr:rowOff>0</xdr:rowOff>
    </xdr:from>
    <xdr:ext cx="878878" cy="311803"/>
    <xdr:sp macro="" textlink="">
      <xdr:nvSpPr>
        <xdr:cNvPr id="1693" name="TextBox 2095">
          <a:extLst>
            <a:ext uri="{FF2B5EF4-FFF2-40B4-BE49-F238E27FC236}">
              <a16:creationId xmlns:a16="http://schemas.microsoft.com/office/drawing/2014/main" id="{A22484E4-7375-429B-A0F7-FE7EF13F65B6}"/>
            </a:ext>
          </a:extLst>
        </xdr:cNvPr>
        <xdr:cNvSpPr txBox="1"/>
      </xdr:nvSpPr>
      <xdr:spPr>
        <a:xfrm>
          <a:off x="6743700" y="59495871"/>
          <a:ext cx="878878" cy="3118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sl-SI"/>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ECO\Kuca_Prelok\Tro&#353;kovnik%20Prelok.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Korisnik/Desktop/TROSKOVNICI%20_30.07.2020/VIII_Stambena%20zgrada%20A2_30.07.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_Projekti\270_2016%20Samostan%20Ivanec\_Tro&#353;kovnik%20%20Samostan%20Ivanec_nije%20za%20van.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COS\1_Projekti\270_2016%20Samostan%20Ivanec\_Tro&#353;kovnik%20%20Samostan%20Ivanec_nije%20za%20van.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OS\podaci\1_Projektiranje_2017\1_Projekti\059_2017%20Autopraona_Mursko%20Sredi&#353;&#263;e\Radno\_Tro&#353;kovnik_nije%20za%20slati.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arcius\d\Dokumente%20und%20Einstellungen\kdost\Lokale%20Einstellungen\Temporary%20Internet%20Files\OLK4\offen%20LIDL-Troskovnik-16-17-18-prometnice%20ograda%20i%20krajobraz.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OS\1_Projektiranje_2016\1_Projekti\269_2016%20Magma%20Ivanec_%204%20stana\Radno\Tro&#353;kovnik\Tro&#353;kovnik%20MAGMA_nije%20za%20Va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ehnos\mydocs\Documents%20and%20Settings\msanja\Local%20Settings\Temporary%20Internet%20Files\OLK1C2\Videotronic\Price%20list%20Videotronic%2005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i ventilac"/>
      <sheetName val="Centralno usisavanje"/>
      <sheetName val="Rekapitulacija"/>
      <sheetName val="troskovnik"/>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row>
        <row r="57">
          <cell r="B57" t="str">
            <v xml:space="preserve"> - vertikalna ugradnja kolektora na ravni krov </v>
          </cell>
        </row>
        <row r="58">
          <cell r="B58" t="str">
            <v xml:space="preserve"> - hor. ugradnja jedan do drugog na kosi krov (standardni crijep - Bramac, Tondach)</v>
          </cell>
        </row>
        <row r="59">
          <cell r="B59" t="str">
            <v xml:space="preserve"> - hor. ugradnja jedan do drugog na kosi krov (valoviti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sheetData>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LOVNICA"/>
      <sheetName val="REKAPITULACIJA"/>
      <sheetName val="VIII.a.2.B."/>
      <sheetName val="VIII.c.0.B."/>
      <sheetName val="VIII.c.0.VIK"/>
      <sheetName val="VIIIc.0.E"/>
      <sheetName val=" F. OPĆU UVJETI"/>
      <sheetName val="VIII.c.0.F.1."/>
      <sheetName val="VIII.c.0.F.2."/>
      <sheetName val="VIII.c.0.F.3."/>
      <sheetName val="VIII.c.0.F."/>
      <sheetName val="VIII. c.1.C."/>
      <sheetName val="VIIIc.1.I"/>
      <sheetName val="VIII.c.2.C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cell r="L56" t="str">
            <v xml:space="preserve"> - ugradnja na ravni krov</v>
          </cell>
        </row>
        <row r="57">
          <cell r="B57" t="str">
            <v xml:space="preserve"> - vertikalna ugradnja kolektora na ravni krov </v>
          </cell>
          <cell r="L57" t="str">
            <v xml:space="preserve"> - 1. polje ugradnja na kosi krov (standardni crijep - Bramac, Tondach)</v>
          </cell>
        </row>
        <row r="58">
          <cell r="B58" t="str">
            <v xml:space="preserve"> - hor. ugradnja jedan do drugog na kosi krov (standardni crijep - Bramac, Tondach)</v>
          </cell>
          <cell r="L58" t="str">
            <v xml:space="preserve"> - 1. polje ugradnja na kosi krov (valoviti crijep, šindra)</v>
          </cell>
        </row>
        <row r="59">
          <cell r="B59" t="str">
            <v xml:space="preserve"> - hor. ugradnja jedan do drugog na kosi krov (valoviti crijep, šindra)</v>
          </cell>
          <cell r="L59" t="str">
            <v xml:space="preserve"> - 1. polje ugradnja na kosi krov (biber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row r="76">
          <cell r="B76" t="str">
            <v xml:space="preserve"> - ugradnja na kosi krov</v>
          </cell>
        </row>
        <row r="77">
          <cell r="B77" t="str">
            <v xml:space="preserve"> - ugradnja na ravni krov</v>
          </cell>
        </row>
      </sheetData>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cell r="L56" t="str">
            <v xml:space="preserve"> - ugradnja na ravni krov</v>
          </cell>
        </row>
        <row r="57">
          <cell r="B57" t="str">
            <v xml:space="preserve"> - vertikalna ugradnja kolektora na ravni krov </v>
          </cell>
          <cell r="L57" t="str">
            <v xml:space="preserve"> - 1. polje ugradnja na kosi krov (standardni crijep - Bramac, Tondach)</v>
          </cell>
        </row>
        <row r="58">
          <cell r="B58" t="str">
            <v xml:space="preserve"> - hor. ugradnja jedan do drugog na kosi krov (standardni crijep - Bramac, Tondach)</v>
          </cell>
          <cell r="L58" t="str">
            <v xml:space="preserve"> - 1. polje ugradnja na kosi krov (valoviti crijep, šindra)</v>
          </cell>
        </row>
        <row r="59">
          <cell r="B59" t="str">
            <v xml:space="preserve"> - hor. ugradnja jedan do drugog na kosi krov (valoviti crijep, šindra)</v>
          </cell>
          <cell r="L59" t="str">
            <v xml:space="preserve"> - 1. polje ugradnja na kosi krov (biber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row r="76">
          <cell r="B76" t="str">
            <v xml:space="preserve"> - ugradnja na kosi krov</v>
          </cell>
        </row>
        <row r="77">
          <cell r="B77" t="str">
            <v xml:space="preserve"> - ugradnja na ravni krov</v>
          </cell>
        </row>
      </sheetData>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 val="viiic.0.e"/>
    </sheetNames>
    <sheetDataSet>
      <sheetData sheetId="0"/>
      <sheetData sheetId="1"/>
      <sheetData sheetId="2"/>
      <sheetData sheetId="3"/>
      <sheetData sheetId="4"/>
      <sheetData sheetId="5"/>
      <sheetData sheetId="6"/>
      <sheetData sheetId="7"/>
      <sheetData sheetId="8">
        <row r="56">
          <cell r="B56" t="str">
            <v xml:space="preserve"> - horizontalna ugradnja kolektora na ravni krov </v>
          </cell>
          <cell r="L56" t="str">
            <v xml:space="preserve"> - ugradnja na ravni krov</v>
          </cell>
        </row>
        <row r="57">
          <cell r="B57" t="str">
            <v xml:space="preserve"> - vertikalna ugradnja kolektora na ravni krov </v>
          </cell>
          <cell r="L57" t="str">
            <v xml:space="preserve"> - 1. polje ugradnja na kosi krov (standardni crijep - Bramac, Tondach)</v>
          </cell>
        </row>
        <row r="58">
          <cell r="B58" t="str">
            <v xml:space="preserve"> - hor. ugradnja jedan do drugog na kosi krov (standardni crijep - Bramac, Tondach)</v>
          </cell>
          <cell r="L58" t="str">
            <v xml:space="preserve"> - 1. polje ugradnja na kosi krov (valoviti crijep, šindra)</v>
          </cell>
        </row>
        <row r="59">
          <cell r="B59" t="str">
            <v xml:space="preserve"> - hor. ugradnja jedan do drugog na kosi krov (valoviti crijep, šindra)</v>
          </cell>
          <cell r="L59" t="str">
            <v xml:space="preserve"> - 1. polje ugradnja na kosi krov (biber crijep, šindra)</v>
          </cell>
        </row>
        <row r="60">
          <cell r="B60" t="str">
            <v xml:space="preserve"> - hor. ugradnja jedan do drugog na kosi krov (ostali tipovi krova)</v>
          </cell>
        </row>
        <row r="61">
          <cell r="B61" t="str">
            <v xml:space="preserve"> - vert. ugradnja jedan do drugog na kosi krov (standardni crijep - Bramac, Tondach)</v>
          </cell>
        </row>
        <row r="62">
          <cell r="B62" t="str">
            <v xml:space="preserve"> - vert. ugradnja jedan do drugog na kosi krov (valoviti crijep, šindra)</v>
          </cell>
        </row>
        <row r="63">
          <cell r="B63" t="str">
            <v xml:space="preserve"> - vert. ugradnja jedan do drugog na kosi krov (ostali tipovi krova)</v>
          </cell>
        </row>
        <row r="64">
          <cell r="B64" t="str">
            <v xml:space="preserve"> - hor. ugradnja jedan iznad drugog na kosi krov (standardni crijep - Bramac, Tondach)</v>
          </cell>
        </row>
        <row r="65">
          <cell r="B65" t="str">
            <v xml:space="preserve"> - hor. ugradnja jedan iznad drugog na kosi krov (valoviti crijep, šindra)</v>
          </cell>
        </row>
        <row r="66">
          <cell r="B66" t="str">
            <v xml:space="preserve"> - hor. ugradnja jedan iznad drugog na kosi krov (ostali tipovi krova)</v>
          </cell>
        </row>
        <row r="67">
          <cell r="B67" t="str">
            <v xml:space="preserve"> - vert. ugradnja jedan iznad drugog na kosi krov (standardni crijep - Bramac, Tondach)</v>
          </cell>
        </row>
        <row r="68">
          <cell r="B68" t="str">
            <v xml:space="preserve"> - vert. ugradnja jedan iznad drugog na kosi krov (valoviti crijep, šindra)</v>
          </cell>
        </row>
        <row r="69">
          <cell r="B69" t="str">
            <v xml:space="preserve"> - vert. ugradnja jedan iznad drugog na kosi krov (ostali tipovi krova)</v>
          </cell>
        </row>
        <row r="76">
          <cell r="B76" t="str">
            <v xml:space="preserve"> - ugradnja na kosi krov</v>
          </cell>
        </row>
        <row r="77">
          <cell r="B77" t="str">
            <v xml:space="preserve"> - ugradnja na ravni krov</v>
          </cell>
        </row>
      </sheetData>
      <sheetData sheetId="9"/>
      <sheetData sheetId="10"/>
      <sheetData sheetId="11"/>
      <sheetData sheetId="12"/>
      <sheetData sheetId="13"/>
      <sheetData sheetId="14"/>
      <sheetData sheetId="15"/>
      <sheetData sheetId="16"/>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cija"/>
      <sheetName val="16. Prometnice"/>
      <sheetName val="17. Ograda"/>
      <sheetName val="18. Krajobraz"/>
      <sheetName val="16_ Prometnice"/>
      <sheetName val="16__Prometnice"/>
      <sheetName val="17__Ograda"/>
      <sheetName val="18__Krajobraz"/>
      <sheetName val="16__Prometnice1"/>
      <sheetName val="17__Ograda1"/>
      <sheetName val="18__Krajobraz1"/>
      <sheetName val="16__Prometnice2"/>
      <sheetName val="16__Prometnice7"/>
      <sheetName val="17__Ograda4"/>
      <sheetName val="18__Krajobraz4"/>
      <sheetName val="16__Prometnice8"/>
      <sheetName val="16__Prometnice5"/>
      <sheetName val="17__Ograda3"/>
      <sheetName val="18__Krajobraz3"/>
      <sheetName val="16__Prometnice6"/>
      <sheetName val="16__Prometnice3"/>
      <sheetName val="17__Ograda2"/>
      <sheetName val="18__Krajobraz2"/>
      <sheetName val="16__Prometnice4"/>
      <sheetName val="TROŠKOVNIK"/>
      <sheetName val="16__Prometnice9"/>
      <sheetName val="17__Ograda5"/>
      <sheetName val="18__Krajobraz5"/>
      <sheetName val="16__Prometnice10"/>
      <sheetName val="soboslik"/>
      <sheetName val="elektr"/>
      <sheetName val="plin"/>
      <sheetName val="ZEMLJAN"/>
      <sheetName val="razni "/>
      <sheetName val="izolacija"/>
      <sheetName val="oprema dvor."/>
      <sheetName val="okoliš"/>
      <sheetName val="offen LIDL-Troskovnik-16-17-18-"/>
      <sheetName val="V-LEVEL KRILO"/>
      <sheetName val="V-LEVEL BAZEN"/>
      <sheetName val="11 PARKING br.6.1"/>
      <sheetName val="13 ENTRY PIAZZA"/>
      <sheetName val="V LEVEL ZONA"/>
      <sheetName val="proračun"/>
      <sheetName val="elektro"/>
      <sheetName val="el_sunčana_el"/>
      <sheetName val="16__Prometnice11"/>
      <sheetName val="17__Ograda6"/>
      <sheetName val="18__Krajobraz6"/>
      <sheetName val="16__Prometnice12"/>
      <sheetName val="razni_"/>
      <sheetName val="oprema_dvor_"/>
      <sheetName val="offen_LIDL-Troskovnik-16-17-18-"/>
      <sheetName val="V-LEVEL_KRILO"/>
      <sheetName val="V-LEVEL_BAZEN"/>
      <sheetName val="11_PARKING_br_6_1"/>
      <sheetName val="13_ENTRY_PIAZZA"/>
      <sheetName val="V_LEVEL_ZONA"/>
      <sheetName val="proračun gubitaka"/>
      <sheetName val="16__Prometnice13"/>
      <sheetName val="17__Ograda7"/>
      <sheetName val="18__Krajobraz7"/>
      <sheetName val="16__Prometnice14"/>
      <sheetName val="razni_1"/>
      <sheetName val="oprema_dvor_1"/>
      <sheetName val="offen_LIDL-Troskovnik-16-17-181"/>
      <sheetName val="V-LEVEL_KRILO1"/>
      <sheetName val="V-LEVEL_BAZEN1"/>
      <sheetName val="11_PARKING_br_6_11"/>
      <sheetName val="13_ENTRY_PIAZZA1"/>
      <sheetName val="V_LEVEL_ZONA1"/>
      <sheetName val="proračun_gubitaka"/>
      <sheetName val="f.bazenska tehnika"/>
      <sheetName val="koeficijenti"/>
      <sheetName val="Faktori"/>
      <sheetName val="Hotel kolicine"/>
      <sheetName val="ab"/>
      <sheetName val="zidarski"/>
      <sheetName val="16__Prometnice19"/>
      <sheetName val="17__Ograda10"/>
      <sheetName val="18__Krajobraz10"/>
      <sheetName val="16__Prometnice20"/>
      <sheetName val="razni_4"/>
      <sheetName val="oprema_dvor_4"/>
      <sheetName val="offen_LIDL-Troskovnik-16-17-184"/>
      <sheetName val="V-LEVEL_KRILO4"/>
      <sheetName val="V-LEVEL_BAZEN4"/>
      <sheetName val="11_PARKING_br_6_14"/>
      <sheetName val="13_ENTRY_PIAZZA4"/>
      <sheetName val="V_LEVEL_ZONA4"/>
      <sheetName val="16__Prometnice15"/>
      <sheetName val="17__Ograda8"/>
      <sheetName val="18__Krajobraz8"/>
      <sheetName val="16__Prometnice16"/>
      <sheetName val="razni_2"/>
      <sheetName val="oprema_dvor_2"/>
      <sheetName val="offen_LIDL-Troskovnik-16-17-182"/>
      <sheetName val="V-LEVEL_KRILO2"/>
      <sheetName val="V-LEVEL_BAZEN2"/>
      <sheetName val="11_PARKING_br_6_12"/>
      <sheetName val="13_ENTRY_PIAZZA2"/>
      <sheetName val="V_LEVEL_ZONA2"/>
      <sheetName val="16__Prometnice17"/>
      <sheetName val="17__Ograda9"/>
      <sheetName val="18__Krajobraz9"/>
      <sheetName val="16__Prometnice18"/>
      <sheetName val="razni_3"/>
      <sheetName val="oprema_dvor_3"/>
      <sheetName val="offen_LIDL-Troskovnik-16-17-183"/>
      <sheetName val="V-LEVEL_KRILO3"/>
      <sheetName val="V-LEVEL_BAZEN3"/>
      <sheetName val="11_PARKING_br_6_13"/>
      <sheetName val="13_ENTRY_PIAZZA3"/>
      <sheetName val="V_LEVEL_ZONA3"/>
      <sheetName val="viiic.0.e"/>
      <sheetName val="i.1 zemljani radovi"/>
      <sheetName val="i.2 betonski i ab radovi"/>
      <sheetName val="i.3 zidarski radovi"/>
      <sheetName val="i.5 keramičarski radovi"/>
      <sheetName val="i.6 kamenorezački"/>
      <sheetName val="i a_gradevinski radovi"/>
      <sheetName val="1_an_vik"/>
      <sheetName val="5_IZOLATERSKI RADOVI"/>
      <sheetName val="16__Prometnice21"/>
      <sheetName val="17__Ograda11"/>
      <sheetName val="18__Krajobraz11"/>
      <sheetName val="16__Prometnice22"/>
      <sheetName val="razni_5"/>
      <sheetName val="oprema_dvor_5"/>
      <sheetName val="offen_LIDL-Troskovnik-16-17-185"/>
      <sheetName val="V-LEVEL_KRILO5"/>
      <sheetName val="V-LEVEL_BAZEN5"/>
      <sheetName val="11_PARKING_br_6_15"/>
      <sheetName val="13_ENTRY_PIAZZA5"/>
      <sheetName val="V_LEVEL_ZONA5"/>
      <sheetName val="proračun_gubitaka1"/>
      <sheetName val="f_bazenska_tehnika"/>
      <sheetName val="Hotel_kolicine"/>
      <sheetName val="16__Prometnice27"/>
      <sheetName val="17__Ograda14"/>
      <sheetName val="18__Krajobraz14"/>
      <sheetName val="16__Prometnice28"/>
      <sheetName val="razni_8"/>
      <sheetName val="oprema_dvor_8"/>
      <sheetName val="offen_LIDL-Troskovnik-16-17-188"/>
      <sheetName val="V-LEVEL_KRILO8"/>
      <sheetName val="V-LEVEL_BAZEN8"/>
      <sheetName val="11_PARKING_br_6_18"/>
      <sheetName val="13_ENTRY_PIAZZA8"/>
      <sheetName val="V_LEVEL_ZONA8"/>
      <sheetName val="proračun_gubitaka4"/>
      <sheetName val="16__Prometnice25"/>
      <sheetName val="17__Ograda13"/>
      <sheetName val="18__Krajobraz13"/>
      <sheetName val="16__Prometnice26"/>
      <sheetName val="razni_7"/>
      <sheetName val="oprema_dvor_7"/>
      <sheetName val="offen_LIDL-Troskovnik-16-17-187"/>
      <sheetName val="V-LEVEL_KRILO7"/>
      <sheetName val="V-LEVEL_BAZEN7"/>
      <sheetName val="11_PARKING_br_6_17"/>
      <sheetName val="13_ENTRY_PIAZZA7"/>
      <sheetName val="V_LEVEL_ZONA7"/>
      <sheetName val="proračun_gubitaka3"/>
      <sheetName val="16__Prometnice23"/>
      <sheetName val="17__Ograda12"/>
      <sheetName val="18__Krajobraz12"/>
      <sheetName val="16__Prometnice24"/>
      <sheetName val="razni_6"/>
      <sheetName val="oprema_dvor_6"/>
      <sheetName val="offen_LIDL-Troskovnik-16-17-186"/>
      <sheetName val="V-LEVEL_KRILO6"/>
      <sheetName val="V-LEVEL_BAZEN6"/>
      <sheetName val="11_PARKING_br_6_16"/>
      <sheetName val="13_ENTRY_PIAZZA6"/>
      <sheetName val="V_LEVEL_ZONA6"/>
      <sheetName val="proračun_gubitaka2"/>
      <sheetName val="16__Prometnice29"/>
      <sheetName val="17__Ograda15"/>
      <sheetName val="18__Krajobraz15"/>
      <sheetName val="16__Prometnice30"/>
      <sheetName val="razni_9"/>
      <sheetName val="oprema_dvor_9"/>
      <sheetName val="offen_LIDL-Troskovnik-16-17-189"/>
      <sheetName val="V-LEVEL_KRILO9"/>
      <sheetName val="V-LEVEL_BAZEN9"/>
      <sheetName val="11_PARKING_br_6_19"/>
      <sheetName val="13_ENTRY_PIAZZA9"/>
      <sheetName val="V_LEVEL_ZONA9"/>
      <sheetName val="proračun_gubitaka5"/>
      <sheetName val="f_bazenska_tehnika1"/>
      <sheetName val="16__Prometnice41"/>
      <sheetName val="17__Ograda21"/>
      <sheetName val="18__Krajobraz21"/>
      <sheetName val="16__Prometnice42"/>
      <sheetName val="razni_15"/>
      <sheetName val="oprema_dvor_15"/>
      <sheetName val="offen_LIDL-Troskovnik-16-17-115"/>
      <sheetName val="V-LEVEL_KRILO15"/>
      <sheetName val="V-LEVEL_BAZEN15"/>
      <sheetName val="11_PARKING_br_6_115"/>
      <sheetName val="13_ENTRY_PIAZZA15"/>
      <sheetName val="V_LEVEL_ZONA15"/>
      <sheetName val="proračun_gubitaka11"/>
      <sheetName val="f_bazenska_tehnika7"/>
      <sheetName val="16__Prometnice31"/>
      <sheetName val="17__Ograda16"/>
      <sheetName val="18__Krajobraz16"/>
      <sheetName val="16__Prometnice32"/>
      <sheetName val="razni_10"/>
      <sheetName val="oprema_dvor_10"/>
      <sheetName val="offen_LIDL-Troskovnik-16-17-110"/>
      <sheetName val="V-LEVEL_KRILO10"/>
      <sheetName val="V-LEVEL_BAZEN10"/>
      <sheetName val="11_PARKING_br_6_110"/>
      <sheetName val="13_ENTRY_PIAZZA10"/>
      <sheetName val="V_LEVEL_ZONA10"/>
      <sheetName val="proračun_gubitaka6"/>
      <sheetName val="f_bazenska_tehnika2"/>
      <sheetName val="16__Prometnice33"/>
      <sheetName val="17__Ograda17"/>
      <sheetName val="18__Krajobraz17"/>
      <sheetName val="16__Prometnice34"/>
      <sheetName val="razni_11"/>
      <sheetName val="oprema_dvor_11"/>
      <sheetName val="offen_LIDL-Troskovnik-16-17-111"/>
      <sheetName val="V-LEVEL_KRILO11"/>
      <sheetName val="V-LEVEL_BAZEN11"/>
      <sheetName val="11_PARKING_br_6_111"/>
      <sheetName val="13_ENTRY_PIAZZA11"/>
      <sheetName val="V_LEVEL_ZONA11"/>
      <sheetName val="proračun_gubitaka7"/>
      <sheetName val="f_bazenska_tehnika3"/>
      <sheetName val="16__Prometnice35"/>
      <sheetName val="17__Ograda18"/>
      <sheetName val="18__Krajobraz18"/>
      <sheetName val="16__Prometnice36"/>
      <sheetName val="razni_12"/>
      <sheetName val="oprema_dvor_12"/>
      <sheetName val="offen_LIDL-Troskovnik-16-17-112"/>
      <sheetName val="V-LEVEL_KRILO12"/>
      <sheetName val="V-LEVEL_BAZEN12"/>
      <sheetName val="11_PARKING_br_6_112"/>
      <sheetName val="13_ENTRY_PIAZZA12"/>
      <sheetName val="V_LEVEL_ZONA12"/>
      <sheetName val="proračun_gubitaka8"/>
      <sheetName val="f_bazenska_tehnika4"/>
      <sheetName val="16__Prometnice37"/>
      <sheetName val="17__Ograda19"/>
      <sheetName val="18__Krajobraz19"/>
      <sheetName val="16__Prometnice38"/>
      <sheetName val="razni_13"/>
      <sheetName val="oprema_dvor_13"/>
      <sheetName val="offen_LIDL-Troskovnik-16-17-113"/>
      <sheetName val="V-LEVEL_KRILO13"/>
      <sheetName val="V-LEVEL_BAZEN13"/>
      <sheetName val="11_PARKING_br_6_113"/>
      <sheetName val="13_ENTRY_PIAZZA13"/>
      <sheetName val="V_LEVEL_ZONA13"/>
      <sheetName val="proračun_gubitaka9"/>
      <sheetName val="f_bazenska_tehnika5"/>
      <sheetName val="16__Prometnice39"/>
      <sheetName val="17__Ograda20"/>
      <sheetName val="18__Krajobraz20"/>
      <sheetName val="16__Prometnice40"/>
      <sheetName val="razni_14"/>
      <sheetName val="oprema_dvor_14"/>
      <sheetName val="offen_LIDL-Troskovnik-16-17-114"/>
      <sheetName val="V-LEVEL_KRILO14"/>
      <sheetName val="V-LEVEL_BAZEN14"/>
      <sheetName val="11_PARKING_br_6_114"/>
      <sheetName val="13_ENTRY_PIAZZA14"/>
      <sheetName val="V_LEVEL_ZONA14"/>
      <sheetName val="proračun_gubitaka10"/>
      <sheetName val="f_bazenska_tehnika6"/>
      <sheetName val="16__Prometnice43"/>
      <sheetName val="17__Ograda22"/>
      <sheetName val="18__Krajobraz22"/>
      <sheetName val="16__Prometnice44"/>
      <sheetName val="razni_16"/>
      <sheetName val="oprema_dvor_16"/>
      <sheetName val="offen_LIDL-Troskovnik-16-17-116"/>
      <sheetName val="V-LEVEL_KRILO16"/>
      <sheetName val="V-LEVEL_BAZEN16"/>
      <sheetName val="11_PARKING_br_6_116"/>
      <sheetName val="13_ENTRY_PIAZZA16"/>
      <sheetName val="V_LEVEL_ZONA16"/>
      <sheetName val="proračun_gubitaka12"/>
      <sheetName val="f_bazenska_tehnika8"/>
      <sheetName val="Hotel_kolicine1"/>
      <sheetName val="16__Prometnice45"/>
      <sheetName val="17__Ograda23"/>
      <sheetName val="18__Krajobraz23"/>
      <sheetName val="16__Prometnice46"/>
      <sheetName val="razni_17"/>
      <sheetName val="oprema_dvor_17"/>
      <sheetName val="offen_LIDL-Troskovnik-16-17-117"/>
      <sheetName val="V-LEVEL_KRILO17"/>
      <sheetName val="V-LEVEL_BAZEN17"/>
      <sheetName val="11_PARKING_br_6_117"/>
      <sheetName val="13_ENTRY_PIAZZA17"/>
      <sheetName val="V_LEVEL_ZONA17"/>
      <sheetName val="proračun_gubitaka13"/>
      <sheetName val="f_bazenska_tehnika9"/>
      <sheetName val="Hotel_kolicine2"/>
      <sheetName val="16__Prometnice47"/>
      <sheetName val="17__Ograda24"/>
      <sheetName val="18__Krajobraz24"/>
      <sheetName val="16__Prometnice48"/>
      <sheetName val="razni_18"/>
      <sheetName val="oprema_dvor_18"/>
      <sheetName val="offen_LIDL-Troskovnik-16-17-118"/>
      <sheetName val="V-LEVEL_KRILO18"/>
      <sheetName val="V-LEVEL_BAZEN18"/>
      <sheetName val="11_PARKING_br_6_118"/>
      <sheetName val="13_ENTRY_PIAZZA18"/>
      <sheetName val="V_LEVEL_ZONA18"/>
      <sheetName val="proračun_gubitaka14"/>
      <sheetName val="f_bazenska_tehnika10"/>
      <sheetName val="Hotel_kolicine3"/>
      <sheetName val="16__Prometnice49"/>
      <sheetName val="17__Ograda25"/>
      <sheetName val="18__Krajobraz25"/>
      <sheetName val="16__Prometnice50"/>
      <sheetName val="razni_19"/>
      <sheetName val="oprema_dvor_19"/>
      <sheetName val="offen_LIDL-Troskovnik-16-17-119"/>
      <sheetName val="V-LEVEL_KRILO19"/>
      <sheetName val="V-LEVEL_BAZEN19"/>
      <sheetName val="11_PARKING_br_6_119"/>
      <sheetName val="13_ENTRY_PIAZZA19"/>
      <sheetName val="V_LEVEL_ZONA19"/>
      <sheetName val="proračun_gubitaka15"/>
      <sheetName val="f_bazenska_tehnika11"/>
      <sheetName val="Hotel_kolicine4"/>
      <sheetName val="16__Prometnice53"/>
      <sheetName val="17__Ograda27"/>
      <sheetName val="18__Krajobraz27"/>
      <sheetName val="16__Prometnice54"/>
      <sheetName val="razni_21"/>
      <sheetName val="oprema_dvor_21"/>
      <sheetName val="offen_LIDL-Troskovnik-16-17-121"/>
      <sheetName val="V-LEVEL_KRILO21"/>
      <sheetName val="V-LEVEL_BAZEN21"/>
      <sheetName val="11_PARKING_br_6_121"/>
      <sheetName val="13_ENTRY_PIAZZA21"/>
      <sheetName val="V_LEVEL_ZONA21"/>
      <sheetName val="proračun_gubitaka17"/>
      <sheetName val="f_bazenska_tehnika13"/>
      <sheetName val="Hotel_kolicine6"/>
      <sheetName val="16__Prometnice51"/>
      <sheetName val="17__Ograda26"/>
      <sheetName val="18__Krajobraz26"/>
      <sheetName val="16__Prometnice52"/>
      <sheetName val="razni_20"/>
      <sheetName val="oprema_dvor_20"/>
      <sheetName val="offen_LIDL-Troskovnik-16-17-120"/>
      <sheetName val="V-LEVEL_KRILO20"/>
      <sheetName val="V-LEVEL_BAZEN20"/>
      <sheetName val="11_PARKING_br_6_120"/>
      <sheetName val="13_ENTRY_PIAZZA20"/>
      <sheetName val="V_LEVEL_ZONA20"/>
      <sheetName val="proračun_gubitaka16"/>
      <sheetName val="f_bazenska_tehnika12"/>
      <sheetName val="Hotel_kolicine5"/>
      <sheetName val="16__Prometnice67"/>
      <sheetName val="17__Ograda34"/>
      <sheetName val="18__Krajobraz34"/>
      <sheetName val="16__Prometnice68"/>
      <sheetName val="razni_28"/>
      <sheetName val="oprema_dvor_28"/>
      <sheetName val="offen_LIDL-Troskovnik-16-17-128"/>
      <sheetName val="V-LEVEL_KRILO28"/>
      <sheetName val="V-LEVEL_BAZEN28"/>
      <sheetName val="11_PARKING_br_6_128"/>
      <sheetName val="13_ENTRY_PIAZZA28"/>
      <sheetName val="V_LEVEL_ZONA28"/>
      <sheetName val="proračun_gubitaka24"/>
      <sheetName val="f_bazenska_tehnika20"/>
      <sheetName val="Hotel_kolicine13"/>
      <sheetName val="16__Prometnice55"/>
      <sheetName val="17__Ograda28"/>
      <sheetName val="18__Krajobraz28"/>
      <sheetName val="16__Prometnice56"/>
      <sheetName val="razni_22"/>
      <sheetName val="oprema_dvor_22"/>
      <sheetName val="offen_LIDL-Troskovnik-16-17-122"/>
      <sheetName val="V-LEVEL_KRILO22"/>
      <sheetName val="V-LEVEL_BAZEN22"/>
      <sheetName val="11_PARKING_br_6_122"/>
      <sheetName val="13_ENTRY_PIAZZA22"/>
      <sheetName val="V_LEVEL_ZONA22"/>
      <sheetName val="proračun_gubitaka18"/>
      <sheetName val="f_bazenska_tehnika14"/>
      <sheetName val="Hotel_kolicine7"/>
      <sheetName val="16__Prometnice59"/>
      <sheetName val="17__Ograda30"/>
      <sheetName val="18__Krajobraz30"/>
      <sheetName val="16__Prometnice60"/>
      <sheetName val="razni_24"/>
      <sheetName val="oprema_dvor_24"/>
      <sheetName val="offen_LIDL-Troskovnik-16-17-124"/>
      <sheetName val="V-LEVEL_KRILO24"/>
      <sheetName val="V-LEVEL_BAZEN24"/>
      <sheetName val="11_PARKING_br_6_124"/>
      <sheetName val="13_ENTRY_PIAZZA24"/>
      <sheetName val="V_LEVEL_ZONA24"/>
      <sheetName val="proračun_gubitaka20"/>
      <sheetName val="f_bazenska_tehnika16"/>
      <sheetName val="Hotel_kolicine9"/>
      <sheetName val="16__Prometnice57"/>
      <sheetName val="17__Ograda29"/>
      <sheetName val="18__Krajobraz29"/>
      <sheetName val="16__Prometnice58"/>
      <sheetName val="razni_23"/>
      <sheetName val="oprema_dvor_23"/>
      <sheetName val="offen_LIDL-Troskovnik-16-17-123"/>
      <sheetName val="V-LEVEL_KRILO23"/>
      <sheetName val="V-LEVEL_BAZEN23"/>
      <sheetName val="11_PARKING_br_6_123"/>
      <sheetName val="13_ENTRY_PIAZZA23"/>
      <sheetName val="V_LEVEL_ZONA23"/>
      <sheetName val="proračun_gubitaka19"/>
      <sheetName val="f_bazenska_tehnika15"/>
      <sheetName val="Hotel_kolicine8"/>
      <sheetName val="16__Prometnice61"/>
      <sheetName val="17__Ograda31"/>
      <sheetName val="18__Krajobraz31"/>
      <sheetName val="16__Prometnice62"/>
      <sheetName val="razni_25"/>
      <sheetName val="oprema_dvor_25"/>
      <sheetName val="offen_LIDL-Troskovnik-16-17-125"/>
      <sheetName val="V-LEVEL_KRILO25"/>
      <sheetName val="V-LEVEL_BAZEN25"/>
      <sheetName val="11_PARKING_br_6_125"/>
      <sheetName val="13_ENTRY_PIAZZA25"/>
      <sheetName val="V_LEVEL_ZONA25"/>
      <sheetName val="proračun_gubitaka21"/>
      <sheetName val="f_bazenska_tehnika17"/>
      <sheetName val="Hotel_kolicine10"/>
      <sheetName val="16__Prometnice63"/>
      <sheetName val="17__Ograda32"/>
      <sheetName val="18__Krajobraz32"/>
      <sheetName val="16__Prometnice64"/>
      <sheetName val="razni_26"/>
      <sheetName val="oprema_dvor_26"/>
      <sheetName val="offen_LIDL-Troskovnik-16-17-126"/>
      <sheetName val="V-LEVEL_KRILO26"/>
      <sheetName val="V-LEVEL_BAZEN26"/>
      <sheetName val="11_PARKING_br_6_126"/>
      <sheetName val="13_ENTRY_PIAZZA26"/>
      <sheetName val="V_LEVEL_ZONA26"/>
      <sheetName val="proračun_gubitaka22"/>
      <sheetName val="f_bazenska_tehnika18"/>
      <sheetName val="Hotel_kolicine11"/>
      <sheetName val="16__Prometnice65"/>
      <sheetName val="17__Ograda33"/>
      <sheetName val="18__Krajobraz33"/>
      <sheetName val="16__Prometnice66"/>
      <sheetName val="razni_27"/>
      <sheetName val="oprema_dvor_27"/>
      <sheetName val="offen_LIDL-Troskovnik-16-17-127"/>
      <sheetName val="V-LEVEL_KRILO27"/>
      <sheetName val="V-LEVEL_BAZEN27"/>
      <sheetName val="11_PARKING_br_6_127"/>
      <sheetName val="13_ENTRY_PIAZZA27"/>
      <sheetName val="V_LEVEL_ZONA27"/>
      <sheetName val="proračun_gubitaka23"/>
      <sheetName val="f_bazenska_tehnika19"/>
      <sheetName val="Hotel_kolicine12"/>
      <sheetName val="elektro_trosk"/>
      <sheetName val="elektroinstalacije"/>
      <sheetName val="i_1_zemljani_radovi"/>
      <sheetName val="i_2_betonski_i_ab_radovi"/>
      <sheetName val="i_3_zidarski_radovi"/>
      <sheetName val="i_5_keramičarski_radovi"/>
      <sheetName val="i_6_kamenorezački"/>
      <sheetName val="5_IZOLATERSKI_RADOVI"/>
      <sheetName val="RAZNI RADOVI"/>
      <sheetName val="POMOĆNI"/>
      <sheetName val="konzern-ratios"/>
      <sheetName val="Aktivni"/>
      <sheetName val="Parametri i analize"/>
      <sheetName val="dvorana"/>
      <sheetName val="Rabatte"/>
      <sheetName val="TABLICA stvarnih količina-LED"/>
      <sheetName val="Automatika"/>
      <sheetName val="troskovnik"/>
      <sheetName val="i_1_zemljani_radovi1"/>
      <sheetName val="i_2_betonski_i_ab_radovi1"/>
      <sheetName val="i_3_zidarski_radovi1"/>
      <sheetName val="i_5_keramičarski_radovi1"/>
      <sheetName val="i_6_kamenorezački1"/>
      <sheetName val="5_IZOLATERSKI_RADOVI1"/>
      <sheetName val="viiic_0_e"/>
      <sheetName val="RAZNI_RADOVI"/>
      <sheetName val="i_a_gradevinski_radovi"/>
      <sheetName val="Peering"/>
      <sheetName val="i_1_zemljani_radovi2"/>
      <sheetName val="i_2_betonski_i_ab_radovi2"/>
      <sheetName val="i_3_zidarski_radovi2"/>
      <sheetName val="i_5_keramičarski_radovi2"/>
      <sheetName val="i_6_kamenorezački2"/>
      <sheetName val="5_IZOLATERSKI_RADOVI2"/>
      <sheetName val="viiic_0_e1"/>
      <sheetName val="RAZNI_RADOVI1"/>
      <sheetName val="i_a_gradevinski_radovi1"/>
      <sheetName val="Parametri_i_analize"/>
      <sheetName val="16__Prometnice81"/>
      <sheetName val="17__Ograda41"/>
      <sheetName val="18__Krajobraz41"/>
      <sheetName val="16__Prometnice82"/>
      <sheetName val="razni_35"/>
      <sheetName val="oprema_dvor_35"/>
      <sheetName val="offen_LIDL-Troskovnik-16-17-135"/>
      <sheetName val="V-LEVEL_KRILO35"/>
      <sheetName val="V-LEVEL_BAZEN35"/>
      <sheetName val="11_PARKING_br_6_135"/>
      <sheetName val="13_ENTRY_PIAZZA35"/>
      <sheetName val="V_LEVEL_ZONA35"/>
      <sheetName val="proračun_gubitaka31"/>
      <sheetName val="f_bazenska_tehnika27"/>
      <sheetName val="Hotel_kolicine20"/>
      <sheetName val="16__Prometnice75"/>
      <sheetName val="17__Ograda38"/>
      <sheetName val="18__Krajobraz38"/>
      <sheetName val="16__Prometnice76"/>
      <sheetName val="razni_32"/>
      <sheetName val="oprema_dvor_32"/>
      <sheetName val="offen_LIDL-Troskovnik-16-17-132"/>
      <sheetName val="V-LEVEL_KRILO32"/>
      <sheetName val="V-LEVEL_BAZEN32"/>
      <sheetName val="11_PARKING_br_6_132"/>
      <sheetName val="13_ENTRY_PIAZZA32"/>
      <sheetName val="V_LEVEL_ZONA32"/>
      <sheetName val="proračun_gubitaka28"/>
      <sheetName val="f_bazenska_tehnika24"/>
      <sheetName val="Hotel_kolicine17"/>
      <sheetName val="16__Prometnice73"/>
      <sheetName val="17__Ograda37"/>
      <sheetName val="18__Krajobraz37"/>
      <sheetName val="16__Prometnice74"/>
      <sheetName val="razni_31"/>
      <sheetName val="oprema_dvor_31"/>
      <sheetName val="offen_LIDL-Troskovnik-16-17-131"/>
      <sheetName val="V-LEVEL_KRILO31"/>
      <sheetName val="V-LEVEL_BAZEN31"/>
      <sheetName val="11_PARKING_br_6_131"/>
      <sheetName val="13_ENTRY_PIAZZA31"/>
      <sheetName val="V_LEVEL_ZONA31"/>
      <sheetName val="proračun_gubitaka27"/>
      <sheetName val="f_bazenska_tehnika23"/>
      <sheetName val="Hotel_kolicine16"/>
      <sheetName val="16__Prometnice71"/>
      <sheetName val="17__Ograda36"/>
      <sheetName val="18__Krajobraz36"/>
      <sheetName val="16__Prometnice72"/>
      <sheetName val="razni_30"/>
      <sheetName val="oprema_dvor_30"/>
      <sheetName val="offen_LIDL-Troskovnik-16-17-130"/>
      <sheetName val="V-LEVEL_KRILO30"/>
      <sheetName val="V-LEVEL_BAZEN30"/>
      <sheetName val="11_PARKING_br_6_130"/>
      <sheetName val="13_ENTRY_PIAZZA30"/>
      <sheetName val="V_LEVEL_ZONA30"/>
      <sheetName val="proračun_gubitaka26"/>
      <sheetName val="f_bazenska_tehnika22"/>
      <sheetName val="Hotel_kolicine15"/>
      <sheetName val="16__Prometnice69"/>
      <sheetName val="17__Ograda35"/>
      <sheetName val="18__Krajobraz35"/>
      <sheetName val="16__Prometnice70"/>
      <sheetName val="razni_29"/>
      <sheetName val="oprema_dvor_29"/>
      <sheetName val="offen_LIDL-Troskovnik-16-17-129"/>
      <sheetName val="V-LEVEL_KRILO29"/>
      <sheetName val="V-LEVEL_BAZEN29"/>
      <sheetName val="11_PARKING_br_6_129"/>
      <sheetName val="13_ENTRY_PIAZZA29"/>
      <sheetName val="V_LEVEL_ZONA29"/>
      <sheetName val="proračun_gubitaka25"/>
      <sheetName val="f_bazenska_tehnika21"/>
      <sheetName val="Hotel_kolicine14"/>
      <sheetName val="16__Prometnice79"/>
      <sheetName val="17__Ograda40"/>
      <sheetName val="18__Krajobraz40"/>
      <sheetName val="16__Prometnice80"/>
      <sheetName val="razni_34"/>
      <sheetName val="oprema_dvor_34"/>
      <sheetName val="offen_LIDL-Troskovnik-16-17-134"/>
      <sheetName val="V-LEVEL_KRILO34"/>
      <sheetName val="V-LEVEL_BAZEN34"/>
      <sheetName val="11_PARKING_br_6_134"/>
      <sheetName val="13_ENTRY_PIAZZA34"/>
      <sheetName val="V_LEVEL_ZONA34"/>
      <sheetName val="proračun_gubitaka30"/>
      <sheetName val="f_bazenska_tehnika26"/>
      <sheetName val="Hotel_kolicine19"/>
      <sheetName val="16__Prometnice77"/>
      <sheetName val="17__Ograda39"/>
      <sheetName val="18__Krajobraz39"/>
      <sheetName val="16__Prometnice78"/>
      <sheetName val="razni_33"/>
      <sheetName val="oprema_dvor_33"/>
      <sheetName val="offen_LIDL-Troskovnik-16-17-133"/>
      <sheetName val="V-LEVEL_KRILO33"/>
      <sheetName val="V-LEVEL_BAZEN33"/>
      <sheetName val="11_PARKING_br_6_133"/>
      <sheetName val="13_ENTRY_PIAZZA33"/>
      <sheetName val="V_LEVEL_ZONA33"/>
      <sheetName val="proračun_gubitaka29"/>
      <sheetName val="f_bazenska_tehnika25"/>
      <sheetName val="Hotel_kolicine18"/>
      <sheetName val="opći uvjeti"/>
      <sheetName val="viiic_0_e2"/>
      <sheetName val="i_a_gradevinski_radovi2"/>
      <sheetName val="viiic_0_e3"/>
      <sheetName val="i_1_zemljani_radovi3"/>
      <sheetName val="i_2_betonski_i_ab_radovi3"/>
      <sheetName val="i_3_zidarski_radovi3"/>
      <sheetName val="i_5_keramičarski_radovi3"/>
      <sheetName val="i_6_kamenorezački3"/>
      <sheetName val="i_a_gradevinski_radovi3"/>
      <sheetName val="revenues"/>
      <sheetName val="Start"/>
      <sheetName val="market"/>
      <sheetName val="viiic_0_e4"/>
      <sheetName val="i_1_zemljani_radovi4"/>
      <sheetName val="i_2_betonski_i_ab_radovi4"/>
      <sheetName val="i_3_zidarski_radovi4"/>
      <sheetName val="i_5_keramičarski_radovi4"/>
      <sheetName val="i_6_kamenorezački4"/>
      <sheetName val="i_a_gradevinski_radovi4"/>
      <sheetName val="viiic_0_e5"/>
      <sheetName val="i_1_zemljani_radovi5"/>
      <sheetName val="i_2_betonski_i_ab_radovi5"/>
      <sheetName val="i_3_zidarski_radovi5"/>
      <sheetName val="i_5_keramičarski_radovi5"/>
      <sheetName val="i_6_kamenorezački5"/>
      <sheetName val="i_a_gradevinski_radovi5"/>
      <sheetName val="Parametri_i_analize1"/>
      <sheetName val="viiic_0_e6"/>
      <sheetName val="i_1_zemljani_radovi6"/>
      <sheetName val="i_2_betonski_i_ab_radovi6"/>
      <sheetName val="i_3_zidarski_radovi6"/>
      <sheetName val="i_5_keramičarski_radovi6"/>
      <sheetName val="i_6_kamenorezački6"/>
      <sheetName val="i_a_gradevinski_radovi6"/>
      <sheetName val="5_IZOLATERSKI_RADOVI3"/>
      <sheetName val="RAZNI_RADOVI2"/>
      <sheetName val="Parametri_i_analize2"/>
      <sheetName val="viiic_0_e7"/>
      <sheetName val="i_1_zemljani_radovi7"/>
      <sheetName val="i_2_betonski_i_ab_radovi7"/>
      <sheetName val="i_3_zidarski_radovi7"/>
      <sheetName val="i_5_keramičarski_radovi7"/>
      <sheetName val="i_6_kamenorezački7"/>
      <sheetName val="i_a_gradevinski_radovi7"/>
      <sheetName val="5_IZOLATERSKI_RADOVI4"/>
      <sheetName val="RAZNI_RADOVI3"/>
      <sheetName val="Parametri_i_analize3"/>
      <sheetName val="viiic_0_e8"/>
      <sheetName val="i_1_zemljani_radovi8"/>
      <sheetName val="i_2_betonski_i_ab_radovi8"/>
      <sheetName val="i_3_zidarski_radovi8"/>
      <sheetName val="i_5_keramičarski_radovi8"/>
      <sheetName val="i_6_kamenorezački8"/>
      <sheetName val="i_a_gradevinski_radovi8"/>
      <sheetName val="5_IZOLATERSKI_RADOVI5"/>
      <sheetName val="RAZNI_RADOVI4"/>
      <sheetName val="Parametri_i_analize4"/>
      <sheetName val="viiic_0_e9"/>
      <sheetName val="i_1_zemljani_radovi9"/>
      <sheetName val="i_2_betonski_i_ab_radovi9"/>
      <sheetName val="i_3_zidarski_radovi9"/>
      <sheetName val="i_5_keramičarski_radovi9"/>
      <sheetName val="i_6_kamenorezački9"/>
      <sheetName val="i_a_gradevinski_radovi9"/>
      <sheetName val="5_IZOLATERSKI_RADOVI6"/>
      <sheetName val="RAZNI_RADOVI5"/>
      <sheetName val="Parametri_i_analize5"/>
      <sheetName val="viiic_0_e13"/>
      <sheetName val="i_1_zemljani_radovi13"/>
      <sheetName val="i_2_betonski_i_ab_radovi13"/>
      <sheetName val="i_3_zidarski_radovi13"/>
      <sheetName val="i_5_keramičarski_radovi13"/>
      <sheetName val="i_6_kamenorezački13"/>
      <sheetName val="i_a_gradevinski_radovi13"/>
      <sheetName val="5_IZOLATERSKI_RADOVI10"/>
      <sheetName val="RAZNI_RADOVI9"/>
      <sheetName val="Parametri_i_analize9"/>
      <sheetName val="viiic_0_e11"/>
      <sheetName val="i_1_zemljani_radovi11"/>
      <sheetName val="i_2_betonski_i_ab_radovi11"/>
      <sheetName val="i_3_zidarski_radovi11"/>
      <sheetName val="i_5_keramičarski_radovi11"/>
      <sheetName val="i_6_kamenorezački11"/>
      <sheetName val="i_a_gradevinski_radovi11"/>
      <sheetName val="5_IZOLATERSKI_RADOVI8"/>
      <sheetName val="RAZNI_RADOVI7"/>
      <sheetName val="Parametri_i_analize7"/>
      <sheetName val="viiic_0_e10"/>
      <sheetName val="i_1_zemljani_radovi10"/>
      <sheetName val="i_2_betonski_i_ab_radovi10"/>
      <sheetName val="i_3_zidarski_radovi10"/>
      <sheetName val="i_5_keramičarski_radovi10"/>
      <sheetName val="i_6_kamenorezački10"/>
      <sheetName val="i_a_gradevinski_radovi10"/>
      <sheetName val="5_IZOLATERSKI_RADOVI7"/>
      <sheetName val="RAZNI_RADOVI6"/>
      <sheetName val="Parametri_i_analize6"/>
      <sheetName val="viiic_0_e12"/>
      <sheetName val="i_1_zemljani_radovi12"/>
      <sheetName val="i_2_betonski_i_ab_radovi12"/>
      <sheetName val="i_3_zidarski_radovi12"/>
      <sheetName val="i_5_keramičarski_radovi12"/>
      <sheetName val="i_6_kamenorezački12"/>
      <sheetName val="i_a_gradevinski_radovi12"/>
      <sheetName val="5_IZOLATERSKI_RADOVI9"/>
      <sheetName val="RAZNI_RADOVI8"/>
      <sheetName val="Parametri_i_analize8"/>
      <sheetName val="viiic_0_e15"/>
      <sheetName val="i_1_zemljani_radovi15"/>
      <sheetName val="i_2_betonski_i_ab_radovi15"/>
      <sheetName val="i_3_zidarski_radovi15"/>
      <sheetName val="i_5_keramičarski_radovi15"/>
      <sheetName val="i_6_kamenorezački15"/>
      <sheetName val="i_a_gradevinski_radovi15"/>
      <sheetName val="5_IZOLATERSKI_RADOVI12"/>
      <sheetName val="RAZNI_RADOVI11"/>
      <sheetName val="Parametri_i_analize11"/>
      <sheetName val="viiic_0_e14"/>
      <sheetName val="i_1_zemljani_radovi14"/>
      <sheetName val="i_2_betonski_i_ab_radovi14"/>
      <sheetName val="i_3_zidarski_radovi14"/>
      <sheetName val="i_5_keramičarski_radovi14"/>
      <sheetName val="i_6_kamenorezački14"/>
      <sheetName val="i_a_gradevinski_radovi14"/>
      <sheetName val="5_IZOLATERSKI_RADOVI11"/>
      <sheetName val="RAZNI_RADOVI10"/>
      <sheetName val="Parametri_i_analize10"/>
      <sheetName val="viiic_0_e16"/>
      <sheetName val="i_1_zemljani_radovi16"/>
      <sheetName val="i_2_betonski_i_ab_radovi16"/>
      <sheetName val="i_3_zidarski_radovi16"/>
      <sheetName val="i_5_keramičarski_radovi16"/>
      <sheetName val="i_6_kamenorezački16"/>
      <sheetName val="i_a_gradevinski_radovi16"/>
      <sheetName val="5_IZOLATERSKI_RADOVI13"/>
      <sheetName val="RAZNI_RADOVI12"/>
      <sheetName val="Parametri_i_analize12"/>
      <sheetName val="viiic_0_e17"/>
      <sheetName val="i_1_zemljani_radovi17"/>
      <sheetName val="i_2_betonski_i_ab_radovi17"/>
      <sheetName val="i_3_zidarski_radovi17"/>
      <sheetName val="i_5_keramičarski_radovi17"/>
      <sheetName val="i_6_kamenorezački17"/>
      <sheetName val="i_a_gradevinski_radovi17"/>
      <sheetName val="5_IZOLATERSKI_RADOVI14"/>
      <sheetName val="RAZNI_RADOVI13"/>
      <sheetName val="Parametri_i_analize13"/>
      <sheetName val="viiic_0_e18"/>
      <sheetName val="i_1_zemljani_radovi18"/>
      <sheetName val="i_2_betonski_i_ab_radovi18"/>
      <sheetName val="i_3_zidarski_radovi18"/>
      <sheetName val="i_5_keramičarski_radovi18"/>
      <sheetName val="i_6_kamenorezački18"/>
      <sheetName val="i_a_gradevinski_radovi18"/>
      <sheetName val="5_IZOLATERSKI_RADOVI15"/>
      <sheetName val="RAZNI_RADOVI14"/>
      <sheetName val="Parametri_i_analize14"/>
    </sheetNames>
    <sheetDataSet>
      <sheetData sheetId="0" refreshError="1"/>
      <sheetData sheetId="1">
        <row r="66">
          <cell r="G66">
            <v>81489.785000000003</v>
          </cell>
        </row>
        <row r="130">
          <cell r="G130" t="str">
            <v xml:space="preserve"> </v>
          </cell>
        </row>
        <row r="277">
          <cell r="G277" t="str">
            <v xml:space="preserve"> </v>
          </cell>
        </row>
        <row r="329">
          <cell r="G329" t="str">
            <v xml:space="preserve"> </v>
          </cell>
        </row>
      </sheetData>
      <sheetData sheetId="2" refreshError="1"/>
      <sheetData sheetId="3" refreshError="1"/>
      <sheetData sheetId="4">
        <row r="66">
          <cell r="G66">
            <v>81489.785000000003</v>
          </cell>
        </row>
      </sheetData>
      <sheetData sheetId="5">
        <row r="66">
          <cell r="G66">
            <v>81489.785000000003</v>
          </cell>
        </row>
      </sheetData>
      <sheetData sheetId="6"/>
      <sheetData sheetId="7"/>
      <sheetData sheetId="8">
        <row r="66">
          <cell r="G66">
            <v>81489.785000000003</v>
          </cell>
        </row>
      </sheetData>
      <sheetData sheetId="9">
        <row r="66">
          <cell r="G66">
            <v>81489.785000000003</v>
          </cell>
        </row>
      </sheetData>
      <sheetData sheetId="10">
        <row r="66">
          <cell r="G66">
            <v>81489.785000000003</v>
          </cell>
        </row>
      </sheetData>
      <sheetData sheetId="11">
        <row r="66">
          <cell r="G66">
            <v>81489.785000000003</v>
          </cell>
        </row>
      </sheetData>
      <sheetData sheetId="12">
        <row r="66">
          <cell r="G66">
            <v>81489.785000000003</v>
          </cell>
        </row>
      </sheetData>
      <sheetData sheetId="13">
        <row r="66">
          <cell r="G66">
            <v>81489.785000000003</v>
          </cell>
        </row>
      </sheetData>
      <sheetData sheetId="14">
        <row r="66">
          <cell r="G66">
            <v>81489.785000000003</v>
          </cell>
        </row>
      </sheetData>
      <sheetData sheetId="15">
        <row r="66">
          <cell r="G66">
            <v>81489.785000000003</v>
          </cell>
        </row>
      </sheetData>
      <sheetData sheetId="16">
        <row r="66">
          <cell r="G66">
            <v>81489.785000000003</v>
          </cell>
        </row>
      </sheetData>
      <sheetData sheetId="17">
        <row r="66">
          <cell r="G66">
            <v>81489.785000000003</v>
          </cell>
        </row>
      </sheetData>
      <sheetData sheetId="18">
        <row r="66">
          <cell r="G66">
            <v>81489.785000000003</v>
          </cell>
        </row>
      </sheetData>
      <sheetData sheetId="19">
        <row r="66">
          <cell r="G66">
            <v>81489.785000000003</v>
          </cell>
        </row>
      </sheetData>
      <sheetData sheetId="20">
        <row r="66">
          <cell r="G66">
            <v>81489.785000000003</v>
          </cell>
        </row>
      </sheetData>
      <sheetData sheetId="21">
        <row r="66">
          <cell r="G66">
            <v>81489.785000000003</v>
          </cell>
        </row>
      </sheetData>
      <sheetData sheetId="22">
        <row r="66">
          <cell r="G66">
            <v>81489.785000000003</v>
          </cell>
        </row>
      </sheetData>
      <sheetData sheetId="23" refreshError="1"/>
      <sheetData sheetId="24" refreshError="1"/>
      <sheetData sheetId="25">
        <row r="66">
          <cell r="G66">
            <v>81489.785000000003</v>
          </cell>
        </row>
      </sheetData>
      <sheetData sheetId="26">
        <row r="66">
          <cell r="G66">
            <v>81489.785000000003</v>
          </cell>
        </row>
      </sheetData>
      <sheetData sheetId="27"/>
      <sheetData sheetId="28"/>
      <sheetData sheetId="29">
        <row r="66">
          <cell r="G66">
            <v>81489.785000000003</v>
          </cell>
        </row>
      </sheetData>
      <sheetData sheetId="30">
        <row r="66">
          <cell r="G66">
            <v>81489.785000000003</v>
          </cell>
        </row>
      </sheetData>
      <sheetData sheetId="31">
        <row r="66">
          <cell r="G66">
            <v>81489.785000000003</v>
          </cell>
        </row>
      </sheetData>
      <sheetData sheetId="32"/>
      <sheetData sheetId="33"/>
      <sheetData sheetId="34"/>
      <sheetData sheetId="35"/>
      <sheetData sheetId="36"/>
      <sheetData sheetId="37" refreshError="1"/>
      <sheetData sheetId="38">
        <row r="66">
          <cell r="G66">
            <v>81489.785000000003</v>
          </cell>
        </row>
      </sheetData>
      <sheetData sheetId="39">
        <row r="66">
          <cell r="G66">
            <v>81489.785000000003</v>
          </cell>
        </row>
      </sheetData>
      <sheetData sheetId="40">
        <row r="66">
          <cell r="G66">
            <v>81489.785000000003</v>
          </cell>
        </row>
      </sheetData>
      <sheetData sheetId="41">
        <row r="66">
          <cell r="G66">
            <v>81489.785000000003</v>
          </cell>
        </row>
      </sheetData>
      <sheetData sheetId="42">
        <row r="66">
          <cell r="G66">
            <v>81489.785000000003</v>
          </cell>
        </row>
      </sheetData>
      <sheetData sheetId="43"/>
      <sheetData sheetId="44">
        <row r="66">
          <cell r="G66">
            <v>81489.785000000003</v>
          </cell>
        </row>
      </sheetData>
      <sheetData sheetId="45" refreshError="1"/>
      <sheetData sheetId="46">
        <row r="66">
          <cell r="G66">
            <v>81489.785000000003</v>
          </cell>
        </row>
      </sheetData>
      <sheetData sheetId="47">
        <row r="66">
          <cell r="G66">
            <v>81489.785000000003</v>
          </cell>
        </row>
      </sheetData>
      <sheetData sheetId="48">
        <row r="66">
          <cell r="G66">
            <v>81489.785000000003</v>
          </cell>
        </row>
      </sheetData>
      <sheetData sheetId="49">
        <row r="66">
          <cell r="G66">
            <v>81489.785000000003</v>
          </cell>
        </row>
      </sheetData>
      <sheetData sheetId="50">
        <row r="66">
          <cell r="G66">
            <v>81489.785000000003</v>
          </cell>
        </row>
      </sheetData>
      <sheetData sheetId="51">
        <row r="66">
          <cell r="G66">
            <v>81489.785000000003</v>
          </cell>
        </row>
      </sheetData>
      <sheetData sheetId="52">
        <row r="66">
          <cell r="G66">
            <v>81489.785000000003</v>
          </cell>
        </row>
      </sheetData>
      <sheetData sheetId="53">
        <row r="66">
          <cell r="G66">
            <v>81489.785000000003</v>
          </cell>
        </row>
      </sheetData>
      <sheetData sheetId="54">
        <row r="66">
          <cell r="G66">
            <v>81489.785000000003</v>
          </cell>
        </row>
      </sheetData>
      <sheetData sheetId="55">
        <row r="66">
          <cell r="G66">
            <v>81489.785000000003</v>
          </cell>
        </row>
      </sheetData>
      <sheetData sheetId="56">
        <row r="66">
          <cell r="G66">
            <v>81489.785000000003</v>
          </cell>
        </row>
      </sheetData>
      <sheetData sheetId="57">
        <row r="66">
          <cell r="G66">
            <v>81489.785000000003</v>
          </cell>
        </row>
      </sheetData>
      <sheetData sheetId="58" refreshError="1"/>
      <sheetData sheetId="59">
        <row r="66">
          <cell r="G66">
            <v>81489.785000000003</v>
          </cell>
        </row>
      </sheetData>
      <sheetData sheetId="60">
        <row r="66">
          <cell r="G66">
            <v>81489.785000000003</v>
          </cell>
        </row>
      </sheetData>
      <sheetData sheetId="61">
        <row r="66">
          <cell r="G66">
            <v>81489.785000000003</v>
          </cell>
        </row>
      </sheetData>
      <sheetData sheetId="62">
        <row r="66">
          <cell r="G66">
            <v>81489.785000000003</v>
          </cell>
        </row>
      </sheetData>
      <sheetData sheetId="63">
        <row r="66">
          <cell r="G66">
            <v>81489.785000000003</v>
          </cell>
        </row>
      </sheetData>
      <sheetData sheetId="64">
        <row r="66">
          <cell r="G66">
            <v>81489.785000000003</v>
          </cell>
        </row>
      </sheetData>
      <sheetData sheetId="65">
        <row r="66">
          <cell r="G66">
            <v>81489.785000000003</v>
          </cell>
        </row>
      </sheetData>
      <sheetData sheetId="66">
        <row r="66">
          <cell r="G66">
            <v>81489.785000000003</v>
          </cell>
        </row>
      </sheetData>
      <sheetData sheetId="67">
        <row r="66">
          <cell r="G66">
            <v>81489.785000000003</v>
          </cell>
        </row>
      </sheetData>
      <sheetData sheetId="68">
        <row r="66">
          <cell r="G66">
            <v>81489.785000000003</v>
          </cell>
        </row>
      </sheetData>
      <sheetData sheetId="69">
        <row r="66">
          <cell r="G66">
            <v>81489.785000000003</v>
          </cell>
        </row>
      </sheetData>
      <sheetData sheetId="70">
        <row r="66">
          <cell r="G66">
            <v>81489.785000000003</v>
          </cell>
        </row>
      </sheetData>
      <sheetData sheetId="71">
        <row r="66">
          <cell r="G66">
            <v>81489.785000000003</v>
          </cell>
        </row>
      </sheetData>
      <sheetData sheetId="72" refreshError="1"/>
      <sheetData sheetId="73" refreshError="1"/>
      <sheetData sheetId="74" refreshError="1"/>
      <sheetData sheetId="75" refreshError="1"/>
      <sheetData sheetId="76" refreshError="1"/>
      <sheetData sheetId="77" refreshError="1"/>
      <sheetData sheetId="78">
        <row r="66">
          <cell r="G66">
            <v>81489.785000000003</v>
          </cell>
        </row>
      </sheetData>
      <sheetData sheetId="79">
        <row r="66">
          <cell r="G66">
            <v>81489.785000000003</v>
          </cell>
        </row>
      </sheetData>
      <sheetData sheetId="80">
        <row r="66">
          <cell r="G66">
            <v>81489.785000000003</v>
          </cell>
        </row>
      </sheetData>
      <sheetData sheetId="81">
        <row r="66">
          <cell r="G66">
            <v>81489.785000000003</v>
          </cell>
        </row>
      </sheetData>
      <sheetData sheetId="82">
        <row r="66">
          <cell r="G66">
            <v>81489.785000000003</v>
          </cell>
        </row>
      </sheetData>
      <sheetData sheetId="83">
        <row r="66">
          <cell r="G66">
            <v>81489.785000000003</v>
          </cell>
        </row>
      </sheetData>
      <sheetData sheetId="84">
        <row r="66">
          <cell r="G66">
            <v>81489.785000000003</v>
          </cell>
        </row>
      </sheetData>
      <sheetData sheetId="85">
        <row r="66">
          <cell r="G66">
            <v>81489.785000000003</v>
          </cell>
        </row>
      </sheetData>
      <sheetData sheetId="86">
        <row r="66">
          <cell r="G66">
            <v>81489.785000000003</v>
          </cell>
        </row>
      </sheetData>
      <sheetData sheetId="87">
        <row r="66">
          <cell r="G66">
            <v>81489.785000000003</v>
          </cell>
        </row>
      </sheetData>
      <sheetData sheetId="88">
        <row r="66">
          <cell r="G66">
            <v>81489.785000000003</v>
          </cell>
        </row>
      </sheetData>
      <sheetData sheetId="89">
        <row r="66">
          <cell r="G66">
            <v>81489.785000000003</v>
          </cell>
        </row>
      </sheetData>
      <sheetData sheetId="90">
        <row r="66">
          <cell r="G66">
            <v>81489.785000000003</v>
          </cell>
        </row>
      </sheetData>
      <sheetData sheetId="91">
        <row r="66">
          <cell r="G66">
            <v>81489.785000000003</v>
          </cell>
        </row>
      </sheetData>
      <sheetData sheetId="92">
        <row r="66">
          <cell r="G66">
            <v>81489.785000000003</v>
          </cell>
        </row>
      </sheetData>
      <sheetData sheetId="93">
        <row r="66">
          <cell r="G66">
            <v>81489.785000000003</v>
          </cell>
        </row>
      </sheetData>
      <sheetData sheetId="94">
        <row r="66">
          <cell r="G66">
            <v>81489.785000000003</v>
          </cell>
        </row>
      </sheetData>
      <sheetData sheetId="95">
        <row r="66">
          <cell r="G66">
            <v>81489.785000000003</v>
          </cell>
        </row>
      </sheetData>
      <sheetData sheetId="96">
        <row r="66">
          <cell r="G66">
            <v>81489.785000000003</v>
          </cell>
        </row>
      </sheetData>
      <sheetData sheetId="97">
        <row r="66">
          <cell r="G66">
            <v>81489.785000000003</v>
          </cell>
        </row>
      </sheetData>
      <sheetData sheetId="98">
        <row r="66">
          <cell r="G66">
            <v>81489.785000000003</v>
          </cell>
        </row>
      </sheetData>
      <sheetData sheetId="99">
        <row r="66">
          <cell r="G66">
            <v>81489.785000000003</v>
          </cell>
        </row>
      </sheetData>
      <sheetData sheetId="100">
        <row r="66">
          <cell r="G66">
            <v>81489.785000000003</v>
          </cell>
        </row>
      </sheetData>
      <sheetData sheetId="101">
        <row r="66">
          <cell r="G66">
            <v>81489.785000000003</v>
          </cell>
        </row>
      </sheetData>
      <sheetData sheetId="102">
        <row r="66">
          <cell r="G66">
            <v>81489.785000000003</v>
          </cell>
        </row>
      </sheetData>
      <sheetData sheetId="103">
        <row r="66">
          <cell r="G66">
            <v>81489.785000000003</v>
          </cell>
        </row>
      </sheetData>
      <sheetData sheetId="104">
        <row r="66">
          <cell r="G66">
            <v>81489.785000000003</v>
          </cell>
        </row>
      </sheetData>
      <sheetData sheetId="105">
        <row r="66">
          <cell r="G66">
            <v>81489.785000000003</v>
          </cell>
        </row>
      </sheetData>
      <sheetData sheetId="106">
        <row r="66">
          <cell r="G66">
            <v>81489.785000000003</v>
          </cell>
        </row>
      </sheetData>
      <sheetData sheetId="107">
        <row r="66">
          <cell r="G66">
            <v>81489.785000000003</v>
          </cell>
        </row>
      </sheetData>
      <sheetData sheetId="108">
        <row r="66">
          <cell r="G66">
            <v>81489.785000000003</v>
          </cell>
        </row>
      </sheetData>
      <sheetData sheetId="109">
        <row r="66">
          <cell r="G66">
            <v>81489.785000000003</v>
          </cell>
        </row>
      </sheetData>
      <sheetData sheetId="110"/>
      <sheetData sheetId="111"/>
      <sheetData sheetId="112">
        <row r="66">
          <cell r="G66">
            <v>81489.785000000003</v>
          </cell>
        </row>
      </sheetData>
      <sheetData sheetId="113">
        <row r="66">
          <cell r="G66">
            <v>81489.785000000003</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ow r="66">
          <cell r="G66">
            <v>81489.785000000003</v>
          </cell>
        </row>
      </sheetData>
      <sheetData sheetId="124">
        <row r="66">
          <cell r="G66">
            <v>81489.785000000003</v>
          </cell>
        </row>
      </sheetData>
      <sheetData sheetId="125">
        <row r="66">
          <cell r="G66">
            <v>81489.785000000003</v>
          </cell>
        </row>
      </sheetData>
      <sheetData sheetId="126">
        <row r="66">
          <cell r="G66">
            <v>81489.785000000003</v>
          </cell>
        </row>
      </sheetData>
      <sheetData sheetId="127">
        <row r="66">
          <cell r="G66">
            <v>81489.785000000003</v>
          </cell>
        </row>
      </sheetData>
      <sheetData sheetId="128">
        <row r="66">
          <cell r="G66">
            <v>81489.785000000003</v>
          </cell>
        </row>
      </sheetData>
      <sheetData sheetId="129">
        <row r="66">
          <cell r="G66">
            <v>81489.785000000003</v>
          </cell>
        </row>
      </sheetData>
      <sheetData sheetId="130">
        <row r="66">
          <cell r="G66">
            <v>81489.785000000003</v>
          </cell>
        </row>
      </sheetData>
      <sheetData sheetId="131">
        <row r="66">
          <cell r="G66">
            <v>81489.785000000003</v>
          </cell>
        </row>
      </sheetData>
      <sheetData sheetId="132">
        <row r="66">
          <cell r="G66">
            <v>81489.785000000003</v>
          </cell>
        </row>
      </sheetData>
      <sheetData sheetId="133">
        <row r="66">
          <cell r="G66">
            <v>81489.785000000003</v>
          </cell>
        </row>
      </sheetData>
      <sheetData sheetId="134">
        <row r="66">
          <cell r="G66">
            <v>81489.785000000003</v>
          </cell>
        </row>
      </sheetData>
      <sheetData sheetId="135">
        <row r="66">
          <cell r="G66">
            <v>81489.785000000003</v>
          </cell>
        </row>
      </sheetData>
      <sheetData sheetId="136">
        <row r="66">
          <cell r="G66">
            <v>81489.785000000003</v>
          </cell>
        </row>
      </sheetData>
      <sheetData sheetId="137">
        <row r="66">
          <cell r="G66">
            <v>81489.785000000003</v>
          </cell>
        </row>
      </sheetData>
      <sheetData sheetId="138">
        <row r="66">
          <cell r="G66">
            <v>81489.785000000003</v>
          </cell>
        </row>
      </sheetData>
      <sheetData sheetId="139">
        <row r="66">
          <cell r="G66">
            <v>81489.785000000003</v>
          </cell>
        </row>
      </sheetData>
      <sheetData sheetId="140"/>
      <sheetData sheetId="141">
        <row r="66">
          <cell r="G66">
            <v>81489.785000000003</v>
          </cell>
        </row>
      </sheetData>
      <sheetData sheetId="142"/>
      <sheetData sheetId="143">
        <row r="66">
          <cell r="G66">
            <v>81489.785000000003</v>
          </cell>
        </row>
      </sheetData>
      <sheetData sheetId="144">
        <row r="66">
          <cell r="G66">
            <v>81489.785000000003</v>
          </cell>
        </row>
      </sheetData>
      <sheetData sheetId="145">
        <row r="66">
          <cell r="G66">
            <v>81489.785000000003</v>
          </cell>
        </row>
      </sheetData>
      <sheetData sheetId="146">
        <row r="66">
          <cell r="G66">
            <v>81489.785000000003</v>
          </cell>
        </row>
      </sheetData>
      <sheetData sheetId="147">
        <row r="66">
          <cell r="G66">
            <v>81489.785000000003</v>
          </cell>
        </row>
      </sheetData>
      <sheetData sheetId="148">
        <row r="66">
          <cell r="G66">
            <v>81489.785000000003</v>
          </cell>
        </row>
      </sheetData>
      <sheetData sheetId="149">
        <row r="66">
          <cell r="G66">
            <v>81489.785000000003</v>
          </cell>
        </row>
      </sheetData>
      <sheetData sheetId="150">
        <row r="66">
          <cell r="G66">
            <v>81489.785000000003</v>
          </cell>
        </row>
      </sheetData>
      <sheetData sheetId="151">
        <row r="66">
          <cell r="G66">
            <v>81489.785000000003</v>
          </cell>
        </row>
      </sheetData>
      <sheetData sheetId="152">
        <row r="66">
          <cell r="G66">
            <v>81489.785000000003</v>
          </cell>
        </row>
      </sheetData>
      <sheetData sheetId="153">
        <row r="66">
          <cell r="G66">
            <v>81489.785000000003</v>
          </cell>
        </row>
      </sheetData>
      <sheetData sheetId="154">
        <row r="66">
          <cell r="G66">
            <v>81489.785000000003</v>
          </cell>
        </row>
      </sheetData>
      <sheetData sheetId="155">
        <row r="66">
          <cell r="G66">
            <v>81489.785000000003</v>
          </cell>
        </row>
      </sheetData>
      <sheetData sheetId="156">
        <row r="66">
          <cell r="G66">
            <v>81489.785000000003</v>
          </cell>
        </row>
      </sheetData>
      <sheetData sheetId="157">
        <row r="66">
          <cell r="G66">
            <v>81489.785000000003</v>
          </cell>
        </row>
      </sheetData>
      <sheetData sheetId="158">
        <row r="66">
          <cell r="G66">
            <v>81489.785000000003</v>
          </cell>
        </row>
      </sheetData>
      <sheetData sheetId="159">
        <row r="66">
          <cell r="G66">
            <v>81489.785000000003</v>
          </cell>
        </row>
      </sheetData>
      <sheetData sheetId="160">
        <row r="66">
          <cell r="G66">
            <v>81489.785000000003</v>
          </cell>
        </row>
      </sheetData>
      <sheetData sheetId="161">
        <row r="66">
          <cell r="G66">
            <v>81489.785000000003</v>
          </cell>
        </row>
      </sheetData>
      <sheetData sheetId="162">
        <row r="66">
          <cell r="G66">
            <v>81489.785000000003</v>
          </cell>
        </row>
      </sheetData>
      <sheetData sheetId="163">
        <row r="66">
          <cell r="G66">
            <v>81489.785000000003</v>
          </cell>
        </row>
      </sheetData>
      <sheetData sheetId="164">
        <row r="66">
          <cell r="G66">
            <v>81489.785000000003</v>
          </cell>
        </row>
      </sheetData>
      <sheetData sheetId="165">
        <row r="66">
          <cell r="G66">
            <v>81489.785000000003</v>
          </cell>
        </row>
      </sheetData>
      <sheetData sheetId="166">
        <row r="66">
          <cell r="G66">
            <v>81489.785000000003</v>
          </cell>
        </row>
      </sheetData>
      <sheetData sheetId="167">
        <row r="66">
          <cell r="G66">
            <v>81489.785000000003</v>
          </cell>
        </row>
      </sheetData>
      <sheetData sheetId="168">
        <row r="66">
          <cell r="G66">
            <v>81489.785000000003</v>
          </cell>
        </row>
      </sheetData>
      <sheetData sheetId="169">
        <row r="66">
          <cell r="G66">
            <v>81489.785000000003</v>
          </cell>
        </row>
      </sheetData>
      <sheetData sheetId="170">
        <row r="66">
          <cell r="G66">
            <v>81489.785000000003</v>
          </cell>
        </row>
      </sheetData>
      <sheetData sheetId="171">
        <row r="66">
          <cell r="G66">
            <v>81489.785000000003</v>
          </cell>
        </row>
      </sheetData>
      <sheetData sheetId="172">
        <row r="66">
          <cell r="G66">
            <v>81489.785000000003</v>
          </cell>
        </row>
      </sheetData>
      <sheetData sheetId="173">
        <row r="66">
          <cell r="G66">
            <v>81489.785000000003</v>
          </cell>
        </row>
      </sheetData>
      <sheetData sheetId="174">
        <row r="66">
          <cell r="G66">
            <v>81489.785000000003</v>
          </cell>
        </row>
      </sheetData>
      <sheetData sheetId="175">
        <row r="66">
          <cell r="G66">
            <v>81489.785000000003</v>
          </cell>
        </row>
      </sheetData>
      <sheetData sheetId="176">
        <row r="66">
          <cell r="G66">
            <v>81489.785000000003</v>
          </cell>
        </row>
      </sheetData>
      <sheetData sheetId="177">
        <row r="66">
          <cell r="G66">
            <v>81489.785000000003</v>
          </cell>
        </row>
      </sheetData>
      <sheetData sheetId="178">
        <row r="66">
          <cell r="G66">
            <v>81489.785000000003</v>
          </cell>
        </row>
      </sheetData>
      <sheetData sheetId="179">
        <row r="66">
          <cell r="G66">
            <v>81489.785000000003</v>
          </cell>
        </row>
      </sheetData>
      <sheetData sheetId="180">
        <row r="66">
          <cell r="G66">
            <v>81489.785000000003</v>
          </cell>
        </row>
      </sheetData>
      <sheetData sheetId="181">
        <row r="66">
          <cell r="G66">
            <v>81489.785000000003</v>
          </cell>
        </row>
      </sheetData>
      <sheetData sheetId="182">
        <row r="66">
          <cell r="G66">
            <v>81489.785000000003</v>
          </cell>
        </row>
      </sheetData>
      <sheetData sheetId="183">
        <row r="66">
          <cell r="G66">
            <v>81489.785000000003</v>
          </cell>
        </row>
      </sheetData>
      <sheetData sheetId="184">
        <row r="66">
          <cell r="G66">
            <v>81489.785000000003</v>
          </cell>
        </row>
      </sheetData>
      <sheetData sheetId="185">
        <row r="66">
          <cell r="G66">
            <v>81489.785000000003</v>
          </cell>
        </row>
      </sheetData>
      <sheetData sheetId="186">
        <row r="66">
          <cell r="G66">
            <v>81489.785000000003</v>
          </cell>
        </row>
      </sheetData>
      <sheetData sheetId="187">
        <row r="66">
          <cell r="G66">
            <v>81489.785000000003</v>
          </cell>
        </row>
      </sheetData>
      <sheetData sheetId="188">
        <row r="66">
          <cell r="G66">
            <v>81489.785000000003</v>
          </cell>
        </row>
      </sheetData>
      <sheetData sheetId="189">
        <row r="66">
          <cell r="G66">
            <v>81489.785000000003</v>
          </cell>
        </row>
      </sheetData>
      <sheetData sheetId="190">
        <row r="66">
          <cell r="G66">
            <v>81489.785000000003</v>
          </cell>
        </row>
      </sheetData>
      <sheetData sheetId="191">
        <row r="66">
          <cell r="G66">
            <v>81489.785000000003</v>
          </cell>
        </row>
      </sheetData>
      <sheetData sheetId="192"/>
      <sheetData sheetId="193">
        <row r="66">
          <cell r="G66">
            <v>81489.785000000003</v>
          </cell>
        </row>
      </sheetData>
      <sheetData sheetId="194">
        <row r="66">
          <cell r="G66">
            <v>81489.785000000003</v>
          </cell>
        </row>
      </sheetData>
      <sheetData sheetId="195">
        <row r="66">
          <cell r="G66">
            <v>81489.785000000003</v>
          </cell>
        </row>
      </sheetData>
      <sheetData sheetId="196">
        <row r="66">
          <cell r="G66">
            <v>81489.785000000003</v>
          </cell>
        </row>
      </sheetData>
      <sheetData sheetId="197">
        <row r="66">
          <cell r="G66">
            <v>81489.785000000003</v>
          </cell>
        </row>
      </sheetData>
      <sheetData sheetId="198">
        <row r="66">
          <cell r="G66">
            <v>81489.785000000003</v>
          </cell>
        </row>
      </sheetData>
      <sheetData sheetId="199">
        <row r="66">
          <cell r="G66">
            <v>81489.785000000003</v>
          </cell>
        </row>
      </sheetData>
      <sheetData sheetId="200">
        <row r="66">
          <cell r="G66">
            <v>81489.785000000003</v>
          </cell>
        </row>
      </sheetData>
      <sheetData sheetId="201">
        <row r="66">
          <cell r="G66">
            <v>81489.785000000003</v>
          </cell>
        </row>
      </sheetData>
      <sheetData sheetId="202">
        <row r="66">
          <cell r="G66">
            <v>81489.785000000003</v>
          </cell>
        </row>
      </sheetData>
      <sheetData sheetId="203">
        <row r="66">
          <cell r="G66">
            <v>81489.785000000003</v>
          </cell>
        </row>
      </sheetData>
      <sheetData sheetId="204"/>
      <sheetData sheetId="205"/>
      <sheetData sheetId="206"/>
      <sheetData sheetId="207">
        <row r="66">
          <cell r="G66">
            <v>81489.785000000003</v>
          </cell>
        </row>
      </sheetData>
      <sheetData sheetId="208">
        <row r="66">
          <cell r="G66">
            <v>81489.785000000003</v>
          </cell>
        </row>
      </sheetData>
      <sheetData sheetId="209"/>
      <sheetData sheetId="210">
        <row r="66">
          <cell r="G66">
            <v>81489.785000000003</v>
          </cell>
        </row>
      </sheetData>
      <sheetData sheetId="211"/>
      <sheetData sheetId="212">
        <row r="66">
          <cell r="G66">
            <v>81489.785000000003</v>
          </cell>
        </row>
      </sheetData>
      <sheetData sheetId="213">
        <row r="66">
          <cell r="G66">
            <v>81489.785000000003</v>
          </cell>
        </row>
      </sheetData>
      <sheetData sheetId="214">
        <row r="66">
          <cell r="G66">
            <v>81489.785000000003</v>
          </cell>
        </row>
      </sheetData>
      <sheetData sheetId="215">
        <row r="66">
          <cell r="G66">
            <v>81489.785000000003</v>
          </cell>
        </row>
      </sheetData>
      <sheetData sheetId="216">
        <row r="66">
          <cell r="G66">
            <v>81489.785000000003</v>
          </cell>
        </row>
      </sheetData>
      <sheetData sheetId="217">
        <row r="66">
          <cell r="G66">
            <v>81489.785000000003</v>
          </cell>
        </row>
      </sheetData>
      <sheetData sheetId="218">
        <row r="66">
          <cell r="G66">
            <v>81489.785000000003</v>
          </cell>
        </row>
      </sheetData>
      <sheetData sheetId="219">
        <row r="66">
          <cell r="G66">
            <v>81489.785000000003</v>
          </cell>
        </row>
      </sheetData>
      <sheetData sheetId="220">
        <row r="66">
          <cell r="G66">
            <v>81489.785000000003</v>
          </cell>
        </row>
      </sheetData>
      <sheetData sheetId="221">
        <row r="66">
          <cell r="G66">
            <v>81489.785000000003</v>
          </cell>
        </row>
      </sheetData>
      <sheetData sheetId="222">
        <row r="66">
          <cell r="G66">
            <v>81489.785000000003</v>
          </cell>
        </row>
      </sheetData>
      <sheetData sheetId="223">
        <row r="66">
          <cell r="G66">
            <v>81489.785000000003</v>
          </cell>
        </row>
      </sheetData>
      <sheetData sheetId="224">
        <row r="66">
          <cell r="G66">
            <v>81489.785000000003</v>
          </cell>
        </row>
      </sheetData>
      <sheetData sheetId="225">
        <row r="66">
          <cell r="G66">
            <v>81489.785000000003</v>
          </cell>
        </row>
      </sheetData>
      <sheetData sheetId="226">
        <row r="66">
          <cell r="G66">
            <v>81489.785000000003</v>
          </cell>
        </row>
      </sheetData>
      <sheetData sheetId="227">
        <row r="66">
          <cell r="G66">
            <v>81489.785000000003</v>
          </cell>
        </row>
      </sheetData>
      <sheetData sheetId="228">
        <row r="66">
          <cell r="G66">
            <v>81489.785000000003</v>
          </cell>
        </row>
      </sheetData>
      <sheetData sheetId="229">
        <row r="66">
          <cell r="G66">
            <v>81489.785000000003</v>
          </cell>
        </row>
      </sheetData>
      <sheetData sheetId="230">
        <row r="66">
          <cell r="G66">
            <v>81489.785000000003</v>
          </cell>
        </row>
      </sheetData>
      <sheetData sheetId="231">
        <row r="66">
          <cell r="G66">
            <v>81489.785000000003</v>
          </cell>
        </row>
      </sheetData>
      <sheetData sheetId="232">
        <row r="66">
          <cell r="G66">
            <v>81489.785000000003</v>
          </cell>
        </row>
      </sheetData>
      <sheetData sheetId="233">
        <row r="66">
          <cell r="G66">
            <v>81489.785000000003</v>
          </cell>
        </row>
      </sheetData>
      <sheetData sheetId="234"/>
      <sheetData sheetId="235">
        <row r="66">
          <cell r="G66">
            <v>81489.785000000003</v>
          </cell>
        </row>
      </sheetData>
      <sheetData sheetId="236">
        <row r="66">
          <cell r="G66">
            <v>81489.785000000003</v>
          </cell>
        </row>
      </sheetData>
      <sheetData sheetId="237"/>
      <sheetData sheetId="238">
        <row r="66">
          <cell r="G66">
            <v>81489.785000000003</v>
          </cell>
        </row>
      </sheetData>
      <sheetData sheetId="239">
        <row r="66">
          <cell r="G66">
            <v>81489.785000000003</v>
          </cell>
        </row>
      </sheetData>
      <sheetData sheetId="240">
        <row r="66">
          <cell r="G66">
            <v>81489.785000000003</v>
          </cell>
        </row>
      </sheetData>
      <sheetData sheetId="241">
        <row r="66">
          <cell r="G66">
            <v>81489.785000000003</v>
          </cell>
        </row>
      </sheetData>
      <sheetData sheetId="242">
        <row r="66">
          <cell r="G66">
            <v>81489.785000000003</v>
          </cell>
        </row>
      </sheetData>
      <sheetData sheetId="243">
        <row r="66">
          <cell r="G66">
            <v>81489.785000000003</v>
          </cell>
        </row>
      </sheetData>
      <sheetData sheetId="244">
        <row r="66">
          <cell r="G66">
            <v>81489.785000000003</v>
          </cell>
        </row>
      </sheetData>
      <sheetData sheetId="245">
        <row r="66">
          <cell r="G66">
            <v>81489.785000000003</v>
          </cell>
        </row>
      </sheetData>
      <sheetData sheetId="246">
        <row r="66">
          <cell r="G66">
            <v>81489.785000000003</v>
          </cell>
        </row>
      </sheetData>
      <sheetData sheetId="247">
        <row r="66">
          <cell r="G66">
            <v>81489.785000000003</v>
          </cell>
        </row>
      </sheetData>
      <sheetData sheetId="248">
        <row r="66">
          <cell r="G66">
            <v>81489.785000000003</v>
          </cell>
        </row>
      </sheetData>
      <sheetData sheetId="249">
        <row r="66">
          <cell r="G66">
            <v>81489.785000000003</v>
          </cell>
        </row>
      </sheetData>
      <sheetData sheetId="250">
        <row r="66">
          <cell r="G66">
            <v>81489.785000000003</v>
          </cell>
        </row>
      </sheetData>
      <sheetData sheetId="251"/>
      <sheetData sheetId="252">
        <row r="66">
          <cell r="G66">
            <v>81489.785000000003</v>
          </cell>
        </row>
      </sheetData>
      <sheetData sheetId="253">
        <row r="66">
          <cell r="G66">
            <v>81489.785000000003</v>
          </cell>
        </row>
      </sheetData>
      <sheetData sheetId="254">
        <row r="66">
          <cell r="G66">
            <v>81489.785000000003</v>
          </cell>
        </row>
      </sheetData>
      <sheetData sheetId="255">
        <row r="66">
          <cell r="G66">
            <v>81489.785000000003</v>
          </cell>
        </row>
      </sheetData>
      <sheetData sheetId="256">
        <row r="66">
          <cell r="G66">
            <v>81489.785000000003</v>
          </cell>
        </row>
      </sheetData>
      <sheetData sheetId="257">
        <row r="66">
          <cell r="G66">
            <v>81489.785000000003</v>
          </cell>
        </row>
      </sheetData>
      <sheetData sheetId="258">
        <row r="66">
          <cell r="G66">
            <v>81489.785000000003</v>
          </cell>
        </row>
      </sheetData>
      <sheetData sheetId="259">
        <row r="66">
          <cell r="G66">
            <v>81489.785000000003</v>
          </cell>
        </row>
      </sheetData>
      <sheetData sheetId="260">
        <row r="66">
          <cell r="G66">
            <v>81489.785000000003</v>
          </cell>
        </row>
      </sheetData>
      <sheetData sheetId="261">
        <row r="66">
          <cell r="G66">
            <v>81489.785000000003</v>
          </cell>
        </row>
      </sheetData>
      <sheetData sheetId="262">
        <row r="66">
          <cell r="G66">
            <v>81489.785000000003</v>
          </cell>
        </row>
      </sheetData>
      <sheetData sheetId="263">
        <row r="66">
          <cell r="G66">
            <v>81489.785000000003</v>
          </cell>
        </row>
      </sheetData>
      <sheetData sheetId="264">
        <row r="66">
          <cell r="G66">
            <v>81489.785000000003</v>
          </cell>
        </row>
      </sheetData>
      <sheetData sheetId="265">
        <row r="66">
          <cell r="G66">
            <v>81489.785000000003</v>
          </cell>
        </row>
      </sheetData>
      <sheetData sheetId="266">
        <row r="66">
          <cell r="G66">
            <v>81489.785000000003</v>
          </cell>
        </row>
      </sheetData>
      <sheetData sheetId="267">
        <row r="66">
          <cell r="G66">
            <v>81489.785000000003</v>
          </cell>
        </row>
      </sheetData>
      <sheetData sheetId="268">
        <row r="66">
          <cell r="G66">
            <v>81489.785000000003</v>
          </cell>
        </row>
      </sheetData>
      <sheetData sheetId="269">
        <row r="66">
          <cell r="G66">
            <v>81489.785000000003</v>
          </cell>
        </row>
      </sheetData>
      <sheetData sheetId="270">
        <row r="66">
          <cell r="G66">
            <v>81489.785000000003</v>
          </cell>
        </row>
      </sheetData>
      <sheetData sheetId="271">
        <row r="66">
          <cell r="G66">
            <v>81489.785000000003</v>
          </cell>
        </row>
      </sheetData>
      <sheetData sheetId="272">
        <row r="66">
          <cell r="G66">
            <v>81489.785000000003</v>
          </cell>
        </row>
      </sheetData>
      <sheetData sheetId="273">
        <row r="66">
          <cell r="G66">
            <v>81489.785000000003</v>
          </cell>
        </row>
      </sheetData>
      <sheetData sheetId="274">
        <row r="66">
          <cell r="G66">
            <v>81489.785000000003</v>
          </cell>
        </row>
      </sheetData>
      <sheetData sheetId="275">
        <row r="66">
          <cell r="G66">
            <v>81489.785000000003</v>
          </cell>
        </row>
      </sheetData>
      <sheetData sheetId="276">
        <row r="66">
          <cell r="G66">
            <v>81489.785000000003</v>
          </cell>
        </row>
      </sheetData>
      <sheetData sheetId="277">
        <row r="66">
          <cell r="G66">
            <v>81489.785000000003</v>
          </cell>
        </row>
      </sheetData>
      <sheetData sheetId="278">
        <row r="66">
          <cell r="G66">
            <v>81489.785000000003</v>
          </cell>
        </row>
      </sheetData>
      <sheetData sheetId="279">
        <row r="66">
          <cell r="G66">
            <v>81489.785000000003</v>
          </cell>
        </row>
      </sheetData>
      <sheetData sheetId="280">
        <row r="66">
          <cell r="G66">
            <v>81489.785000000003</v>
          </cell>
        </row>
      </sheetData>
      <sheetData sheetId="281">
        <row r="66">
          <cell r="G66">
            <v>81489.785000000003</v>
          </cell>
        </row>
      </sheetData>
      <sheetData sheetId="282">
        <row r="66">
          <cell r="G66">
            <v>81489.785000000003</v>
          </cell>
        </row>
      </sheetData>
      <sheetData sheetId="283">
        <row r="66">
          <cell r="G66">
            <v>81489.785000000003</v>
          </cell>
        </row>
      </sheetData>
      <sheetData sheetId="284">
        <row r="66">
          <cell r="G66">
            <v>81489.785000000003</v>
          </cell>
        </row>
      </sheetData>
      <sheetData sheetId="285">
        <row r="66">
          <cell r="G66">
            <v>81489.785000000003</v>
          </cell>
        </row>
      </sheetData>
      <sheetData sheetId="286">
        <row r="66">
          <cell r="G66">
            <v>81489.785000000003</v>
          </cell>
        </row>
      </sheetData>
      <sheetData sheetId="287">
        <row r="66">
          <cell r="G66">
            <v>81489.785000000003</v>
          </cell>
        </row>
      </sheetData>
      <sheetData sheetId="288">
        <row r="66">
          <cell r="G66">
            <v>81489.785000000003</v>
          </cell>
        </row>
      </sheetData>
      <sheetData sheetId="289">
        <row r="66">
          <cell r="G66">
            <v>81489.785000000003</v>
          </cell>
        </row>
      </sheetData>
      <sheetData sheetId="290">
        <row r="66">
          <cell r="G66">
            <v>81489.785000000003</v>
          </cell>
        </row>
      </sheetData>
      <sheetData sheetId="291">
        <row r="66">
          <cell r="G66">
            <v>81489.785000000003</v>
          </cell>
        </row>
      </sheetData>
      <sheetData sheetId="292">
        <row r="66">
          <cell r="G66">
            <v>81489.785000000003</v>
          </cell>
        </row>
      </sheetData>
      <sheetData sheetId="293">
        <row r="66">
          <cell r="G66">
            <v>81489.785000000003</v>
          </cell>
        </row>
      </sheetData>
      <sheetData sheetId="294">
        <row r="66">
          <cell r="G66">
            <v>81489.785000000003</v>
          </cell>
        </row>
      </sheetData>
      <sheetData sheetId="295">
        <row r="66">
          <cell r="G66">
            <v>81489.785000000003</v>
          </cell>
        </row>
      </sheetData>
      <sheetData sheetId="296">
        <row r="66">
          <cell r="G66">
            <v>81489.785000000003</v>
          </cell>
        </row>
      </sheetData>
      <sheetData sheetId="297">
        <row r="66">
          <cell r="G66">
            <v>81489.785000000003</v>
          </cell>
        </row>
      </sheetData>
      <sheetData sheetId="298">
        <row r="66">
          <cell r="G66">
            <v>81489.785000000003</v>
          </cell>
        </row>
      </sheetData>
      <sheetData sheetId="299">
        <row r="66">
          <cell r="G66">
            <v>81489.785000000003</v>
          </cell>
        </row>
      </sheetData>
      <sheetData sheetId="300">
        <row r="66">
          <cell r="G66">
            <v>81489.785000000003</v>
          </cell>
        </row>
      </sheetData>
      <sheetData sheetId="301">
        <row r="66">
          <cell r="G66">
            <v>81489.785000000003</v>
          </cell>
        </row>
      </sheetData>
      <sheetData sheetId="302">
        <row r="66">
          <cell r="G66">
            <v>81489.785000000003</v>
          </cell>
        </row>
      </sheetData>
      <sheetData sheetId="303">
        <row r="66">
          <cell r="G66">
            <v>81489.785000000003</v>
          </cell>
        </row>
      </sheetData>
      <sheetData sheetId="304">
        <row r="66">
          <cell r="G66">
            <v>81489.785000000003</v>
          </cell>
        </row>
      </sheetData>
      <sheetData sheetId="305">
        <row r="66">
          <cell r="G66">
            <v>81489.785000000003</v>
          </cell>
        </row>
      </sheetData>
      <sheetData sheetId="306">
        <row r="66">
          <cell r="G66">
            <v>81489.785000000003</v>
          </cell>
        </row>
      </sheetData>
      <sheetData sheetId="307">
        <row r="66">
          <cell r="G66">
            <v>81489.785000000003</v>
          </cell>
        </row>
      </sheetData>
      <sheetData sheetId="308">
        <row r="66">
          <cell r="G66">
            <v>81489.785000000003</v>
          </cell>
        </row>
      </sheetData>
      <sheetData sheetId="309">
        <row r="66">
          <cell r="G66">
            <v>81489.785000000003</v>
          </cell>
        </row>
      </sheetData>
      <sheetData sheetId="310">
        <row r="66">
          <cell r="G66">
            <v>81489.785000000003</v>
          </cell>
        </row>
      </sheetData>
      <sheetData sheetId="311">
        <row r="66">
          <cell r="G66">
            <v>81489.785000000003</v>
          </cell>
        </row>
      </sheetData>
      <sheetData sheetId="312">
        <row r="66">
          <cell r="G66">
            <v>81489.785000000003</v>
          </cell>
        </row>
      </sheetData>
      <sheetData sheetId="313">
        <row r="66">
          <cell r="G66">
            <v>81489.785000000003</v>
          </cell>
        </row>
      </sheetData>
      <sheetData sheetId="314">
        <row r="66">
          <cell r="G66">
            <v>81489.785000000003</v>
          </cell>
        </row>
      </sheetData>
      <sheetData sheetId="315">
        <row r="66">
          <cell r="G66">
            <v>81489.785000000003</v>
          </cell>
        </row>
      </sheetData>
      <sheetData sheetId="316">
        <row r="66">
          <cell r="G66">
            <v>81489.785000000003</v>
          </cell>
        </row>
      </sheetData>
      <sheetData sheetId="317">
        <row r="66">
          <cell r="G66">
            <v>81489.785000000003</v>
          </cell>
        </row>
      </sheetData>
      <sheetData sheetId="318">
        <row r="66">
          <cell r="G66">
            <v>81489.785000000003</v>
          </cell>
        </row>
      </sheetData>
      <sheetData sheetId="319">
        <row r="66">
          <cell r="G66">
            <v>81489.785000000003</v>
          </cell>
        </row>
      </sheetData>
      <sheetData sheetId="320">
        <row r="66">
          <cell r="G66">
            <v>81489.785000000003</v>
          </cell>
        </row>
      </sheetData>
      <sheetData sheetId="321">
        <row r="66">
          <cell r="G66">
            <v>81489.785000000003</v>
          </cell>
        </row>
      </sheetData>
      <sheetData sheetId="322">
        <row r="66">
          <cell r="G66">
            <v>81489.785000000003</v>
          </cell>
        </row>
      </sheetData>
      <sheetData sheetId="323">
        <row r="66">
          <cell r="G66">
            <v>81489.785000000003</v>
          </cell>
        </row>
      </sheetData>
      <sheetData sheetId="324">
        <row r="66">
          <cell r="G66">
            <v>81489.785000000003</v>
          </cell>
        </row>
      </sheetData>
      <sheetData sheetId="325">
        <row r="66">
          <cell r="G66">
            <v>81489.785000000003</v>
          </cell>
        </row>
      </sheetData>
      <sheetData sheetId="326">
        <row r="66">
          <cell r="G66">
            <v>81489.785000000003</v>
          </cell>
        </row>
      </sheetData>
      <sheetData sheetId="327">
        <row r="66">
          <cell r="G66">
            <v>81489.785000000003</v>
          </cell>
        </row>
      </sheetData>
      <sheetData sheetId="328">
        <row r="66">
          <cell r="G66">
            <v>81489.785000000003</v>
          </cell>
        </row>
      </sheetData>
      <sheetData sheetId="329">
        <row r="66">
          <cell r="G66">
            <v>81489.785000000003</v>
          </cell>
        </row>
      </sheetData>
      <sheetData sheetId="330">
        <row r="66">
          <cell r="G66">
            <v>81489.785000000003</v>
          </cell>
        </row>
      </sheetData>
      <sheetData sheetId="331">
        <row r="66">
          <cell r="G66">
            <v>81489.785000000003</v>
          </cell>
        </row>
      </sheetData>
      <sheetData sheetId="332">
        <row r="66">
          <cell r="G66">
            <v>81489.785000000003</v>
          </cell>
        </row>
      </sheetData>
      <sheetData sheetId="333">
        <row r="66">
          <cell r="G66">
            <v>81489.785000000003</v>
          </cell>
        </row>
      </sheetData>
      <sheetData sheetId="334">
        <row r="66">
          <cell r="G66">
            <v>81489.785000000003</v>
          </cell>
        </row>
      </sheetData>
      <sheetData sheetId="335">
        <row r="66">
          <cell r="G66">
            <v>81489.785000000003</v>
          </cell>
        </row>
      </sheetData>
      <sheetData sheetId="336">
        <row r="66">
          <cell r="G66">
            <v>81489.785000000003</v>
          </cell>
        </row>
      </sheetData>
      <sheetData sheetId="337">
        <row r="66">
          <cell r="G66">
            <v>81489.785000000003</v>
          </cell>
        </row>
      </sheetData>
      <sheetData sheetId="338">
        <row r="66">
          <cell r="G66">
            <v>81489.785000000003</v>
          </cell>
        </row>
      </sheetData>
      <sheetData sheetId="339">
        <row r="66">
          <cell r="G66">
            <v>81489.785000000003</v>
          </cell>
        </row>
      </sheetData>
      <sheetData sheetId="340">
        <row r="66">
          <cell r="G66">
            <v>81489.785000000003</v>
          </cell>
        </row>
      </sheetData>
      <sheetData sheetId="341">
        <row r="66">
          <cell r="G66">
            <v>81489.785000000003</v>
          </cell>
        </row>
      </sheetData>
      <sheetData sheetId="342">
        <row r="66">
          <cell r="G66">
            <v>81489.785000000003</v>
          </cell>
        </row>
      </sheetData>
      <sheetData sheetId="343">
        <row r="66">
          <cell r="G66">
            <v>81489.785000000003</v>
          </cell>
        </row>
      </sheetData>
      <sheetData sheetId="344">
        <row r="66">
          <cell r="G66">
            <v>81489.785000000003</v>
          </cell>
        </row>
      </sheetData>
      <sheetData sheetId="345">
        <row r="66">
          <cell r="G66">
            <v>81489.785000000003</v>
          </cell>
        </row>
      </sheetData>
      <sheetData sheetId="346">
        <row r="66">
          <cell r="G66">
            <v>81489.785000000003</v>
          </cell>
        </row>
      </sheetData>
      <sheetData sheetId="347">
        <row r="66">
          <cell r="G66">
            <v>81489.785000000003</v>
          </cell>
        </row>
      </sheetData>
      <sheetData sheetId="348">
        <row r="66">
          <cell r="G66">
            <v>81489.785000000003</v>
          </cell>
        </row>
      </sheetData>
      <sheetData sheetId="349">
        <row r="66">
          <cell r="G66">
            <v>81489.785000000003</v>
          </cell>
        </row>
      </sheetData>
      <sheetData sheetId="350">
        <row r="66">
          <cell r="G66">
            <v>81489.785000000003</v>
          </cell>
        </row>
      </sheetData>
      <sheetData sheetId="351">
        <row r="66">
          <cell r="G66">
            <v>81489.785000000003</v>
          </cell>
        </row>
      </sheetData>
      <sheetData sheetId="352">
        <row r="66">
          <cell r="G66">
            <v>81489.785000000003</v>
          </cell>
        </row>
      </sheetData>
      <sheetData sheetId="353">
        <row r="66">
          <cell r="G66">
            <v>81489.785000000003</v>
          </cell>
        </row>
      </sheetData>
      <sheetData sheetId="354">
        <row r="66">
          <cell r="G66">
            <v>81489.785000000003</v>
          </cell>
        </row>
      </sheetData>
      <sheetData sheetId="355">
        <row r="66">
          <cell r="G66">
            <v>81489.785000000003</v>
          </cell>
        </row>
      </sheetData>
      <sheetData sheetId="356">
        <row r="66">
          <cell r="G66">
            <v>81489.785000000003</v>
          </cell>
        </row>
      </sheetData>
      <sheetData sheetId="357">
        <row r="66">
          <cell r="G66">
            <v>81489.785000000003</v>
          </cell>
        </row>
      </sheetData>
      <sheetData sheetId="358">
        <row r="66">
          <cell r="G66">
            <v>81489.785000000003</v>
          </cell>
        </row>
      </sheetData>
      <sheetData sheetId="359">
        <row r="66">
          <cell r="G66">
            <v>81489.785000000003</v>
          </cell>
        </row>
      </sheetData>
      <sheetData sheetId="360">
        <row r="66">
          <cell r="G66">
            <v>81489.785000000003</v>
          </cell>
        </row>
      </sheetData>
      <sheetData sheetId="361">
        <row r="66">
          <cell r="G66">
            <v>81489.785000000003</v>
          </cell>
        </row>
      </sheetData>
      <sheetData sheetId="362">
        <row r="66">
          <cell r="G66">
            <v>81489.785000000003</v>
          </cell>
        </row>
      </sheetData>
      <sheetData sheetId="363">
        <row r="66">
          <cell r="G66">
            <v>81489.785000000003</v>
          </cell>
        </row>
      </sheetData>
      <sheetData sheetId="364">
        <row r="66">
          <cell r="G66">
            <v>81489.785000000003</v>
          </cell>
        </row>
      </sheetData>
      <sheetData sheetId="365">
        <row r="66">
          <cell r="G66">
            <v>81489.785000000003</v>
          </cell>
        </row>
      </sheetData>
      <sheetData sheetId="366"/>
      <sheetData sheetId="367"/>
      <sheetData sheetId="368"/>
      <sheetData sheetId="369"/>
      <sheetData sheetId="370"/>
      <sheetData sheetId="371">
        <row r="66">
          <cell r="G66">
            <v>81489.785000000003</v>
          </cell>
        </row>
      </sheetData>
      <sheetData sheetId="372">
        <row r="66">
          <cell r="G66">
            <v>81489.785000000003</v>
          </cell>
        </row>
      </sheetData>
      <sheetData sheetId="373">
        <row r="66">
          <cell r="G66">
            <v>81489.785000000003</v>
          </cell>
        </row>
      </sheetData>
      <sheetData sheetId="374">
        <row r="66">
          <cell r="G66">
            <v>81489.785000000003</v>
          </cell>
        </row>
      </sheetData>
      <sheetData sheetId="375">
        <row r="66">
          <cell r="G66">
            <v>81489.785000000003</v>
          </cell>
        </row>
      </sheetData>
      <sheetData sheetId="376">
        <row r="66">
          <cell r="G66">
            <v>81489.785000000003</v>
          </cell>
        </row>
      </sheetData>
      <sheetData sheetId="377"/>
      <sheetData sheetId="378">
        <row r="66">
          <cell r="G66">
            <v>81489.785000000003</v>
          </cell>
        </row>
      </sheetData>
      <sheetData sheetId="379"/>
      <sheetData sheetId="380">
        <row r="66">
          <cell r="G66">
            <v>81489.785000000003</v>
          </cell>
        </row>
      </sheetData>
      <sheetData sheetId="381">
        <row r="66">
          <cell r="G66">
            <v>81489.785000000003</v>
          </cell>
        </row>
      </sheetData>
      <sheetData sheetId="382">
        <row r="66">
          <cell r="G66">
            <v>81489.785000000003</v>
          </cell>
        </row>
      </sheetData>
      <sheetData sheetId="383">
        <row r="66">
          <cell r="G66">
            <v>81489.785000000003</v>
          </cell>
        </row>
      </sheetData>
      <sheetData sheetId="384">
        <row r="66">
          <cell r="G66">
            <v>81489.785000000003</v>
          </cell>
        </row>
      </sheetData>
      <sheetData sheetId="385">
        <row r="66">
          <cell r="G66">
            <v>81489.785000000003</v>
          </cell>
        </row>
      </sheetData>
      <sheetData sheetId="386">
        <row r="66">
          <cell r="G66">
            <v>81489.785000000003</v>
          </cell>
        </row>
      </sheetData>
      <sheetData sheetId="387">
        <row r="66">
          <cell r="G66">
            <v>81489.785000000003</v>
          </cell>
        </row>
      </sheetData>
      <sheetData sheetId="388">
        <row r="66">
          <cell r="G66">
            <v>81489.785000000003</v>
          </cell>
        </row>
      </sheetData>
      <sheetData sheetId="389">
        <row r="66">
          <cell r="G66">
            <v>81489.785000000003</v>
          </cell>
        </row>
      </sheetData>
      <sheetData sheetId="390">
        <row r="66">
          <cell r="G66">
            <v>81489.785000000003</v>
          </cell>
        </row>
      </sheetData>
      <sheetData sheetId="391">
        <row r="66">
          <cell r="G66">
            <v>81489.785000000003</v>
          </cell>
        </row>
      </sheetData>
      <sheetData sheetId="392">
        <row r="66">
          <cell r="G66">
            <v>81489.785000000003</v>
          </cell>
        </row>
      </sheetData>
      <sheetData sheetId="393">
        <row r="66">
          <cell r="G66">
            <v>81489.785000000003</v>
          </cell>
        </row>
      </sheetData>
      <sheetData sheetId="394">
        <row r="66">
          <cell r="G66">
            <v>81489.785000000003</v>
          </cell>
        </row>
      </sheetData>
      <sheetData sheetId="395">
        <row r="66">
          <cell r="G66">
            <v>81489.785000000003</v>
          </cell>
        </row>
      </sheetData>
      <sheetData sheetId="396">
        <row r="66">
          <cell r="G66">
            <v>81489.785000000003</v>
          </cell>
        </row>
      </sheetData>
      <sheetData sheetId="397">
        <row r="66">
          <cell r="G66">
            <v>81489.785000000003</v>
          </cell>
        </row>
      </sheetData>
      <sheetData sheetId="398">
        <row r="66">
          <cell r="G66">
            <v>81489.785000000003</v>
          </cell>
        </row>
      </sheetData>
      <sheetData sheetId="399">
        <row r="66">
          <cell r="G66">
            <v>81489.785000000003</v>
          </cell>
        </row>
      </sheetData>
      <sheetData sheetId="400">
        <row r="66">
          <cell r="G66">
            <v>81489.785000000003</v>
          </cell>
        </row>
      </sheetData>
      <sheetData sheetId="401">
        <row r="66">
          <cell r="G66">
            <v>81489.785000000003</v>
          </cell>
        </row>
      </sheetData>
      <sheetData sheetId="402">
        <row r="66">
          <cell r="G66">
            <v>81489.785000000003</v>
          </cell>
        </row>
      </sheetData>
      <sheetData sheetId="403">
        <row r="66">
          <cell r="G66">
            <v>81489.785000000003</v>
          </cell>
        </row>
      </sheetData>
      <sheetData sheetId="404">
        <row r="66">
          <cell r="G66">
            <v>81489.785000000003</v>
          </cell>
        </row>
      </sheetData>
      <sheetData sheetId="405">
        <row r="66">
          <cell r="G66">
            <v>81489.785000000003</v>
          </cell>
        </row>
      </sheetData>
      <sheetData sheetId="406">
        <row r="66">
          <cell r="G66">
            <v>81489.785000000003</v>
          </cell>
        </row>
      </sheetData>
      <sheetData sheetId="407"/>
      <sheetData sheetId="408"/>
      <sheetData sheetId="409"/>
      <sheetData sheetId="410">
        <row r="66">
          <cell r="G66">
            <v>81489.785000000003</v>
          </cell>
        </row>
      </sheetData>
      <sheetData sheetId="411">
        <row r="66">
          <cell r="G66">
            <v>81489.785000000003</v>
          </cell>
        </row>
      </sheetData>
      <sheetData sheetId="412">
        <row r="66">
          <cell r="G66">
            <v>81489.785000000003</v>
          </cell>
        </row>
      </sheetData>
      <sheetData sheetId="413">
        <row r="66">
          <cell r="G66">
            <v>81489.785000000003</v>
          </cell>
        </row>
      </sheetData>
      <sheetData sheetId="414">
        <row r="66">
          <cell r="G66">
            <v>81489.785000000003</v>
          </cell>
        </row>
      </sheetData>
      <sheetData sheetId="415">
        <row r="66">
          <cell r="G66">
            <v>81489.785000000003</v>
          </cell>
        </row>
      </sheetData>
      <sheetData sheetId="416">
        <row r="66">
          <cell r="G66">
            <v>81489.785000000003</v>
          </cell>
        </row>
      </sheetData>
      <sheetData sheetId="417">
        <row r="66">
          <cell r="G66">
            <v>81489.785000000003</v>
          </cell>
        </row>
      </sheetData>
      <sheetData sheetId="418">
        <row r="66">
          <cell r="G66">
            <v>81489.785000000003</v>
          </cell>
        </row>
      </sheetData>
      <sheetData sheetId="419">
        <row r="66">
          <cell r="G66">
            <v>81489.785000000003</v>
          </cell>
        </row>
      </sheetData>
      <sheetData sheetId="420">
        <row r="66">
          <cell r="G66">
            <v>81489.785000000003</v>
          </cell>
        </row>
      </sheetData>
      <sheetData sheetId="421">
        <row r="66">
          <cell r="G66">
            <v>81489.785000000003</v>
          </cell>
        </row>
      </sheetData>
      <sheetData sheetId="422">
        <row r="66">
          <cell r="G66">
            <v>81489.785000000003</v>
          </cell>
        </row>
      </sheetData>
      <sheetData sheetId="423">
        <row r="66">
          <cell r="G66">
            <v>81489.785000000003</v>
          </cell>
        </row>
      </sheetData>
      <sheetData sheetId="424">
        <row r="66">
          <cell r="G66">
            <v>81489.785000000003</v>
          </cell>
        </row>
      </sheetData>
      <sheetData sheetId="425">
        <row r="66">
          <cell r="G66">
            <v>81489.785000000003</v>
          </cell>
        </row>
      </sheetData>
      <sheetData sheetId="426">
        <row r="66">
          <cell r="G66">
            <v>81489.785000000003</v>
          </cell>
        </row>
      </sheetData>
      <sheetData sheetId="427">
        <row r="66">
          <cell r="G66">
            <v>81489.785000000003</v>
          </cell>
        </row>
      </sheetData>
      <sheetData sheetId="428">
        <row r="66">
          <cell r="G66">
            <v>81489.785000000003</v>
          </cell>
        </row>
      </sheetData>
      <sheetData sheetId="429">
        <row r="66">
          <cell r="G66">
            <v>81489.785000000003</v>
          </cell>
        </row>
      </sheetData>
      <sheetData sheetId="430">
        <row r="66">
          <cell r="G66">
            <v>81489.785000000003</v>
          </cell>
        </row>
      </sheetData>
      <sheetData sheetId="431">
        <row r="66">
          <cell r="G66">
            <v>81489.785000000003</v>
          </cell>
        </row>
      </sheetData>
      <sheetData sheetId="432">
        <row r="66">
          <cell r="G66">
            <v>81489.785000000003</v>
          </cell>
        </row>
      </sheetData>
      <sheetData sheetId="433">
        <row r="66">
          <cell r="G66">
            <v>81489.785000000003</v>
          </cell>
        </row>
      </sheetData>
      <sheetData sheetId="434">
        <row r="66">
          <cell r="G66">
            <v>81489.785000000003</v>
          </cell>
        </row>
      </sheetData>
      <sheetData sheetId="435">
        <row r="66">
          <cell r="G66">
            <v>81489.785000000003</v>
          </cell>
        </row>
      </sheetData>
      <sheetData sheetId="436">
        <row r="66">
          <cell r="G66">
            <v>81489.785000000003</v>
          </cell>
        </row>
      </sheetData>
      <sheetData sheetId="437">
        <row r="66">
          <cell r="G66">
            <v>81489.785000000003</v>
          </cell>
        </row>
      </sheetData>
      <sheetData sheetId="438">
        <row r="66">
          <cell r="G66">
            <v>81489.785000000003</v>
          </cell>
        </row>
      </sheetData>
      <sheetData sheetId="439">
        <row r="66">
          <cell r="G66">
            <v>81489.785000000003</v>
          </cell>
        </row>
      </sheetData>
      <sheetData sheetId="440">
        <row r="66">
          <cell r="G66">
            <v>81489.785000000003</v>
          </cell>
        </row>
      </sheetData>
      <sheetData sheetId="441">
        <row r="66">
          <cell r="G66">
            <v>81489.785000000003</v>
          </cell>
        </row>
      </sheetData>
      <sheetData sheetId="442">
        <row r="66">
          <cell r="G66">
            <v>81489.785000000003</v>
          </cell>
        </row>
      </sheetData>
      <sheetData sheetId="443">
        <row r="66">
          <cell r="G66">
            <v>81489.785000000003</v>
          </cell>
        </row>
      </sheetData>
      <sheetData sheetId="444">
        <row r="66">
          <cell r="G66">
            <v>81489.785000000003</v>
          </cell>
        </row>
      </sheetData>
      <sheetData sheetId="445">
        <row r="66">
          <cell r="G66">
            <v>81489.785000000003</v>
          </cell>
        </row>
      </sheetData>
      <sheetData sheetId="446">
        <row r="66">
          <cell r="G66">
            <v>81489.785000000003</v>
          </cell>
        </row>
      </sheetData>
      <sheetData sheetId="447">
        <row r="66">
          <cell r="G66">
            <v>81489.785000000003</v>
          </cell>
        </row>
      </sheetData>
      <sheetData sheetId="448"/>
      <sheetData sheetId="449">
        <row r="66">
          <cell r="G66">
            <v>81489.785000000003</v>
          </cell>
        </row>
      </sheetData>
      <sheetData sheetId="450">
        <row r="66">
          <cell r="G66">
            <v>81489.785000000003</v>
          </cell>
        </row>
      </sheetData>
      <sheetData sheetId="451">
        <row r="66">
          <cell r="G66">
            <v>81489.785000000003</v>
          </cell>
        </row>
      </sheetData>
      <sheetData sheetId="452">
        <row r="66">
          <cell r="G66">
            <v>81489.785000000003</v>
          </cell>
        </row>
      </sheetData>
      <sheetData sheetId="453">
        <row r="66">
          <cell r="G66">
            <v>81489.785000000003</v>
          </cell>
        </row>
      </sheetData>
      <sheetData sheetId="454">
        <row r="66">
          <cell r="G66">
            <v>81489.785000000003</v>
          </cell>
        </row>
      </sheetData>
      <sheetData sheetId="455">
        <row r="66">
          <cell r="G66">
            <v>81489.785000000003</v>
          </cell>
        </row>
      </sheetData>
      <sheetData sheetId="456">
        <row r="66">
          <cell r="G66">
            <v>81489.785000000003</v>
          </cell>
        </row>
      </sheetData>
      <sheetData sheetId="457"/>
      <sheetData sheetId="458">
        <row r="66">
          <cell r="G66">
            <v>81489.785000000003</v>
          </cell>
        </row>
      </sheetData>
      <sheetData sheetId="459">
        <row r="66">
          <cell r="G66">
            <v>81489.785000000003</v>
          </cell>
        </row>
      </sheetData>
      <sheetData sheetId="460">
        <row r="66">
          <cell r="G66">
            <v>81489.785000000003</v>
          </cell>
        </row>
      </sheetData>
      <sheetData sheetId="461"/>
      <sheetData sheetId="462">
        <row r="66">
          <cell r="G66">
            <v>81489.785000000003</v>
          </cell>
        </row>
      </sheetData>
      <sheetData sheetId="463">
        <row r="66">
          <cell r="G66">
            <v>81489.785000000003</v>
          </cell>
        </row>
      </sheetData>
      <sheetData sheetId="464">
        <row r="66">
          <cell r="G66">
            <v>81489.785000000003</v>
          </cell>
        </row>
      </sheetData>
      <sheetData sheetId="465">
        <row r="66">
          <cell r="G66">
            <v>81489.785000000003</v>
          </cell>
        </row>
      </sheetData>
      <sheetData sheetId="466">
        <row r="66">
          <cell r="G66">
            <v>81489.785000000003</v>
          </cell>
        </row>
      </sheetData>
      <sheetData sheetId="467">
        <row r="66">
          <cell r="G66">
            <v>81489.785000000003</v>
          </cell>
        </row>
      </sheetData>
      <sheetData sheetId="468">
        <row r="66">
          <cell r="G66">
            <v>81489.785000000003</v>
          </cell>
        </row>
      </sheetData>
      <sheetData sheetId="469">
        <row r="66">
          <cell r="G66">
            <v>81489.785000000003</v>
          </cell>
        </row>
      </sheetData>
      <sheetData sheetId="470" refreshError="1"/>
      <sheetData sheetId="471">
        <row r="66">
          <cell r="G66">
            <v>81489.785000000003</v>
          </cell>
        </row>
      </sheetData>
      <sheetData sheetId="472">
        <row r="66">
          <cell r="G66">
            <v>81489.785000000003</v>
          </cell>
        </row>
      </sheetData>
      <sheetData sheetId="473">
        <row r="66">
          <cell r="G66">
            <v>81489.785000000003</v>
          </cell>
        </row>
      </sheetData>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ow r="66">
          <cell r="G66">
            <v>81489.785000000003</v>
          </cell>
        </row>
      </sheetData>
      <sheetData sheetId="489">
        <row r="66">
          <cell r="G66">
            <v>81489.785000000003</v>
          </cell>
        </row>
      </sheetData>
      <sheetData sheetId="490">
        <row r="66">
          <cell r="G66">
            <v>81489.785000000003</v>
          </cell>
        </row>
      </sheetData>
      <sheetData sheetId="491">
        <row r="66">
          <cell r="G66">
            <v>81489.785000000003</v>
          </cell>
        </row>
      </sheetData>
      <sheetData sheetId="492">
        <row r="66">
          <cell r="G66">
            <v>81489.785000000003</v>
          </cell>
        </row>
      </sheetData>
      <sheetData sheetId="493"/>
      <sheetData sheetId="494"/>
      <sheetData sheetId="495"/>
      <sheetData sheetId="496"/>
      <sheetData sheetId="497">
        <row r="66">
          <cell r="G66">
            <v>81489.785000000003</v>
          </cell>
        </row>
      </sheetData>
      <sheetData sheetId="498">
        <row r="66">
          <cell r="G66">
            <v>81489.785000000003</v>
          </cell>
        </row>
      </sheetData>
      <sheetData sheetId="499">
        <row r="66">
          <cell r="G66">
            <v>81489.785000000003</v>
          </cell>
        </row>
      </sheetData>
      <sheetData sheetId="500">
        <row r="66">
          <cell r="G66">
            <v>81489.785000000003</v>
          </cell>
        </row>
      </sheetData>
      <sheetData sheetId="501">
        <row r="66">
          <cell r="G66">
            <v>81489.785000000003</v>
          </cell>
        </row>
      </sheetData>
      <sheetData sheetId="502">
        <row r="66">
          <cell r="G66">
            <v>81489.785000000003</v>
          </cell>
        </row>
      </sheetData>
      <sheetData sheetId="503">
        <row r="66">
          <cell r="G66">
            <v>81489.785000000003</v>
          </cell>
        </row>
      </sheetData>
      <sheetData sheetId="504">
        <row r="66">
          <cell r="G66">
            <v>81489.785000000003</v>
          </cell>
        </row>
      </sheetData>
      <sheetData sheetId="505" refreshError="1"/>
      <sheetData sheetId="506" refreshError="1"/>
      <sheetData sheetId="507"/>
      <sheetData sheetId="508"/>
      <sheetData sheetId="509"/>
      <sheetData sheetId="510"/>
      <sheetData sheetId="511"/>
      <sheetData sheetId="512"/>
      <sheetData sheetId="513"/>
      <sheetData sheetId="514"/>
      <sheetData sheetId="515">
        <row r="66">
          <cell r="G66">
            <v>81489.785000000003</v>
          </cell>
        </row>
      </sheetData>
      <sheetData sheetId="516"/>
      <sheetData sheetId="517">
        <row r="66">
          <cell r="G66">
            <v>81489.785000000003</v>
          </cell>
        </row>
      </sheetData>
      <sheetData sheetId="518">
        <row r="66">
          <cell r="G66">
            <v>81489.785000000003</v>
          </cell>
        </row>
      </sheetData>
      <sheetData sheetId="519">
        <row r="66">
          <cell r="G66">
            <v>81489.785000000003</v>
          </cell>
        </row>
      </sheetData>
      <sheetData sheetId="520"/>
      <sheetData sheetId="521"/>
      <sheetData sheetId="522"/>
      <sheetData sheetId="523"/>
      <sheetData sheetId="524"/>
      <sheetData sheetId="525"/>
      <sheetData sheetId="526"/>
      <sheetData sheetId="527"/>
      <sheetData sheetId="528"/>
      <sheetData sheetId="529"/>
      <sheetData sheetId="530">
        <row r="66">
          <cell r="G66">
            <v>81489.785000000003</v>
          </cell>
        </row>
      </sheetData>
      <sheetData sheetId="531"/>
      <sheetData sheetId="532">
        <row r="66">
          <cell r="G66">
            <v>81489.785000000003</v>
          </cell>
        </row>
      </sheetData>
      <sheetData sheetId="533">
        <row r="66">
          <cell r="G66">
            <v>81489.785000000003</v>
          </cell>
        </row>
      </sheetData>
      <sheetData sheetId="534">
        <row r="66">
          <cell r="G66">
            <v>81489.785000000003</v>
          </cell>
        </row>
      </sheetData>
      <sheetData sheetId="535"/>
      <sheetData sheetId="536"/>
      <sheetData sheetId="537">
        <row r="66">
          <cell r="G66">
            <v>81489.785000000003</v>
          </cell>
        </row>
      </sheetData>
      <sheetData sheetId="538">
        <row r="66">
          <cell r="G66">
            <v>81489.785000000003</v>
          </cell>
        </row>
      </sheetData>
      <sheetData sheetId="539"/>
      <sheetData sheetId="540"/>
      <sheetData sheetId="541"/>
      <sheetData sheetId="542"/>
      <sheetData sheetId="543"/>
      <sheetData sheetId="544"/>
      <sheetData sheetId="545">
        <row r="66">
          <cell r="G66">
            <v>81489.785000000003</v>
          </cell>
        </row>
      </sheetData>
      <sheetData sheetId="546"/>
      <sheetData sheetId="547">
        <row r="66">
          <cell r="G66">
            <v>81489.785000000003</v>
          </cell>
        </row>
      </sheetData>
      <sheetData sheetId="548">
        <row r="66">
          <cell r="G66">
            <v>81489.785000000003</v>
          </cell>
        </row>
      </sheetData>
      <sheetData sheetId="549">
        <row r="66">
          <cell r="G66">
            <v>81489.785000000003</v>
          </cell>
        </row>
      </sheetData>
      <sheetData sheetId="550"/>
      <sheetData sheetId="551"/>
      <sheetData sheetId="552"/>
      <sheetData sheetId="553">
        <row r="66">
          <cell r="G66">
            <v>81489.785000000003</v>
          </cell>
        </row>
      </sheetData>
      <sheetData sheetId="554"/>
      <sheetData sheetId="555"/>
      <sheetData sheetId="556"/>
      <sheetData sheetId="557"/>
      <sheetData sheetId="558"/>
      <sheetData sheetId="559"/>
      <sheetData sheetId="560">
        <row r="66">
          <cell r="G66">
            <v>81489.785000000003</v>
          </cell>
        </row>
      </sheetData>
      <sheetData sheetId="561"/>
      <sheetData sheetId="562">
        <row r="66">
          <cell r="G66">
            <v>81489.785000000003</v>
          </cell>
        </row>
      </sheetData>
      <sheetData sheetId="563">
        <row r="66">
          <cell r="G66">
            <v>81489.785000000003</v>
          </cell>
        </row>
      </sheetData>
      <sheetData sheetId="564">
        <row r="66">
          <cell r="G66">
            <v>81489.785000000003</v>
          </cell>
        </row>
      </sheetData>
      <sheetData sheetId="565"/>
      <sheetData sheetId="566"/>
      <sheetData sheetId="567"/>
      <sheetData sheetId="568">
        <row r="66">
          <cell r="G66">
            <v>81489.785000000003</v>
          </cell>
        </row>
      </sheetData>
      <sheetData sheetId="569">
        <row r="66">
          <cell r="G66">
            <v>81489.785000000003</v>
          </cell>
        </row>
      </sheetData>
      <sheetData sheetId="570">
        <row r="66">
          <cell r="G66">
            <v>81489.785000000003</v>
          </cell>
        </row>
      </sheetData>
      <sheetData sheetId="571">
        <row r="66">
          <cell r="G66">
            <v>81489.785000000003</v>
          </cell>
        </row>
      </sheetData>
      <sheetData sheetId="572">
        <row r="66">
          <cell r="G66">
            <v>81489.785000000003</v>
          </cell>
        </row>
      </sheetData>
      <sheetData sheetId="573">
        <row r="66">
          <cell r="G66">
            <v>81489.785000000003</v>
          </cell>
        </row>
      </sheetData>
      <sheetData sheetId="574">
        <row r="66">
          <cell r="G66">
            <v>81489.785000000003</v>
          </cell>
        </row>
      </sheetData>
      <sheetData sheetId="575">
        <row r="66">
          <cell r="G66">
            <v>81489.785000000003</v>
          </cell>
        </row>
      </sheetData>
      <sheetData sheetId="576"/>
      <sheetData sheetId="577">
        <row r="66">
          <cell r="G66">
            <v>81489.785000000003</v>
          </cell>
        </row>
      </sheetData>
      <sheetData sheetId="578">
        <row r="66">
          <cell r="G66">
            <v>81489.785000000003</v>
          </cell>
        </row>
      </sheetData>
      <sheetData sheetId="579">
        <row r="66">
          <cell r="G66">
            <v>81489.785000000003</v>
          </cell>
        </row>
      </sheetData>
      <sheetData sheetId="580"/>
      <sheetData sheetId="581"/>
      <sheetData sheetId="582"/>
      <sheetData sheetId="583"/>
      <sheetData sheetId="584"/>
      <sheetData sheetId="585"/>
      <sheetData sheetId="586"/>
      <sheetData sheetId="587"/>
      <sheetData sheetId="588"/>
      <sheetData sheetId="589"/>
      <sheetData sheetId="590">
        <row r="66">
          <cell r="G66">
            <v>81489.785000000003</v>
          </cell>
        </row>
      </sheetData>
      <sheetData sheetId="591"/>
      <sheetData sheetId="592">
        <row r="66">
          <cell r="G66">
            <v>81489.785000000003</v>
          </cell>
        </row>
      </sheetData>
      <sheetData sheetId="593">
        <row r="66">
          <cell r="G66">
            <v>81489.785000000003</v>
          </cell>
        </row>
      </sheetData>
      <sheetData sheetId="594">
        <row r="66">
          <cell r="G66">
            <v>81489.785000000003</v>
          </cell>
        </row>
      </sheetData>
      <sheetData sheetId="595"/>
      <sheetData sheetId="596"/>
      <sheetData sheetId="597"/>
      <sheetData sheetId="598">
        <row r="66">
          <cell r="G66">
            <v>81489.785000000003</v>
          </cell>
        </row>
      </sheetData>
      <sheetData sheetId="599"/>
      <sheetData sheetId="600"/>
      <sheetData sheetId="601"/>
      <sheetData sheetId="602"/>
      <sheetData sheetId="603"/>
      <sheetData sheetId="604"/>
      <sheetData sheetId="605">
        <row r="66">
          <cell r="G66">
            <v>81489.785000000003</v>
          </cell>
        </row>
      </sheetData>
      <sheetData sheetId="606"/>
      <sheetData sheetId="607">
        <row r="66">
          <cell r="G66">
            <v>81489.785000000003</v>
          </cell>
        </row>
      </sheetData>
      <sheetData sheetId="608">
        <row r="66">
          <cell r="G66">
            <v>81489.785000000003</v>
          </cell>
        </row>
      </sheetData>
      <sheetData sheetId="609">
        <row r="66">
          <cell r="G66">
            <v>81489.785000000003</v>
          </cell>
        </row>
      </sheetData>
      <sheetData sheetId="610"/>
      <sheetData sheetId="611"/>
      <sheetData sheetId="612"/>
      <sheetData sheetId="613" refreshError="1"/>
      <sheetData sheetId="614"/>
      <sheetData sheetId="615">
        <row r="66">
          <cell r="G66">
            <v>81489.785000000003</v>
          </cell>
        </row>
      </sheetData>
      <sheetData sheetId="616">
        <row r="66">
          <cell r="G66">
            <v>81489.785000000003</v>
          </cell>
        </row>
      </sheetData>
      <sheetData sheetId="617"/>
      <sheetData sheetId="618">
        <row r="66">
          <cell r="G66">
            <v>81489.785000000003</v>
          </cell>
        </row>
      </sheetData>
      <sheetData sheetId="619">
        <row r="66">
          <cell r="G66">
            <v>81489.785000000003</v>
          </cell>
        </row>
      </sheetData>
      <sheetData sheetId="620"/>
      <sheetData sheetId="621"/>
      <sheetData sheetId="622"/>
      <sheetData sheetId="623" refreshError="1"/>
      <sheetData sheetId="624" refreshError="1"/>
      <sheetData sheetId="625" refreshError="1"/>
      <sheetData sheetId="626"/>
      <sheetData sheetId="627">
        <row r="66">
          <cell r="G66">
            <v>81489.785000000003</v>
          </cell>
        </row>
      </sheetData>
      <sheetData sheetId="628"/>
      <sheetData sheetId="629">
        <row r="66">
          <cell r="G66">
            <v>81489.785000000003</v>
          </cell>
        </row>
      </sheetData>
      <sheetData sheetId="630">
        <row r="66">
          <cell r="G66">
            <v>81489.785000000003</v>
          </cell>
        </row>
      </sheetData>
      <sheetData sheetId="631">
        <row r="66">
          <cell r="G66">
            <v>81489.785000000003</v>
          </cell>
        </row>
      </sheetData>
      <sheetData sheetId="632"/>
      <sheetData sheetId="633">
        <row r="66">
          <cell r="G66">
            <v>81489.785000000003</v>
          </cell>
        </row>
      </sheetData>
      <sheetData sheetId="634"/>
      <sheetData sheetId="635">
        <row r="66">
          <cell r="G66">
            <v>81489.785000000003</v>
          </cell>
        </row>
      </sheetData>
      <sheetData sheetId="636">
        <row r="66">
          <cell r="G66">
            <v>81489.785000000003</v>
          </cell>
        </row>
      </sheetData>
      <sheetData sheetId="637">
        <row r="66">
          <cell r="G66">
            <v>81489.785000000003</v>
          </cell>
        </row>
      </sheetData>
      <sheetData sheetId="638"/>
      <sheetData sheetId="639"/>
      <sheetData sheetId="640"/>
      <sheetData sheetId="641">
        <row r="66">
          <cell r="G66">
            <v>81489.785000000003</v>
          </cell>
        </row>
      </sheetData>
      <sheetData sheetId="642">
        <row r="66">
          <cell r="G66">
            <v>81489.785000000003</v>
          </cell>
        </row>
      </sheetData>
      <sheetData sheetId="643"/>
      <sheetData sheetId="644">
        <row r="66">
          <cell r="G66">
            <v>81489.785000000003</v>
          </cell>
        </row>
      </sheetData>
      <sheetData sheetId="645">
        <row r="66">
          <cell r="G66">
            <v>81489.785000000003</v>
          </cell>
        </row>
      </sheetData>
      <sheetData sheetId="646">
        <row r="66">
          <cell r="G66">
            <v>81489.785000000003</v>
          </cell>
        </row>
      </sheetData>
      <sheetData sheetId="647"/>
      <sheetData sheetId="648">
        <row r="66">
          <cell r="G66">
            <v>81489.785000000003</v>
          </cell>
        </row>
      </sheetData>
      <sheetData sheetId="649"/>
      <sheetData sheetId="650">
        <row r="66">
          <cell r="G66">
            <v>81489.785000000003</v>
          </cell>
        </row>
      </sheetData>
      <sheetData sheetId="651">
        <row r="66">
          <cell r="G66">
            <v>81489.785000000003</v>
          </cell>
        </row>
      </sheetData>
      <sheetData sheetId="652">
        <row r="66">
          <cell r="G66">
            <v>81489.785000000003</v>
          </cell>
        </row>
      </sheetData>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row r="66">
          <cell r="G66">
            <v>81489.785000000003</v>
          </cell>
        </row>
      </sheetData>
      <sheetData sheetId="752">
        <row r="66">
          <cell r="G66">
            <v>81489.785000000003</v>
          </cell>
        </row>
      </sheetData>
      <sheetData sheetId="753">
        <row r="66">
          <cell r="G66">
            <v>81489.785000000003</v>
          </cell>
        </row>
      </sheetData>
      <sheetData sheetId="754"/>
      <sheetData sheetId="755"/>
      <sheetData sheetId="756"/>
      <sheetData sheetId="757"/>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
      <sheetName val="N Plin"/>
      <sheetName val="M Plin"/>
      <sheetName val="Gr"/>
      <sheetName val="Gr - opcija1"/>
      <sheetName val="Gr - opcija2"/>
      <sheetName val="Hl"/>
      <sheetName val="Vent"/>
      <sheetName val="Kanalizacija"/>
      <sheetName val="Vodovod"/>
      <sheetName val="POMOĆNI"/>
      <sheetName val="REKAPIT."/>
      <sheetName val="Plin UNP"/>
      <sheetName val="Plin nemjereni"/>
      <sheetName val="Plin mjereni"/>
      <sheetName val="Instalacija grijanja"/>
      <sheetName val="Instalacija hlađenja"/>
      <sheetName val="Instalacija ventilacije"/>
      <sheetName val="Rekapitulacija"/>
      <sheetName val="III._Strojarske instalacije"/>
      <sheetName val="IV._Elektroinstalacije"/>
      <sheetName val="troskovnik"/>
      <sheetName val="16. Prometnice"/>
    </sheetNames>
    <sheetDataSet>
      <sheetData sheetId="0"/>
      <sheetData sheetId="1"/>
      <sheetData sheetId="2"/>
      <sheetData sheetId="3"/>
      <sheetData sheetId="4"/>
      <sheetData sheetId="5"/>
      <sheetData sheetId="6"/>
      <sheetData sheetId="7"/>
      <sheetData sheetId="8"/>
      <sheetData sheetId="9"/>
      <sheetData sheetId="10">
        <row r="56">
          <cell r="B56" t="str">
            <v xml:space="preserve"> - horizontalna ugradnja kolektora na ravni krov </v>
          </cell>
        </row>
      </sheetData>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preise"/>
      <sheetName val="Preisblatt"/>
      <sheetName val="Preisfindung"/>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cvitak@rc-proing.h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5F1A-D065-4DB9-999A-4731290F8BFD}">
  <dimension ref="A1:F42"/>
  <sheetViews>
    <sheetView zoomScaleNormal="100" zoomScaleSheetLayoutView="100" workbookViewId="0">
      <selection activeCell="B24" sqref="B24"/>
    </sheetView>
  </sheetViews>
  <sheetFormatPr defaultColWidth="9.21875" defaultRowHeight="15"/>
  <cols>
    <col min="1" max="1" width="20.77734375" style="173" bestFit="1" customWidth="1"/>
    <col min="2" max="2" width="57.5546875" style="156" customWidth="1"/>
    <col min="3" max="3" width="6.21875" style="156" customWidth="1"/>
    <col min="4" max="4" width="10.21875" style="155" customWidth="1"/>
    <col min="5" max="5" width="10.77734375" style="155" customWidth="1"/>
    <col min="6" max="6" width="12.21875" style="155" customWidth="1"/>
    <col min="7" max="256" width="9.21875" style="156"/>
    <col min="257" max="257" width="20.77734375" style="156" bestFit="1" customWidth="1"/>
    <col min="258" max="258" width="57.5546875" style="156" customWidth="1"/>
    <col min="259" max="259" width="6.21875" style="156" customWidth="1"/>
    <col min="260" max="260" width="10.21875" style="156" customWidth="1"/>
    <col min="261" max="261" width="10.77734375" style="156" customWidth="1"/>
    <col min="262" max="262" width="12.21875" style="156" customWidth="1"/>
    <col min="263" max="512" width="9.21875" style="156"/>
    <col min="513" max="513" width="20.77734375" style="156" bestFit="1" customWidth="1"/>
    <col min="514" max="514" width="57.5546875" style="156" customWidth="1"/>
    <col min="515" max="515" width="6.21875" style="156" customWidth="1"/>
    <col min="516" max="516" width="10.21875" style="156" customWidth="1"/>
    <col min="517" max="517" width="10.77734375" style="156" customWidth="1"/>
    <col min="518" max="518" width="12.21875" style="156" customWidth="1"/>
    <col min="519" max="768" width="9.21875" style="156"/>
    <col min="769" max="769" width="20.77734375" style="156" bestFit="1" customWidth="1"/>
    <col min="770" max="770" width="57.5546875" style="156" customWidth="1"/>
    <col min="771" max="771" width="6.21875" style="156" customWidth="1"/>
    <col min="772" max="772" width="10.21875" style="156" customWidth="1"/>
    <col min="773" max="773" width="10.77734375" style="156" customWidth="1"/>
    <col min="774" max="774" width="12.21875" style="156" customWidth="1"/>
    <col min="775" max="1024" width="9.21875" style="156"/>
    <col min="1025" max="1025" width="20.77734375" style="156" bestFit="1" customWidth="1"/>
    <col min="1026" max="1026" width="57.5546875" style="156" customWidth="1"/>
    <col min="1027" max="1027" width="6.21875" style="156" customWidth="1"/>
    <col min="1028" max="1028" width="10.21875" style="156" customWidth="1"/>
    <col min="1029" max="1029" width="10.77734375" style="156" customWidth="1"/>
    <col min="1030" max="1030" width="12.21875" style="156" customWidth="1"/>
    <col min="1031" max="1280" width="9.21875" style="156"/>
    <col min="1281" max="1281" width="20.77734375" style="156" bestFit="1" customWidth="1"/>
    <col min="1282" max="1282" width="57.5546875" style="156" customWidth="1"/>
    <col min="1283" max="1283" width="6.21875" style="156" customWidth="1"/>
    <col min="1284" max="1284" width="10.21875" style="156" customWidth="1"/>
    <col min="1285" max="1285" width="10.77734375" style="156" customWidth="1"/>
    <col min="1286" max="1286" width="12.21875" style="156" customWidth="1"/>
    <col min="1287" max="1536" width="9.21875" style="156"/>
    <col min="1537" max="1537" width="20.77734375" style="156" bestFit="1" customWidth="1"/>
    <col min="1538" max="1538" width="57.5546875" style="156" customWidth="1"/>
    <col min="1539" max="1539" width="6.21875" style="156" customWidth="1"/>
    <col min="1540" max="1540" width="10.21875" style="156" customWidth="1"/>
    <col min="1541" max="1541" width="10.77734375" style="156" customWidth="1"/>
    <col min="1542" max="1542" width="12.21875" style="156" customWidth="1"/>
    <col min="1543" max="1792" width="9.21875" style="156"/>
    <col min="1793" max="1793" width="20.77734375" style="156" bestFit="1" customWidth="1"/>
    <col min="1794" max="1794" width="57.5546875" style="156" customWidth="1"/>
    <col min="1795" max="1795" width="6.21875" style="156" customWidth="1"/>
    <col min="1796" max="1796" width="10.21875" style="156" customWidth="1"/>
    <col min="1797" max="1797" width="10.77734375" style="156" customWidth="1"/>
    <col min="1798" max="1798" width="12.21875" style="156" customWidth="1"/>
    <col min="1799" max="2048" width="9.21875" style="156"/>
    <col min="2049" max="2049" width="20.77734375" style="156" bestFit="1" customWidth="1"/>
    <col min="2050" max="2050" width="57.5546875" style="156" customWidth="1"/>
    <col min="2051" max="2051" width="6.21875" style="156" customWidth="1"/>
    <col min="2052" max="2052" width="10.21875" style="156" customWidth="1"/>
    <col min="2053" max="2053" width="10.77734375" style="156" customWidth="1"/>
    <col min="2054" max="2054" width="12.21875" style="156" customWidth="1"/>
    <col min="2055" max="2304" width="9.21875" style="156"/>
    <col min="2305" max="2305" width="20.77734375" style="156" bestFit="1" customWidth="1"/>
    <col min="2306" max="2306" width="57.5546875" style="156" customWidth="1"/>
    <col min="2307" max="2307" width="6.21875" style="156" customWidth="1"/>
    <col min="2308" max="2308" width="10.21875" style="156" customWidth="1"/>
    <col min="2309" max="2309" width="10.77734375" style="156" customWidth="1"/>
    <col min="2310" max="2310" width="12.21875" style="156" customWidth="1"/>
    <col min="2311" max="2560" width="9.21875" style="156"/>
    <col min="2561" max="2561" width="20.77734375" style="156" bestFit="1" customWidth="1"/>
    <col min="2562" max="2562" width="57.5546875" style="156" customWidth="1"/>
    <col min="2563" max="2563" width="6.21875" style="156" customWidth="1"/>
    <col min="2564" max="2564" width="10.21875" style="156" customWidth="1"/>
    <col min="2565" max="2565" width="10.77734375" style="156" customWidth="1"/>
    <col min="2566" max="2566" width="12.21875" style="156" customWidth="1"/>
    <col min="2567" max="2816" width="9.21875" style="156"/>
    <col min="2817" max="2817" width="20.77734375" style="156" bestFit="1" customWidth="1"/>
    <col min="2818" max="2818" width="57.5546875" style="156" customWidth="1"/>
    <col min="2819" max="2819" width="6.21875" style="156" customWidth="1"/>
    <col min="2820" max="2820" width="10.21875" style="156" customWidth="1"/>
    <col min="2821" max="2821" width="10.77734375" style="156" customWidth="1"/>
    <col min="2822" max="2822" width="12.21875" style="156" customWidth="1"/>
    <col min="2823" max="3072" width="9.21875" style="156"/>
    <col min="3073" max="3073" width="20.77734375" style="156" bestFit="1" customWidth="1"/>
    <col min="3074" max="3074" width="57.5546875" style="156" customWidth="1"/>
    <col min="3075" max="3075" width="6.21875" style="156" customWidth="1"/>
    <col min="3076" max="3076" width="10.21875" style="156" customWidth="1"/>
    <col min="3077" max="3077" width="10.77734375" style="156" customWidth="1"/>
    <col min="3078" max="3078" width="12.21875" style="156" customWidth="1"/>
    <col min="3079" max="3328" width="9.21875" style="156"/>
    <col min="3329" max="3329" width="20.77734375" style="156" bestFit="1" customWidth="1"/>
    <col min="3330" max="3330" width="57.5546875" style="156" customWidth="1"/>
    <col min="3331" max="3331" width="6.21875" style="156" customWidth="1"/>
    <col min="3332" max="3332" width="10.21875" style="156" customWidth="1"/>
    <col min="3333" max="3333" width="10.77734375" style="156" customWidth="1"/>
    <col min="3334" max="3334" width="12.21875" style="156" customWidth="1"/>
    <col min="3335" max="3584" width="9.21875" style="156"/>
    <col min="3585" max="3585" width="20.77734375" style="156" bestFit="1" customWidth="1"/>
    <col min="3586" max="3586" width="57.5546875" style="156" customWidth="1"/>
    <col min="3587" max="3587" width="6.21875" style="156" customWidth="1"/>
    <col min="3588" max="3588" width="10.21875" style="156" customWidth="1"/>
    <col min="3589" max="3589" width="10.77734375" style="156" customWidth="1"/>
    <col min="3590" max="3590" width="12.21875" style="156" customWidth="1"/>
    <col min="3591" max="3840" width="9.21875" style="156"/>
    <col min="3841" max="3841" width="20.77734375" style="156" bestFit="1" customWidth="1"/>
    <col min="3842" max="3842" width="57.5546875" style="156" customWidth="1"/>
    <col min="3843" max="3843" width="6.21875" style="156" customWidth="1"/>
    <col min="3844" max="3844" width="10.21875" style="156" customWidth="1"/>
    <col min="3845" max="3845" width="10.77734375" style="156" customWidth="1"/>
    <col min="3846" max="3846" width="12.21875" style="156" customWidth="1"/>
    <col min="3847" max="4096" width="9.21875" style="156"/>
    <col min="4097" max="4097" width="20.77734375" style="156" bestFit="1" customWidth="1"/>
    <col min="4098" max="4098" width="57.5546875" style="156" customWidth="1"/>
    <col min="4099" max="4099" width="6.21875" style="156" customWidth="1"/>
    <col min="4100" max="4100" width="10.21875" style="156" customWidth="1"/>
    <col min="4101" max="4101" width="10.77734375" style="156" customWidth="1"/>
    <col min="4102" max="4102" width="12.21875" style="156" customWidth="1"/>
    <col min="4103" max="4352" width="9.21875" style="156"/>
    <col min="4353" max="4353" width="20.77734375" style="156" bestFit="1" customWidth="1"/>
    <col min="4354" max="4354" width="57.5546875" style="156" customWidth="1"/>
    <col min="4355" max="4355" width="6.21875" style="156" customWidth="1"/>
    <col min="4356" max="4356" width="10.21875" style="156" customWidth="1"/>
    <col min="4357" max="4357" width="10.77734375" style="156" customWidth="1"/>
    <col min="4358" max="4358" width="12.21875" style="156" customWidth="1"/>
    <col min="4359" max="4608" width="9.21875" style="156"/>
    <col min="4609" max="4609" width="20.77734375" style="156" bestFit="1" customWidth="1"/>
    <col min="4610" max="4610" width="57.5546875" style="156" customWidth="1"/>
    <col min="4611" max="4611" width="6.21875" style="156" customWidth="1"/>
    <col min="4612" max="4612" width="10.21875" style="156" customWidth="1"/>
    <col min="4613" max="4613" width="10.77734375" style="156" customWidth="1"/>
    <col min="4614" max="4614" width="12.21875" style="156" customWidth="1"/>
    <col min="4615" max="4864" width="9.21875" style="156"/>
    <col min="4865" max="4865" width="20.77734375" style="156" bestFit="1" customWidth="1"/>
    <col min="4866" max="4866" width="57.5546875" style="156" customWidth="1"/>
    <col min="4867" max="4867" width="6.21875" style="156" customWidth="1"/>
    <col min="4868" max="4868" width="10.21875" style="156" customWidth="1"/>
    <col min="4869" max="4869" width="10.77734375" style="156" customWidth="1"/>
    <col min="4870" max="4870" width="12.21875" style="156" customWidth="1"/>
    <col min="4871" max="5120" width="9.21875" style="156"/>
    <col min="5121" max="5121" width="20.77734375" style="156" bestFit="1" customWidth="1"/>
    <col min="5122" max="5122" width="57.5546875" style="156" customWidth="1"/>
    <col min="5123" max="5123" width="6.21875" style="156" customWidth="1"/>
    <col min="5124" max="5124" width="10.21875" style="156" customWidth="1"/>
    <col min="5125" max="5125" width="10.77734375" style="156" customWidth="1"/>
    <col min="5126" max="5126" width="12.21875" style="156" customWidth="1"/>
    <col min="5127" max="5376" width="9.21875" style="156"/>
    <col min="5377" max="5377" width="20.77734375" style="156" bestFit="1" customWidth="1"/>
    <col min="5378" max="5378" width="57.5546875" style="156" customWidth="1"/>
    <col min="5379" max="5379" width="6.21875" style="156" customWidth="1"/>
    <col min="5380" max="5380" width="10.21875" style="156" customWidth="1"/>
    <col min="5381" max="5381" width="10.77734375" style="156" customWidth="1"/>
    <col min="5382" max="5382" width="12.21875" style="156" customWidth="1"/>
    <col min="5383" max="5632" width="9.21875" style="156"/>
    <col min="5633" max="5633" width="20.77734375" style="156" bestFit="1" customWidth="1"/>
    <col min="5634" max="5634" width="57.5546875" style="156" customWidth="1"/>
    <col min="5635" max="5635" width="6.21875" style="156" customWidth="1"/>
    <col min="5636" max="5636" width="10.21875" style="156" customWidth="1"/>
    <col min="5637" max="5637" width="10.77734375" style="156" customWidth="1"/>
    <col min="5638" max="5638" width="12.21875" style="156" customWidth="1"/>
    <col min="5639" max="5888" width="9.21875" style="156"/>
    <col min="5889" max="5889" width="20.77734375" style="156" bestFit="1" customWidth="1"/>
    <col min="5890" max="5890" width="57.5546875" style="156" customWidth="1"/>
    <col min="5891" max="5891" width="6.21875" style="156" customWidth="1"/>
    <col min="5892" max="5892" width="10.21875" style="156" customWidth="1"/>
    <col min="5893" max="5893" width="10.77734375" style="156" customWidth="1"/>
    <col min="5894" max="5894" width="12.21875" style="156" customWidth="1"/>
    <col min="5895" max="6144" width="9.21875" style="156"/>
    <col min="6145" max="6145" width="20.77734375" style="156" bestFit="1" customWidth="1"/>
    <col min="6146" max="6146" width="57.5546875" style="156" customWidth="1"/>
    <col min="6147" max="6147" width="6.21875" style="156" customWidth="1"/>
    <col min="6148" max="6148" width="10.21875" style="156" customWidth="1"/>
    <col min="6149" max="6149" width="10.77734375" style="156" customWidth="1"/>
    <col min="6150" max="6150" width="12.21875" style="156" customWidth="1"/>
    <col min="6151" max="6400" width="9.21875" style="156"/>
    <col min="6401" max="6401" width="20.77734375" style="156" bestFit="1" customWidth="1"/>
    <col min="6402" max="6402" width="57.5546875" style="156" customWidth="1"/>
    <col min="6403" max="6403" width="6.21875" style="156" customWidth="1"/>
    <col min="6404" max="6404" width="10.21875" style="156" customWidth="1"/>
    <col min="6405" max="6405" width="10.77734375" style="156" customWidth="1"/>
    <col min="6406" max="6406" width="12.21875" style="156" customWidth="1"/>
    <col min="6407" max="6656" width="9.21875" style="156"/>
    <col min="6657" max="6657" width="20.77734375" style="156" bestFit="1" customWidth="1"/>
    <col min="6658" max="6658" width="57.5546875" style="156" customWidth="1"/>
    <col min="6659" max="6659" width="6.21875" style="156" customWidth="1"/>
    <col min="6660" max="6660" width="10.21875" style="156" customWidth="1"/>
    <col min="6661" max="6661" width="10.77734375" style="156" customWidth="1"/>
    <col min="6662" max="6662" width="12.21875" style="156" customWidth="1"/>
    <col min="6663" max="6912" width="9.21875" style="156"/>
    <col min="6913" max="6913" width="20.77734375" style="156" bestFit="1" customWidth="1"/>
    <col min="6914" max="6914" width="57.5546875" style="156" customWidth="1"/>
    <col min="6915" max="6915" width="6.21875" style="156" customWidth="1"/>
    <col min="6916" max="6916" width="10.21875" style="156" customWidth="1"/>
    <col min="6917" max="6917" width="10.77734375" style="156" customWidth="1"/>
    <col min="6918" max="6918" width="12.21875" style="156" customWidth="1"/>
    <col min="6919" max="7168" width="9.21875" style="156"/>
    <col min="7169" max="7169" width="20.77734375" style="156" bestFit="1" customWidth="1"/>
    <col min="7170" max="7170" width="57.5546875" style="156" customWidth="1"/>
    <col min="7171" max="7171" width="6.21875" style="156" customWidth="1"/>
    <col min="7172" max="7172" width="10.21875" style="156" customWidth="1"/>
    <col min="7173" max="7173" width="10.77734375" style="156" customWidth="1"/>
    <col min="7174" max="7174" width="12.21875" style="156" customWidth="1"/>
    <col min="7175" max="7424" width="9.21875" style="156"/>
    <col min="7425" max="7425" width="20.77734375" style="156" bestFit="1" customWidth="1"/>
    <col min="7426" max="7426" width="57.5546875" style="156" customWidth="1"/>
    <col min="7427" max="7427" width="6.21875" style="156" customWidth="1"/>
    <col min="7428" max="7428" width="10.21875" style="156" customWidth="1"/>
    <col min="7429" max="7429" width="10.77734375" style="156" customWidth="1"/>
    <col min="7430" max="7430" width="12.21875" style="156" customWidth="1"/>
    <col min="7431" max="7680" width="9.21875" style="156"/>
    <col min="7681" max="7681" width="20.77734375" style="156" bestFit="1" customWidth="1"/>
    <col min="7682" max="7682" width="57.5546875" style="156" customWidth="1"/>
    <col min="7683" max="7683" width="6.21875" style="156" customWidth="1"/>
    <col min="7684" max="7684" width="10.21875" style="156" customWidth="1"/>
    <col min="7685" max="7685" width="10.77734375" style="156" customWidth="1"/>
    <col min="7686" max="7686" width="12.21875" style="156" customWidth="1"/>
    <col min="7687" max="7936" width="9.21875" style="156"/>
    <col min="7937" max="7937" width="20.77734375" style="156" bestFit="1" customWidth="1"/>
    <col min="7938" max="7938" width="57.5546875" style="156" customWidth="1"/>
    <col min="7939" max="7939" width="6.21875" style="156" customWidth="1"/>
    <col min="7940" max="7940" width="10.21875" style="156" customWidth="1"/>
    <col min="7941" max="7941" width="10.77734375" style="156" customWidth="1"/>
    <col min="7942" max="7942" width="12.21875" style="156" customWidth="1"/>
    <col min="7943" max="8192" width="9.21875" style="156"/>
    <col min="8193" max="8193" width="20.77734375" style="156" bestFit="1" customWidth="1"/>
    <col min="8194" max="8194" width="57.5546875" style="156" customWidth="1"/>
    <col min="8195" max="8195" width="6.21875" style="156" customWidth="1"/>
    <col min="8196" max="8196" width="10.21875" style="156" customWidth="1"/>
    <col min="8197" max="8197" width="10.77734375" style="156" customWidth="1"/>
    <col min="8198" max="8198" width="12.21875" style="156" customWidth="1"/>
    <col min="8199" max="8448" width="9.21875" style="156"/>
    <col min="8449" max="8449" width="20.77734375" style="156" bestFit="1" customWidth="1"/>
    <col min="8450" max="8450" width="57.5546875" style="156" customWidth="1"/>
    <col min="8451" max="8451" width="6.21875" style="156" customWidth="1"/>
    <col min="8452" max="8452" width="10.21875" style="156" customWidth="1"/>
    <col min="8453" max="8453" width="10.77734375" style="156" customWidth="1"/>
    <col min="8454" max="8454" width="12.21875" style="156" customWidth="1"/>
    <col min="8455" max="8704" width="9.21875" style="156"/>
    <col min="8705" max="8705" width="20.77734375" style="156" bestFit="1" customWidth="1"/>
    <col min="8706" max="8706" width="57.5546875" style="156" customWidth="1"/>
    <col min="8707" max="8707" width="6.21875" style="156" customWidth="1"/>
    <col min="8708" max="8708" width="10.21875" style="156" customWidth="1"/>
    <col min="8709" max="8709" width="10.77734375" style="156" customWidth="1"/>
    <col min="8710" max="8710" width="12.21875" style="156" customWidth="1"/>
    <col min="8711" max="8960" width="9.21875" style="156"/>
    <col min="8961" max="8961" width="20.77734375" style="156" bestFit="1" customWidth="1"/>
    <col min="8962" max="8962" width="57.5546875" style="156" customWidth="1"/>
    <col min="8963" max="8963" width="6.21875" style="156" customWidth="1"/>
    <col min="8964" max="8964" width="10.21875" style="156" customWidth="1"/>
    <col min="8965" max="8965" width="10.77734375" style="156" customWidth="1"/>
    <col min="8966" max="8966" width="12.21875" style="156" customWidth="1"/>
    <col min="8967" max="9216" width="9.21875" style="156"/>
    <col min="9217" max="9217" width="20.77734375" style="156" bestFit="1" customWidth="1"/>
    <col min="9218" max="9218" width="57.5546875" style="156" customWidth="1"/>
    <col min="9219" max="9219" width="6.21875" style="156" customWidth="1"/>
    <col min="9220" max="9220" width="10.21875" style="156" customWidth="1"/>
    <col min="9221" max="9221" width="10.77734375" style="156" customWidth="1"/>
    <col min="9222" max="9222" width="12.21875" style="156" customWidth="1"/>
    <col min="9223" max="9472" width="9.21875" style="156"/>
    <col min="9473" max="9473" width="20.77734375" style="156" bestFit="1" customWidth="1"/>
    <col min="9474" max="9474" width="57.5546875" style="156" customWidth="1"/>
    <col min="9475" max="9475" width="6.21875" style="156" customWidth="1"/>
    <col min="9476" max="9476" width="10.21875" style="156" customWidth="1"/>
    <col min="9477" max="9477" width="10.77734375" style="156" customWidth="1"/>
    <col min="9478" max="9478" width="12.21875" style="156" customWidth="1"/>
    <col min="9479" max="9728" width="9.21875" style="156"/>
    <col min="9729" max="9729" width="20.77734375" style="156" bestFit="1" customWidth="1"/>
    <col min="9730" max="9730" width="57.5546875" style="156" customWidth="1"/>
    <col min="9731" max="9731" width="6.21875" style="156" customWidth="1"/>
    <col min="9732" max="9732" width="10.21875" style="156" customWidth="1"/>
    <col min="9733" max="9733" width="10.77734375" style="156" customWidth="1"/>
    <col min="9734" max="9734" width="12.21875" style="156" customWidth="1"/>
    <col min="9735" max="9984" width="9.21875" style="156"/>
    <col min="9985" max="9985" width="20.77734375" style="156" bestFit="1" customWidth="1"/>
    <col min="9986" max="9986" width="57.5546875" style="156" customWidth="1"/>
    <col min="9987" max="9987" width="6.21875" style="156" customWidth="1"/>
    <col min="9988" max="9988" width="10.21875" style="156" customWidth="1"/>
    <col min="9989" max="9989" width="10.77734375" style="156" customWidth="1"/>
    <col min="9990" max="9990" width="12.21875" style="156" customWidth="1"/>
    <col min="9991" max="10240" width="9.21875" style="156"/>
    <col min="10241" max="10241" width="20.77734375" style="156" bestFit="1" customWidth="1"/>
    <col min="10242" max="10242" width="57.5546875" style="156" customWidth="1"/>
    <col min="10243" max="10243" width="6.21875" style="156" customWidth="1"/>
    <col min="10244" max="10244" width="10.21875" style="156" customWidth="1"/>
    <col min="10245" max="10245" width="10.77734375" style="156" customWidth="1"/>
    <col min="10246" max="10246" width="12.21875" style="156" customWidth="1"/>
    <col min="10247" max="10496" width="9.21875" style="156"/>
    <col min="10497" max="10497" width="20.77734375" style="156" bestFit="1" customWidth="1"/>
    <col min="10498" max="10498" width="57.5546875" style="156" customWidth="1"/>
    <col min="10499" max="10499" width="6.21875" style="156" customWidth="1"/>
    <col min="10500" max="10500" width="10.21875" style="156" customWidth="1"/>
    <col min="10501" max="10501" width="10.77734375" style="156" customWidth="1"/>
    <col min="10502" max="10502" width="12.21875" style="156" customWidth="1"/>
    <col min="10503" max="10752" width="9.21875" style="156"/>
    <col min="10753" max="10753" width="20.77734375" style="156" bestFit="1" customWidth="1"/>
    <col min="10754" max="10754" width="57.5546875" style="156" customWidth="1"/>
    <col min="10755" max="10755" width="6.21875" style="156" customWidth="1"/>
    <col min="10756" max="10756" width="10.21875" style="156" customWidth="1"/>
    <col min="10757" max="10757" width="10.77734375" style="156" customWidth="1"/>
    <col min="10758" max="10758" width="12.21875" style="156" customWidth="1"/>
    <col min="10759" max="11008" width="9.21875" style="156"/>
    <col min="11009" max="11009" width="20.77734375" style="156" bestFit="1" customWidth="1"/>
    <col min="11010" max="11010" width="57.5546875" style="156" customWidth="1"/>
    <col min="11011" max="11011" width="6.21875" style="156" customWidth="1"/>
    <col min="11012" max="11012" width="10.21875" style="156" customWidth="1"/>
    <col min="11013" max="11013" width="10.77734375" style="156" customWidth="1"/>
    <col min="11014" max="11014" width="12.21875" style="156" customWidth="1"/>
    <col min="11015" max="11264" width="9.21875" style="156"/>
    <col min="11265" max="11265" width="20.77734375" style="156" bestFit="1" customWidth="1"/>
    <col min="11266" max="11266" width="57.5546875" style="156" customWidth="1"/>
    <col min="11267" max="11267" width="6.21875" style="156" customWidth="1"/>
    <col min="11268" max="11268" width="10.21875" style="156" customWidth="1"/>
    <col min="11269" max="11269" width="10.77734375" style="156" customWidth="1"/>
    <col min="11270" max="11270" width="12.21875" style="156" customWidth="1"/>
    <col min="11271" max="11520" width="9.21875" style="156"/>
    <col min="11521" max="11521" width="20.77734375" style="156" bestFit="1" customWidth="1"/>
    <col min="11522" max="11522" width="57.5546875" style="156" customWidth="1"/>
    <col min="11523" max="11523" width="6.21875" style="156" customWidth="1"/>
    <col min="11524" max="11524" width="10.21875" style="156" customWidth="1"/>
    <col min="11525" max="11525" width="10.77734375" style="156" customWidth="1"/>
    <col min="11526" max="11526" width="12.21875" style="156" customWidth="1"/>
    <col min="11527" max="11776" width="9.21875" style="156"/>
    <col min="11777" max="11777" width="20.77734375" style="156" bestFit="1" customWidth="1"/>
    <col min="11778" max="11778" width="57.5546875" style="156" customWidth="1"/>
    <col min="11779" max="11779" width="6.21875" style="156" customWidth="1"/>
    <col min="11780" max="11780" width="10.21875" style="156" customWidth="1"/>
    <col min="11781" max="11781" width="10.77734375" style="156" customWidth="1"/>
    <col min="11782" max="11782" width="12.21875" style="156" customWidth="1"/>
    <col min="11783" max="12032" width="9.21875" style="156"/>
    <col min="12033" max="12033" width="20.77734375" style="156" bestFit="1" customWidth="1"/>
    <col min="12034" max="12034" width="57.5546875" style="156" customWidth="1"/>
    <col min="12035" max="12035" width="6.21875" style="156" customWidth="1"/>
    <col min="12036" max="12036" width="10.21875" style="156" customWidth="1"/>
    <col min="12037" max="12037" width="10.77734375" style="156" customWidth="1"/>
    <col min="12038" max="12038" width="12.21875" style="156" customWidth="1"/>
    <col min="12039" max="12288" width="9.21875" style="156"/>
    <col min="12289" max="12289" width="20.77734375" style="156" bestFit="1" customWidth="1"/>
    <col min="12290" max="12290" width="57.5546875" style="156" customWidth="1"/>
    <col min="12291" max="12291" width="6.21875" style="156" customWidth="1"/>
    <col min="12292" max="12292" width="10.21875" style="156" customWidth="1"/>
    <col min="12293" max="12293" width="10.77734375" style="156" customWidth="1"/>
    <col min="12294" max="12294" width="12.21875" style="156" customWidth="1"/>
    <col min="12295" max="12544" width="9.21875" style="156"/>
    <col min="12545" max="12545" width="20.77734375" style="156" bestFit="1" customWidth="1"/>
    <col min="12546" max="12546" width="57.5546875" style="156" customWidth="1"/>
    <col min="12547" max="12547" width="6.21875" style="156" customWidth="1"/>
    <col min="12548" max="12548" width="10.21875" style="156" customWidth="1"/>
    <col min="12549" max="12549" width="10.77734375" style="156" customWidth="1"/>
    <col min="12550" max="12550" width="12.21875" style="156" customWidth="1"/>
    <col min="12551" max="12800" width="9.21875" style="156"/>
    <col min="12801" max="12801" width="20.77734375" style="156" bestFit="1" customWidth="1"/>
    <col min="12802" max="12802" width="57.5546875" style="156" customWidth="1"/>
    <col min="12803" max="12803" width="6.21875" style="156" customWidth="1"/>
    <col min="12804" max="12804" width="10.21875" style="156" customWidth="1"/>
    <col min="12805" max="12805" width="10.77734375" style="156" customWidth="1"/>
    <col min="12806" max="12806" width="12.21875" style="156" customWidth="1"/>
    <col min="12807" max="13056" width="9.21875" style="156"/>
    <col min="13057" max="13057" width="20.77734375" style="156" bestFit="1" customWidth="1"/>
    <col min="13058" max="13058" width="57.5546875" style="156" customWidth="1"/>
    <col min="13059" max="13059" width="6.21875" style="156" customWidth="1"/>
    <col min="13060" max="13060" width="10.21875" style="156" customWidth="1"/>
    <col min="13061" max="13061" width="10.77734375" style="156" customWidth="1"/>
    <col min="13062" max="13062" width="12.21875" style="156" customWidth="1"/>
    <col min="13063" max="13312" width="9.21875" style="156"/>
    <col min="13313" max="13313" width="20.77734375" style="156" bestFit="1" customWidth="1"/>
    <col min="13314" max="13314" width="57.5546875" style="156" customWidth="1"/>
    <col min="13315" max="13315" width="6.21875" style="156" customWidth="1"/>
    <col min="13316" max="13316" width="10.21875" style="156" customWidth="1"/>
    <col min="13317" max="13317" width="10.77734375" style="156" customWidth="1"/>
    <col min="13318" max="13318" width="12.21875" style="156" customWidth="1"/>
    <col min="13319" max="13568" width="9.21875" style="156"/>
    <col min="13569" max="13569" width="20.77734375" style="156" bestFit="1" customWidth="1"/>
    <col min="13570" max="13570" width="57.5546875" style="156" customWidth="1"/>
    <col min="13571" max="13571" width="6.21875" style="156" customWidth="1"/>
    <col min="13572" max="13572" width="10.21875" style="156" customWidth="1"/>
    <col min="13573" max="13573" width="10.77734375" style="156" customWidth="1"/>
    <col min="13574" max="13574" width="12.21875" style="156" customWidth="1"/>
    <col min="13575" max="13824" width="9.21875" style="156"/>
    <col min="13825" max="13825" width="20.77734375" style="156" bestFit="1" customWidth="1"/>
    <col min="13826" max="13826" width="57.5546875" style="156" customWidth="1"/>
    <col min="13827" max="13827" width="6.21875" style="156" customWidth="1"/>
    <col min="13828" max="13828" width="10.21875" style="156" customWidth="1"/>
    <col min="13829" max="13829" width="10.77734375" style="156" customWidth="1"/>
    <col min="13830" max="13830" width="12.21875" style="156" customWidth="1"/>
    <col min="13831" max="14080" width="9.21875" style="156"/>
    <col min="14081" max="14081" width="20.77734375" style="156" bestFit="1" customWidth="1"/>
    <col min="14082" max="14082" width="57.5546875" style="156" customWidth="1"/>
    <col min="14083" max="14083" width="6.21875" style="156" customWidth="1"/>
    <col min="14084" max="14084" width="10.21875" style="156" customWidth="1"/>
    <col min="14085" max="14085" width="10.77734375" style="156" customWidth="1"/>
    <col min="14086" max="14086" width="12.21875" style="156" customWidth="1"/>
    <col min="14087" max="14336" width="9.21875" style="156"/>
    <col min="14337" max="14337" width="20.77734375" style="156" bestFit="1" customWidth="1"/>
    <col min="14338" max="14338" width="57.5546875" style="156" customWidth="1"/>
    <col min="14339" max="14339" width="6.21875" style="156" customWidth="1"/>
    <col min="14340" max="14340" width="10.21875" style="156" customWidth="1"/>
    <col min="14341" max="14341" width="10.77734375" style="156" customWidth="1"/>
    <col min="14342" max="14342" width="12.21875" style="156" customWidth="1"/>
    <col min="14343" max="14592" width="9.21875" style="156"/>
    <col min="14593" max="14593" width="20.77734375" style="156" bestFit="1" customWidth="1"/>
    <col min="14594" max="14594" width="57.5546875" style="156" customWidth="1"/>
    <col min="14595" max="14595" width="6.21875" style="156" customWidth="1"/>
    <col min="14596" max="14596" width="10.21875" style="156" customWidth="1"/>
    <col min="14597" max="14597" width="10.77734375" style="156" customWidth="1"/>
    <col min="14598" max="14598" width="12.21875" style="156" customWidth="1"/>
    <col min="14599" max="14848" width="9.21875" style="156"/>
    <col min="14849" max="14849" width="20.77734375" style="156" bestFit="1" customWidth="1"/>
    <col min="14850" max="14850" width="57.5546875" style="156" customWidth="1"/>
    <col min="14851" max="14851" width="6.21875" style="156" customWidth="1"/>
    <col min="14852" max="14852" width="10.21875" style="156" customWidth="1"/>
    <col min="14853" max="14853" width="10.77734375" style="156" customWidth="1"/>
    <col min="14854" max="14854" width="12.21875" style="156" customWidth="1"/>
    <col min="14855" max="15104" width="9.21875" style="156"/>
    <col min="15105" max="15105" width="20.77734375" style="156" bestFit="1" customWidth="1"/>
    <col min="15106" max="15106" width="57.5546875" style="156" customWidth="1"/>
    <col min="15107" max="15107" width="6.21875" style="156" customWidth="1"/>
    <col min="15108" max="15108" width="10.21875" style="156" customWidth="1"/>
    <col min="15109" max="15109" width="10.77734375" style="156" customWidth="1"/>
    <col min="15110" max="15110" width="12.21875" style="156" customWidth="1"/>
    <col min="15111" max="15360" width="9.21875" style="156"/>
    <col min="15361" max="15361" width="20.77734375" style="156" bestFit="1" customWidth="1"/>
    <col min="15362" max="15362" width="57.5546875" style="156" customWidth="1"/>
    <col min="15363" max="15363" width="6.21875" style="156" customWidth="1"/>
    <col min="15364" max="15364" width="10.21875" style="156" customWidth="1"/>
    <col min="15365" max="15365" width="10.77734375" style="156" customWidth="1"/>
    <col min="15366" max="15366" width="12.21875" style="156" customWidth="1"/>
    <col min="15367" max="15616" width="9.21875" style="156"/>
    <col min="15617" max="15617" width="20.77734375" style="156" bestFit="1" customWidth="1"/>
    <col min="15618" max="15618" width="57.5546875" style="156" customWidth="1"/>
    <col min="15619" max="15619" width="6.21875" style="156" customWidth="1"/>
    <col min="15620" max="15620" width="10.21875" style="156" customWidth="1"/>
    <col min="15621" max="15621" width="10.77734375" style="156" customWidth="1"/>
    <col min="15622" max="15622" width="12.21875" style="156" customWidth="1"/>
    <col min="15623" max="15872" width="9.21875" style="156"/>
    <col min="15873" max="15873" width="20.77734375" style="156" bestFit="1" customWidth="1"/>
    <col min="15874" max="15874" width="57.5546875" style="156" customWidth="1"/>
    <col min="15875" max="15875" width="6.21875" style="156" customWidth="1"/>
    <col min="15876" max="15876" width="10.21875" style="156" customWidth="1"/>
    <col min="15877" max="15877" width="10.77734375" style="156" customWidth="1"/>
    <col min="15878" max="15878" width="12.21875" style="156" customWidth="1"/>
    <col min="15879" max="16128" width="9.21875" style="156"/>
    <col min="16129" max="16129" width="20.77734375" style="156" bestFit="1" customWidth="1"/>
    <col min="16130" max="16130" width="57.5546875" style="156" customWidth="1"/>
    <col min="16131" max="16131" width="6.21875" style="156" customWidth="1"/>
    <col min="16132" max="16132" width="10.21875" style="156" customWidth="1"/>
    <col min="16133" max="16133" width="10.77734375" style="156" customWidth="1"/>
    <col min="16134" max="16134" width="12.21875" style="156" customWidth="1"/>
    <col min="16135" max="16384" width="9.21875" style="156"/>
  </cols>
  <sheetData>
    <row r="1" spans="1:6" ht="15.75" customHeight="1">
      <c r="A1" s="1120"/>
      <c r="B1" s="1120"/>
      <c r="C1" s="153"/>
      <c r="D1" s="154"/>
      <c r="E1" s="154"/>
    </row>
    <row r="2" spans="1:6" ht="29.4">
      <c r="A2" s="157" t="s">
        <v>866</v>
      </c>
      <c r="B2" s="144" t="s">
        <v>847</v>
      </c>
      <c r="C2" s="153"/>
      <c r="D2" s="154"/>
      <c r="E2" s="154"/>
    </row>
    <row r="3" spans="1:6">
      <c r="A3" s="145" t="s">
        <v>848</v>
      </c>
      <c r="B3" s="144" t="s">
        <v>849</v>
      </c>
      <c r="C3" s="153"/>
      <c r="D3" s="153"/>
      <c r="E3" s="153"/>
      <c r="F3" s="153"/>
    </row>
    <row r="4" spans="1:6">
      <c r="A4" s="145" t="s">
        <v>850</v>
      </c>
      <c r="B4" s="144">
        <v>1669597821</v>
      </c>
    </row>
    <row r="5" spans="1:6">
      <c r="A5" s="145" t="s">
        <v>851</v>
      </c>
      <c r="B5" s="146" t="s">
        <v>852</v>
      </c>
    </row>
    <row r="6" spans="1:6">
      <c r="A6" s="145" t="s">
        <v>853</v>
      </c>
      <c r="B6" s="147" t="s">
        <v>854</v>
      </c>
    </row>
    <row r="7" spans="1:6">
      <c r="A7" s="145"/>
      <c r="B7" s="151"/>
    </row>
    <row r="8" spans="1:6" ht="19.2">
      <c r="A8" s="145" t="s">
        <v>855</v>
      </c>
      <c r="B8" s="148" t="s">
        <v>865</v>
      </c>
    </row>
    <row r="9" spans="1:6">
      <c r="A9" s="145"/>
      <c r="B9" s="151" t="s">
        <v>867</v>
      </c>
    </row>
    <row r="10" spans="1:6">
      <c r="A10" s="145"/>
      <c r="B10" s="151" t="s">
        <v>868</v>
      </c>
    </row>
    <row r="11" spans="1:6">
      <c r="A11" s="145"/>
      <c r="B11" s="151"/>
    </row>
    <row r="12" spans="1:6" s="160" customFormat="1" ht="19.2">
      <c r="A12" s="145"/>
      <c r="B12" s="148"/>
      <c r="C12" s="158"/>
      <c r="D12" s="159"/>
      <c r="E12" s="159"/>
      <c r="F12" s="159"/>
    </row>
    <row r="13" spans="1:6" s="160" customFormat="1">
      <c r="A13" s="145"/>
      <c r="B13" s="151"/>
      <c r="C13" s="158"/>
      <c r="D13" s="159"/>
      <c r="E13" s="159"/>
      <c r="F13" s="159"/>
    </row>
    <row r="14" spans="1:6" s="160" customFormat="1" ht="19.2">
      <c r="A14" s="145" t="s">
        <v>856</v>
      </c>
      <c r="B14" s="149" t="s">
        <v>869</v>
      </c>
      <c r="C14" s="158"/>
      <c r="D14" s="159"/>
      <c r="E14" s="159"/>
      <c r="F14" s="159"/>
    </row>
    <row r="15" spans="1:6" s="160" customFormat="1">
      <c r="A15" s="145"/>
      <c r="B15" s="151"/>
      <c r="C15" s="158"/>
      <c r="D15" s="159"/>
      <c r="E15" s="159"/>
      <c r="F15" s="159"/>
    </row>
    <row r="16" spans="1:6" s="160" customFormat="1" ht="19.2">
      <c r="A16" s="145"/>
      <c r="B16" s="148"/>
      <c r="C16" s="158"/>
      <c r="D16" s="159"/>
      <c r="E16" s="159"/>
      <c r="F16" s="159"/>
    </row>
    <row r="17" spans="1:6" s="163" customFormat="1" ht="19.5" customHeight="1">
      <c r="A17" s="145" t="s">
        <v>857</v>
      </c>
      <c r="B17" s="148" t="s">
        <v>870</v>
      </c>
      <c r="C17" s="161"/>
      <c r="D17" s="162"/>
      <c r="E17" s="162"/>
      <c r="F17" s="162"/>
    </row>
    <row r="18" spans="1:6" s="163" customFormat="1">
      <c r="A18" s="145"/>
      <c r="B18" s="151"/>
      <c r="C18" s="161"/>
      <c r="D18" s="162"/>
      <c r="E18" s="162"/>
      <c r="F18" s="162"/>
    </row>
    <row r="19" spans="1:6" s="163" customFormat="1" ht="99" customHeight="1">
      <c r="A19" s="145"/>
      <c r="B19" s="151"/>
      <c r="C19" s="161"/>
      <c r="D19" s="162"/>
      <c r="E19" s="162"/>
      <c r="F19" s="162"/>
    </row>
    <row r="20" spans="1:6" s="163" customFormat="1">
      <c r="A20" s="164"/>
      <c r="B20" s="165"/>
      <c r="C20" s="161"/>
      <c r="D20" s="162"/>
      <c r="E20" s="162"/>
      <c r="F20" s="162"/>
    </row>
    <row r="21" spans="1:6" s="163" customFormat="1">
      <c r="A21" s="145"/>
      <c r="B21" s="151"/>
      <c r="C21" s="161"/>
      <c r="D21" s="162"/>
      <c r="E21" s="162"/>
      <c r="F21" s="162"/>
    </row>
    <row r="22" spans="1:6" s="163" customFormat="1">
      <c r="A22" s="145" t="s">
        <v>858</v>
      </c>
      <c r="B22" s="150" t="s">
        <v>871</v>
      </c>
      <c r="C22" s="161"/>
      <c r="D22" s="162"/>
      <c r="E22" s="162"/>
      <c r="F22" s="162"/>
    </row>
    <row r="23" spans="1:6" s="163" customFormat="1">
      <c r="A23" s="145" t="s">
        <v>859</v>
      </c>
      <c r="B23" s="151" t="s">
        <v>872</v>
      </c>
      <c r="C23" s="161"/>
      <c r="D23" s="162"/>
      <c r="E23" s="162"/>
      <c r="F23" s="162"/>
    </row>
    <row r="24" spans="1:6" s="163" customFormat="1">
      <c r="A24" s="145" t="s">
        <v>860</v>
      </c>
      <c r="B24" s="151" t="s">
        <v>873</v>
      </c>
      <c r="C24" s="161"/>
      <c r="D24" s="162"/>
      <c r="E24" s="162"/>
      <c r="F24" s="162"/>
    </row>
    <row r="25" spans="1:6" s="163" customFormat="1">
      <c r="A25" s="145"/>
      <c r="B25" s="151"/>
      <c r="C25" s="161"/>
      <c r="D25" s="162"/>
      <c r="E25" s="162"/>
      <c r="F25" s="162"/>
    </row>
    <row r="26" spans="1:6" s="163" customFormat="1">
      <c r="A26" s="145"/>
      <c r="B26" s="151"/>
      <c r="C26" s="161"/>
      <c r="D26" s="162"/>
      <c r="E26" s="162"/>
      <c r="F26" s="162"/>
    </row>
    <row r="27" spans="1:6" s="163" customFormat="1">
      <c r="A27" s="145"/>
      <c r="B27" s="151"/>
      <c r="C27" s="161"/>
      <c r="D27" s="162"/>
      <c r="E27" s="162"/>
      <c r="F27" s="162"/>
    </row>
    <row r="28" spans="1:6" s="163" customFormat="1">
      <c r="A28" s="145"/>
      <c r="B28" s="151"/>
      <c r="C28" s="161"/>
      <c r="D28" s="162"/>
      <c r="E28" s="162"/>
      <c r="F28" s="162"/>
    </row>
    <row r="29" spans="1:6" s="163" customFormat="1">
      <c r="A29" s="145"/>
      <c r="B29" s="151"/>
      <c r="C29" s="161"/>
      <c r="D29" s="162"/>
      <c r="E29" s="162"/>
      <c r="F29" s="162"/>
    </row>
    <row r="30" spans="1:6" s="168" customFormat="1">
      <c r="A30" s="145"/>
      <c r="B30" s="151"/>
      <c r="C30" s="166"/>
      <c r="D30" s="167"/>
      <c r="E30" s="167"/>
      <c r="F30" s="167"/>
    </row>
    <row r="31" spans="1:6" s="163" customFormat="1">
      <c r="A31" s="145"/>
      <c r="B31" s="151"/>
      <c r="C31" s="161"/>
      <c r="D31" s="162"/>
      <c r="E31" s="162"/>
      <c r="F31" s="162"/>
    </row>
    <row r="32" spans="1:6" s="168" customFormat="1">
      <c r="A32" s="145"/>
      <c r="B32" s="151"/>
      <c r="C32" s="166"/>
      <c r="D32" s="167"/>
      <c r="E32" s="167"/>
      <c r="F32" s="167"/>
    </row>
    <row r="33" spans="1:6" s="163" customFormat="1">
      <c r="A33" s="145"/>
      <c r="B33" s="151"/>
      <c r="F33" s="162"/>
    </row>
    <row r="34" spans="1:6" s="163" customFormat="1">
      <c r="A34" s="145"/>
      <c r="B34" s="151"/>
      <c r="C34" s="169"/>
      <c r="D34" s="169"/>
      <c r="E34" s="169"/>
      <c r="F34" s="162"/>
    </row>
    <row r="35" spans="1:6" s="168" customFormat="1">
      <c r="A35" s="145" t="s">
        <v>861</v>
      </c>
      <c r="B35" s="151" t="s">
        <v>700</v>
      </c>
      <c r="C35" s="170"/>
      <c r="D35" s="171"/>
      <c r="E35" s="171"/>
      <c r="F35" s="167"/>
    </row>
    <row r="36" spans="1:6" s="163" customFormat="1">
      <c r="A36" s="145"/>
      <c r="B36" s="151"/>
      <c r="C36" s="172"/>
      <c r="D36" s="172"/>
      <c r="E36" s="172"/>
      <c r="F36" s="162"/>
    </row>
    <row r="37" spans="1:6">
      <c r="A37" s="145"/>
      <c r="B37" s="151"/>
    </row>
    <row r="38" spans="1:6">
      <c r="A38" s="145"/>
      <c r="B38" s="151"/>
    </row>
    <row r="39" spans="1:6">
      <c r="A39" s="145"/>
      <c r="B39" s="151"/>
    </row>
    <row r="40" spans="1:6">
      <c r="A40" s="145" t="s">
        <v>862</v>
      </c>
      <c r="B40" s="151" t="s">
        <v>700</v>
      </c>
    </row>
    <row r="41" spans="1:6">
      <c r="A41" s="145"/>
      <c r="B41" s="151"/>
    </row>
    <row r="42" spans="1:6">
      <c r="A42" s="145" t="s">
        <v>863</v>
      </c>
      <c r="B42" s="152" t="s">
        <v>864</v>
      </c>
    </row>
  </sheetData>
  <sheetProtection selectLockedCells="1" selectUnlockedCells="1"/>
  <mergeCells count="1">
    <mergeCell ref="A1:B1"/>
  </mergeCells>
  <hyperlinks>
    <hyperlink ref="B5" r:id="rId1" xr:uid="{AAB450B2-6871-4694-8834-92342F697BF5}"/>
  </hyperlinks>
  <pageMargins left="0.98" right="0.39" top="0.39" bottom="1.18" header="0.51" footer="0.31"/>
  <pageSetup paperSize="9" scale="95" orientation="portrait" r:id="rId2"/>
  <headerFooter alignWithMargins="0">
    <oddFooter>&amp;R&amp;9&amp;P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1D38-E5EA-41F3-B7F1-4F423228B27B}">
  <dimension ref="A1:F17"/>
  <sheetViews>
    <sheetView tabSelected="1" zoomScaleNormal="100" zoomScaleSheetLayoutView="100" workbookViewId="0">
      <selection activeCell="G23" sqref="G23"/>
    </sheetView>
  </sheetViews>
  <sheetFormatPr defaultRowHeight="13.2"/>
  <cols>
    <col min="1" max="1" width="40.6640625" customWidth="1"/>
    <col min="6" max="6" width="13.33203125" style="699" bestFit="1" customWidth="1"/>
  </cols>
  <sheetData>
    <row r="1" spans="1:6" s="25" customFormat="1" ht="12">
      <c r="A1" s="21"/>
      <c r="B1" s="22"/>
      <c r="C1" s="23"/>
      <c r="D1" s="23"/>
      <c r="E1" s="23"/>
      <c r="F1" s="698"/>
    </row>
    <row r="2" spans="1:6">
      <c r="A2" s="4" t="s">
        <v>143</v>
      </c>
    </row>
    <row r="3" spans="1:6">
      <c r="A3" s="4"/>
    </row>
    <row r="4" spans="1:6">
      <c r="A4" s="4" t="s">
        <v>258</v>
      </c>
      <c r="F4" s="141">
        <f>'REKAP-GOR'!E50</f>
        <v>3111797</v>
      </c>
    </row>
    <row r="5" spans="1:6">
      <c r="A5" s="4" t="s">
        <v>259</v>
      </c>
      <c r="F5" s="141">
        <f>OPREMA!F392</f>
        <v>209022.4</v>
      </c>
    </row>
    <row r="6" spans="1:6">
      <c r="A6" s="4" t="s">
        <v>261</v>
      </c>
      <c r="F6" s="141">
        <f>VIK!F544</f>
        <v>382095</v>
      </c>
    </row>
    <row r="7" spans="1:6">
      <c r="A7" s="4" t="s">
        <v>260</v>
      </c>
      <c r="F7" s="141">
        <f>STROJ!F29</f>
        <v>492313</v>
      </c>
    </row>
    <row r="8" spans="1:6">
      <c r="A8" s="4" t="s">
        <v>262</v>
      </c>
      <c r="F8" s="141">
        <f>ELEKTRO!E509</f>
        <v>282527.15000000002</v>
      </c>
    </row>
    <row r="9" spans="1:6">
      <c r="A9" s="4" t="s">
        <v>263</v>
      </c>
      <c r="F9" s="141">
        <f>VATRODOJAVA!F47</f>
        <v>26255.600000000002</v>
      </c>
    </row>
    <row r="10" spans="1:6">
      <c r="A10" s="4" t="s">
        <v>794</v>
      </c>
      <c r="F10" s="141">
        <f>SE!E157</f>
        <v>71951.59</v>
      </c>
    </row>
    <row r="11" spans="1:6">
      <c r="F11" s="141"/>
    </row>
    <row r="12" spans="1:6">
      <c r="F12" s="141"/>
    </row>
    <row r="13" spans="1:6">
      <c r="F13" s="141"/>
    </row>
    <row r="14" spans="1:6">
      <c r="F14" s="141"/>
    </row>
    <row r="15" spans="1:6">
      <c r="B15" s="4" t="s">
        <v>38</v>
      </c>
      <c r="F15" s="141">
        <f>SUM(F4:F10)</f>
        <v>4575961.74</v>
      </c>
    </row>
    <row r="16" spans="1:6">
      <c r="B16" s="4" t="s">
        <v>264</v>
      </c>
      <c r="F16" s="141">
        <f>F15*0.25</f>
        <v>1143990.4350000001</v>
      </c>
    </row>
    <row r="17" spans="2:6">
      <c r="B17" s="4" t="s">
        <v>265</v>
      </c>
      <c r="F17" s="141">
        <f>SUM(F15:F16)</f>
        <v>5719952.1750000007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59DC-CD36-4552-8C4A-F84004AF03B3}">
  <dimension ref="A1:H179"/>
  <sheetViews>
    <sheetView topLeftCell="A56" zoomScaleNormal="100" zoomScaleSheetLayoutView="115" workbookViewId="0">
      <selection activeCell="B70" sqref="B70:H70"/>
    </sheetView>
  </sheetViews>
  <sheetFormatPr defaultColWidth="9.33203125" defaultRowHeight="15"/>
  <cols>
    <col min="1" max="16384" width="9.33203125" style="176"/>
  </cols>
  <sheetData>
    <row r="1" spans="1:8">
      <c r="A1" s="174" t="s">
        <v>960</v>
      </c>
      <c r="B1" s="174"/>
      <c r="C1" s="175"/>
      <c r="D1" s="175"/>
      <c r="E1" s="175"/>
      <c r="F1" s="175"/>
      <c r="G1" s="175"/>
      <c r="H1" s="175"/>
    </row>
    <row r="2" spans="1:8">
      <c r="A2" s="174"/>
      <c r="B2" s="174"/>
      <c r="C2" s="175"/>
      <c r="D2" s="175"/>
      <c r="E2" s="175"/>
      <c r="F2" s="175"/>
      <c r="G2" s="175"/>
      <c r="H2" s="175"/>
    </row>
    <row r="3" spans="1:8">
      <c r="A3" s="174"/>
      <c r="B3" s="1121" t="s">
        <v>874</v>
      </c>
      <c r="C3" s="1121"/>
      <c r="D3" s="1121"/>
      <c r="E3" s="1121"/>
      <c r="F3" s="1121"/>
      <c r="G3" s="1121"/>
      <c r="H3" s="1121"/>
    </row>
    <row r="4" spans="1:8">
      <c r="A4" s="174"/>
      <c r="B4" s="1121"/>
      <c r="C4" s="1121"/>
      <c r="D4" s="1121"/>
      <c r="E4" s="1121"/>
      <c r="F4" s="1121"/>
      <c r="G4" s="1121"/>
      <c r="H4" s="1121"/>
    </row>
    <row r="5" spans="1:8">
      <c r="A5" s="174"/>
      <c r="B5" s="1121"/>
      <c r="C5" s="1121"/>
      <c r="D5" s="1121"/>
      <c r="E5" s="1121"/>
      <c r="F5" s="1121"/>
      <c r="G5" s="1121"/>
      <c r="H5" s="1121"/>
    </row>
    <row r="6" spans="1:8" ht="31.5" customHeight="1">
      <c r="A6" s="174"/>
      <c r="B6" s="1128" t="s">
        <v>875</v>
      </c>
      <c r="C6" s="1128"/>
      <c r="D6" s="1128"/>
      <c r="E6" s="1128"/>
      <c r="F6" s="1128"/>
      <c r="G6" s="1128"/>
      <c r="H6" s="1128"/>
    </row>
    <row r="7" spans="1:8" ht="133.5" customHeight="1">
      <c r="A7" s="174"/>
      <c r="B7" s="1126" t="s">
        <v>876</v>
      </c>
      <c r="C7" s="1126"/>
      <c r="D7" s="1126"/>
      <c r="E7" s="1126"/>
      <c r="F7" s="1126"/>
      <c r="G7" s="1126"/>
      <c r="H7" s="1126"/>
    </row>
    <row r="8" spans="1:8" ht="132.6" customHeight="1">
      <c r="A8" s="174"/>
      <c r="B8" s="1121" t="s">
        <v>877</v>
      </c>
      <c r="C8" s="1121"/>
      <c r="D8" s="1121"/>
      <c r="E8" s="1121"/>
      <c r="F8" s="1121"/>
      <c r="G8" s="1121"/>
      <c r="H8" s="1121"/>
    </row>
    <row r="9" spans="1:8" ht="12.6" customHeight="1">
      <c r="A9" s="174"/>
      <c r="B9" s="1121"/>
      <c r="C9" s="1121"/>
      <c r="D9" s="1121"/>
      <c r="E9" s="1121"/>
      <c r="F9" s="1121"/>
      <c r="G9" s="1121"/>
      <c r="H9" s="1121"/>
    </row>
    <row r="10" spans="1:8" hidden="1">
      <c r="A10" s="174"/>
      <c r="B10" s="1121"/>
      <c r="C10" s="1121"/>
      <c r="D10" s="1121"/>
      <c r="E10" s="1121"/>
      <c r="F10" s="1121"/>
      <c r="G10" s="1121"/>
      <c r="H10" s="1121"/>
    </row>
    <row r="11" spans="1:8" hidden="1">
      <c r="A11" s="174"/>
      <c r="B11" s="1121"/>
      <c r="C11" s="1121"/>
      <c r="D11" s="1121"/>
      <c r="E11" s="1121"/>
      <c r="F11" s="1121"/>
      <c r="G11" s="1121"/>
      <c r="H11" s="1121"/>
    </row>
    <row r="12" spans="1:8" hidden="1">
      <c r="A12" s="174"/>
      <c r="B12" s="1121"/>
      <c r="C12" s="1121"/>
      <c r="D12" s="1121"/>
      <c r="E12" s="1121"/>
      <c r="F12" s="1121"/>
      <c r="G12" s="1121"/>
      <c r="H12" s="1121"/>
    </row>
    <row r="13" spans="1:8" ht="13.5" hidden="1" customHeight="1">
      <c r="A13" s="174"/>
      <c r="B13" s="1121"/>
      <c r="C13" s="1121"/>
      <c r="D13" s="1121"/>
      <c r="E13" s="1121"/>
      <c r="F13" s="1121"/>
      <c r="G13" s="1121"/>
      <c r="H13" s="1121"/>
    </row>
    <row r="14" spans="1:8" ht="54" hidden="1" customHeight="1">
      <c r="A14" s="174"/>
      <c r="B14" s="1121"/>
      <c r="C14" s="1121"/>
      <c r="D14" s="1121"/>
      <c r="E14" s="1121"/>
      <c r="F14" s="1121"/>
      <c r="G14" s="1121"/>
      <c r="H14" s="1121"/>
    </row>
    <row r="15" spans="1:8" ht="12.75" customHeight="1">
      <c r="A15" s="174"/>
      <c r="B15" s="1121" t="s">
        <v>878</v>
      </c>
      <c r="C15" s="1121"/>
      <c r="D15" s="1121"/>
      <c r="E15" s="1121"/>
      <c r="F15" s="1121"/>
      <c r="G15" s="1121"/>
      <c r="H15" s="1121"/>
    </row>
    <row r="16" spans="1:8" ht="24.75" customHeight="1">
      <c r="A16" s="174"/>
      <c r="B16" s="1121"/>
      <c r="C16" s="1121"/>
      <c r="D16" s="1121"/>
      <c r="E16" s="1121"/>
      <c r="F16" s="1121"/>
      <c r="G16" s="1121"/>
      <c r="H16" s="1121"/>
    </row>
    <row r="17" spans="1:8" ht="15.75" customHeight="1">
      <c r="A17" s="174"/>
      <c r="B17" s="1121" t="s">
        <v>879</v>
      </c>
      <c r="C17" s="1121"/>
      <c r="D17" s="1121"/>
      <c r="E17" s="1121"/>
      <c r="F17" s="1121"/>
      <c r="G17" s="1121"/>
      <c r="H17" s="1121"/>
    </row>
    <row r="18" spans="1:8" ht="12.75" customHeight="1">
      <c r="A18" s="174"/>
      <c r="B18" s="1121" t="s">
        <v>880</v>
      </c>
      <c r="C18" s="1121"/>
      <c r="D18" s="1121"/>
      <c r="E18" s="1121"/>
      <c r="F18" s="1121"/>
      <c r="G18" s="1121"/>
      <c r="H18" s="1121"/>
    </row>
    <row r="19" spans="1:8" ht="21.75" customHeight="1">
      <c r="A19" s="174"/>
      <c r="B19" s="1121"/>
      <c r="C19" s="1121"/>
      <c r="D19" s="1121"/>
      <c r="E19" s="1121"/>
      <c r="F19" s="1121"/>
      <c r="G19" s="1121"/>
      <c r="H19" s="1121"/>
    </row>
    <row r="20" spans="1:8" ht="18.75" customHeight="1">
      <c r="A20" s="174"/>
      <c r="B20" s="177" t="s">
        <v>881</v>
      </c>
      <c r="C20" s="177"/>
      <c r="D20" s="177"/>
      <c r="E20" s="177"/>
      <c r="F20" s="177"/>
      <c r="G20" s="177"/>
      <c r="H20" s="178"/>
    </row>
    <row r="21" spans="1:8" ht="12.75" customHeight="1">
      <c r="A21" s="174"/>
      <c r="B21" s="1121" t="s">
        <v>882</v>
      </c>
      <c r="C21" s="1121"/>
      <c r="D21" s="1121"/>
      <c r="E21" s="1121"/>
      <c r="F21" s="1121"/>
      <c r="G21" s="1121"/>
      <c r="H21" s="1121"/>
    </row>
    <row r="22" spans="1:8">
      <c r="A22" s="174"/>
      <c r="B22" s="1121"/>
      <c r="C22" s="1121"/>
      <c r="D22" s="1121"/>
      <c r="E22" s="1121"/>
      <c r="F22" s="1121"/>
      <c r="G22" s="1121"/>
      <c r="H22" s="1121"/>
    </row>
    <row r="23" spans="1:8">
      <c r="A23" s="174"/>
      <c r="B23" s="1127"/>
      <c r="C23" s="1127"/>
      <c r="D23" s="1127"/>
      <c r="E23" s="1127"/>
      <c r="F23" s="1127"/>
      <c r="G23" s="1127"/>
      <c r="H23" s="1127"/>
    </row>
    <row r="24" spans="1:8">
      <c r="A24" s="178"/>
      <c r="B24" s="174" t="s">
        <v>221</v>
      </c>
      <c r="C24" s="174"/>
      <c r="D24" s="174"/>
      <c r="E24" s="174"/>
      <c r="F24" s="179"/>
      <c r="G24" s="174"/>
      <c r="H24" s="178"/>
    </row>
    <row r="25" spans="1:8" ht="12.75" customHeight="1">
      <c r="A25" s="174"/>
      <c r="B25" s="1121" t="s">
        <v>883</v>
      </c>
      <c r="C25" s="1121"/>
      <c r="D25" s="1121"/>
      <c r="E25" s="1121"/>
      <c r="F25" s="1121"/>
      <c r="G25" s="1121"/>
      <c r="H25" s="1121"/>
    </row>
    <row r="26" spans="1:8">
      <c r="A26" s="174"/>
      <c r="B26" s="1121"/>
      <c r="C26" s="1121"/>
      <c r="D26" s="1121"/>
      <c r="E26" s="1121"/>
      <c r="F26" s="1121"/>
      <c r="G26" s="1121"/>
      <c r="H26" s="1121"/>
    </row>
    <row r="27" spans="1:8">
      <c r="A27" s="174"/>
      <c r="B27" s="1121"/>
      <c r="C27" s="1121"/>
      <c r="D27" s="1121"/>
      <c r="E27" s="1121"/>
      <c r="F27" s="1121"/>
      <c r="G27" s="1121"/>
      <c r="H27" s="1121"/>
    </row>
    <row r="28" spans="1:8">
      <c r="A28" s="174"/>
      <c r="B28" s="1121"/>
      <c r="C28" s="1121"/>
      <c r="D28" s="1121"/>
      <c r="E28" s="1121"/>
      <c r="F28" s="1121"/>
      <c r="G28" s="1121"/>
      <c r="H28" s="1121"/>
    </row>
    <row r="29" spans="1:8">
      <c r="A29" s="174"/>
      <c r="B29" s="1121"/>
      <c r="C29" s="1121"/>
      <c r="D29" s="1121"/>
      <c r="E29" s="1121"/>
      <c r="F29" s="1121"/>
      <c r="G29" s="1121"/>
      <c r="H29" s="1121"/>
    </row>
    <row r="30" spans="1:8" ht="31.5" customHeight="1">
      <c r="A30" s="174"/>
      <c r="B30" s="1121"/>
      <c r="C30" s="1121"/>
      <c r="D30" s="1121"/>
      <c r="E30" s="1121"/>
      <c r="F30" s="1121"/>
      <c r="G30" s="1121"/>
      <c r="H30" s="1121"/>
    </row>
    <row r="31" spans="1:8">
      <c r="A31" s="178"/>
      <c r="B31" s="174" t="s">
        <v>220</v>
      </c>
      <c r="C31" s="174"/>
      <c r="D31" s="174"/>
      <c r="E31" s="174"/>
      <c r="F31" s="179"/>
      <c r="G31" s="174"/>
      <c r="H31" s="178"/>
    </row>
    <row r="32" spans="1:8" ht="12.75" customHeight="1">
      <c r="A32" s="174"/>
      <c r="B32" s="1121" t="s">
        <v>884</v>
      </c>
      <c r="C32" s="1121"/>
      <c r="D32" s="1121"/>
      <c r="E32" s="1121"/>
      <c r="F32" s="1121"/>
      <c r="G32" s="1121"/>
      <c r="H32" s="1121"/>
    </row>
    <row r="33" spans="1:8">
      <c r="A33" s="174"/>
      <c r="B33" s="1121"/>
      <c r="C33" s="1121"/>
      <c r="D33" s="1121"/>
      <c r="E33" s="1121"/>
      <c r="F33" s="1121"/>
      <c r="G33" s="1121"/>
      <c r="H33" s="1121"/>
    </row>
    <row r="34" spans="1:8">
      <c r="A34" s="174"/>
      <c r="B34" s="1121"/>
      <c r="C34" s="1121"/>
      <c r="D34" s="1121"/>
      <c r="E34" s="1121"/>
      <c r="F34" s="1121"/>
      <c r="G34" s="1121"/>
      <c r="H34" s="1121"/>
    </row>
    <row r="35" spans="1:8" ht="23.25" customHeight="1">
      <c r="A35" s="174"/>
      <c r="B35" s="1121"/>
      <c r="C35" s="1121"/>
      <c r="D35" s="1121"/>
      <c r="E35" s="1121"/>
      <c r="F35" s="1121"/>
      <c r="G35" s="1121"/>
      <c r="H35" s="1121"/>
    </row>
    <row r="36" spans="1:8">
      <c r="A36" s="178"/>
      <c r="B36" s="174" t="s">
        <v>885</v>
      </c>
      <c r="C36" s="174"/>
      <c r="D36" s="174"/>
      <c r="E36" s="174"/>
      <c r="F36" s="179"/>
      <c r="G36" s="174"/>
      <c r="H36" s="178"/>
    </row>
    <row r="37" spans="1:8" ht="12.75" customHeight="1">
      <c r="A37" s="174"/>
      <c r="B37" s="1121" t="s">
        <v>886</v>
      </c>
      <c r="C37" s="1121"/>
      <c r="D37" s="1121"/>
      <c r="E37" s="1121"/>
      <c r="F37" s="1121"/>
      <c r="G37" s="1121"/>
      <c r="H37" s="1121"/>
    </row>
    <row r="38" spans="1:8">
      <c r="A38" s="174"/>
      <c r="B38" s="1121"/>
      <c r="C38" s="1121"/>
      <c r="D38" s="1121"/>
      <c r="E38" s="1121"/>
      <c r="F38" s="1121"/>
      <c r="G38" s="1121"/>
      <c r="H38" s="1121"/>
    </row>
    <row r="39" spans="1:8">
      <c r="A39" s="174"/>
      <c r="B39" s="1121"/>
      <c r="C39" s="1121"/>
      <c r="D39" s="1121"/>
      <c r="E39" s="1121"/>
      <c r="F39" s="1121"/>
      <c r="G39" s="1121"/>
      <c r="H39" s="1121"/>
    </row>
    <row r="40" spans="1:8" ht="35.25" customHeight="1">
      <c r="A40" s="174"/>
      <c r="B40" s="1121"/>
      <c r="C40" s="1121"/>
      <c r="D40" s="1121"/>
      <c r="E40" s="1121"/>
      <c r="F40" s="1121"/>
      <c r="G40" s="1121"/>
      <c r="H40" s="1121"/>
    </row>
    <row r="41" spans="1:8">
      <c r="A41" s="174"/>
      <c r="B41" s="175"/>
      <c r="C41" s="175"/>
      <c r="D41" s="175"/>
      <c r="E41" s="175"/>
      <c r="F41" s="175"/>
      <c r="G41" s="175"/>
      <c r="H41" s="175"/>
    </row>
    <row r="42" spans="1:8">
      <c r="A42" s="178"/>
      <c r="B42" s="174" t="s">
        <v>219</v>
      </c>
      <c r="C42" s="174"/>
      <c r="D42" s="174"/>
      <c r="E42" s="174"/>
      <c r="F42" s="179"/>
      <c r="G42" s="174"/>
      <c r="H42" s="178"/>
    </row>
    <row r="43" spans="1:8" ht="12.75" customHeight="1">
      <c r="A43" s="174"/>
      <c r="B43" s="1121" t="s">
        <v>887</v>
      </c>
      <c r="C43" s="1121"/>
      <c r="D43" s="1121"/>
      <c r="E43" s="1121"/>
      <c r="F43" s="1121"/>
      <c r="G43" s="1121"/>
      <c r="H43" s="1121"/>
    </row>
    <row r="44" spans="1:8">
      <c r="A44" s="174"/>
      <c r="B44" s="1121"/>
      <c r="C44" s="1121"/>
      <c r="D44" s="1121"/>
      <c r="E44" s="1121"/>
      <c r="F44" s="1121"/>
      <c r="G44" s="1121"/>
      <c r="H44" s="1121"/>
    </row>
    <row r="45" spans="1:8">
      <c r="A45" s="174"/>
      <c r="B45" s="1121"/>
      <c r="C45" s="1121"/>
      <c r="D45" s="1121"/>
      <c r="E45" s="1121"/>
      <c r="F45" s="1121"/>
      <c r="G45" s="1121"/>
      <c r="H45" s="1121"/>
    </row>
    <row r="46" spans="1:8">
      <c r="A46" s="174"/>
      <c r="B46" s="1121"/>
      <c r="C46" s="1121"/>
      <c r="D46" s="1121"/>
      <c r="E46" s="1121"/>
      <c r="F46" s="1121"/>
      <c r="G46" s="1121"/>
      <c r="H46" s="1121"/>
    </row>
    <row r="47" spans="1:8">
      <c r="A47" s="174"/>
      <c r="B47" s="1121"/>
      <c r="C47" s="1121"/>
      <c r="D47" s="1121"/>
      <c r="E47" s="1121"/>
      <c r="F47" s="1121"/>
      <c r="G47" s="1121"/>
      <c r="H47" s="1121"/>
    </row>
    <row r="48" spans="1:8">
      <c r="A48" s="174"/>
      <c r="B48" s="1121"/>
      <c r="C48" s="1121"/>
      <c r="D48" s="1121"/>
      <c r="E48" s="1121"/>
      <c r="F48" s="1121"/>
      <c r="G48" s="1121"/>
      <c r="H48" s="1121"/>
    </row>
    <row r="49" spans="1:8">
      <c r="A49" s="178"/>
      <c r="B49" s="174" t="s">
        <v>888</v>
      </c>
      <c r="C49" s="174"/>
      <c r="D49" s="174"/>
      <c r="E49" s="174"/>
      <c r="F49" s="179"/>
      <c r="G49" s="174"/>
      <c r="H49" s="178"/>
    </row>
    <row r="50" spans="1:8" ht="12.75" customHeight="1">
      <c r="A50" s="174"/>
      <c r="B50" s="1121" t="s">
        <v>889</v>
      </c>
      <c r="C50" s="1121"/>
      <c r="D50" s="1121"/>
      <c r="E50" s="1121"/>
      <c r="F50" s="1121"/>
      <c r="G50" s="1121"/>
      <c r="H50" s="1121"/>
    </row>
    <row r="51" spans="1:8">
      <c r="A51" s="174"/>
      <c r="B51" s="1121"/>
      <c r="C51" s="1121"/>
      <c r="D51" s="1121"/>
      <c r="E51" s="1121"/>
      <c r="F51" s="1121"/>
      <c r="G51" s="1121"/>
      <c r="H51" s="1121"/>
    </row>
    <row r="52" spans="1:8" ht="27.75" customHeight="1">
      <c r="A52" s="174"/>
      <c r="B52" s="1121"/>
      <c r="C52" s="1121"/>
      <c r="D52" s="1121"/>
      <c r="E52" s="1121"/>
      <c r="F52" s="1121"/>
      <c r="G52" s="1121"/>
      <c r="H52" s="1121"/>
    </row>
    <row r="53" spans="1:8">
      <c r="A53" s="178"/>
      <c r="B53" s="174" t="s">
        <v>890</v>
      </c>
      <c r="C53" s="174"/>
      <c r="D53" s="174"/>
      <c r="E53" s="174"/>
      <c r="F53" s="179"/>
      <c r="G53" s="174"/>
      <c r="H53" s="178"/>
    </row>
    <row r="54" spans="1:8" ht="12.75" customHeight="1">
      <c r="A54" s="174"/>
      <c r="B54" s="1121" t="s">
        <v>891</v>
      </c>
      <c r="C54" s="1121"/>
      <c r="D54" s="1121"/>
      <c r="E54" s="1121"/>
      <c r="F54" s="1121"/>
      <c r="G54" s="1121"/>
      <c r="H54" s="1121"/>
    </row>
    <row r="55" spans="1:8">
      <c r="A55" s="174"/>
      <c r="B55" s="1121"/>
      <c r="C55" s="1121"/>
      <c r="D55" s="1121"/>
      <c r="E55" s="1121"/>
      <c r="F55" s="1121"/>
      <c r="G55" s="1121"/>
      <c r="H55" s="1121"/>
    </row>
    <row r="56" spans="1:8" ht="33" customHeight="1">
      <c r="A56" s="174"/>
      <c r="B56" s="1121"/>
      <c r="C56" s="1121"/>
      <c r="D56" s="1121"/>
      <c r="E56" s="1121"/>
      <c r="F56" s="1121"/>
      <c r="G56" s="1121"/>
      <c r="H56" s="1121"/>
    </row>
    <row r="57" spans="1:8">
      <c r="A57" s="174"/>
      <c r="B57" s="175"/>
      <c r="C57" s="175"/>
      <c r="D57" s="175"/>
      <c r="E57" s="175"/>
      <c r="F57" s="175"/>
      <c r="G57" s="175"/>
      <c r="H57" s="175"/>
    </row>
    <row r="58" spans="1:8" ht="12.75" customHeight="1">
      <c r="A58" s="174"/>
      <c r="B58" s="1121" t="s">
        <v>892</v>
      </c>
      <c r="C58" s="1121"/>
      <c r="D58" s="1121"/>
      <c r="E58" s="1121"/>
      <c r="F58" s="1121"/>
      <c r="G58" s="1121"/>
      <c r="H58" s="1121"/>
    </row>
    <row r="59" spans="1:8" ht="14.25" customHeight="1">
      <c r="A59" s="174"/>
      <c r="B59" s="1121" t="s">
        <v>893</v>
      </c>
      <c r="C59" s="1121"/>
      <c r="D59" s="1121"/>
      <c r="E59" s="1121"/>
      <c r="F59" s="1121"/>
      <c r="G59" s="1121"/>
      <c r="H59" s="1121"/>
    </row>
    <row r="60" spans="1:8" ht="12.75" customHeight="1">
      <c r="A60" s="174"/>
      <c r="B60" s="1121" t="s">
        <v>894</v>
      </c>
      <c r="C60" s="1121"/>
      <c r="D60" s="1121"/>
      <c r="E60" s="1121"/>
      <c r="F60" s="1121"/>
      <c r="G60" s="1121"/>
      <c r="H60" s="1121"/>
    </row>
    <row r="61" spans="1:8" ht="12.75" customHeight="1">
      <c r="A61" s="174"/>
      <c r="B61" s="1121" t="s">
        <v>895</v>
      </c>
      <c r="C61" s="1121"/>
      <c r="D61" s="1121"/>
      <c r="E61" s="1121"/>
      <c r="F61" s="1121"/>
      <c r="G61" s="1121"/>
      <c r="H61" s="1121"/>
    </row>
    <row r="62" spans="1:8" ht="12.75" customHeight="1">
      <c r="A62" s="174"/>
      <c r="B62" s="1121" t="s">
        <v>896</v>
      </c>
      <c r="C62" s="1121"/>
      <c r="D62" s="1121"/>
      <c r="E62" s="1121"/>
      <c r="F62" s="1121"/>
      <c r="G62" s="1121"/>
      <c r="H62" s="1121"/>
    </row>
    <row r="63" spans="1:8" ht="13.5" customHeight="1">
      <c r="A63" s="174"/>
      <c r="B63" s="1121" t="s">
        <v>897</v>
      </c>
      <c r="C63" s="1121"/>
      <c r="D63" s="1121"/>
      <c r="E63" s="1121"/>
      <c r="F63" s="1121"/>
      <c r="G63" s="1121"/>
      <c r="H63" s="1121"/>
    </row>
    <row r="64" spans="1:8" ht="12.75" customHeight="1">
      <c r="A64" s="174"/>
      <c r="B64" s="1121" t="s">
        <v>898</v>
      </c>
      <c r="C64" s="1121"/>
      <c r="D64" s="1121"/>
      <c r="E64" s="1121"/>
      <c r="F64" s="1121"/>
      <c r="G64" s="1121"/>
      <c r="H64" s="1121"/>
    </row>
    <row r="65" spans="1:8" ht="12.75" customHeight="1">
      <c r="A65" s="174"/>
      <c r="B65" s="1121" t="s">
        <v>899</v>
      </c>
      <c r="C65" s="1121"/>
      <c r="D65" s="1121"/>
      <c r="E65" s="1121"/>
      <c r="F65" s="1121"/>
      <c r="G65" s="1121"/>
      <c r="H65" s="1121"/>
    </row>
    <row r="66" spans="1:8" ht="12.75" customHeight="1">
      <c r="A66" s="174"/>
      <c r="B66" s="1121" t="s">
        <v>900</v>
      </c>
      <c r="C66" s="1121"/>
      <c r="D66" s="1121"/>
      <c r="E66" s="1121"/>
      <c r="F66" s="1121"/>
      <c r="G66" s="1121"/>
      <c r="H66" s="1121"/>
    </row>
    <row r="67" spans="1:8" ht="36" customHeight="1">
      <c r="A67" s="174"/>
      <c r="B67" s="1121" t="s">
        <v>901</v>
      </c>
      <c r="C67" s="1121"/>
      <c r="D67" s="1121"/>
      <c r="E67" s="1121"/>
      <c r="F67" s="1121"/>
      <c r="G67" s="1121"/>
      <c r="H67" s="1121"/>
    </row>
    <row r="68" spans="1:8" ht="23.55" customHeight="1">
      <c r="A68" s="174"/>
      <c r="B68" s="1121" t="s">
        <v>902</v>
      </c>
      <c r="C68" s="1121"/>
      <c r="D68" s="1121"/>
      <c r="E68" s="1121"/>
      <c r="F68" s="1121"/>
      <c r="G68" s="1121"/>
      <c r="H68" s="1121"/>
    </row>
    <row r="69" spans="1:8" ht="34.5" customHeight="1">
      <c r="A69" s="174"/>
      <c r="B69" s="1121" t="s">
        <v>903</v>
      </c>
      <c r="C69" s="1121"/>
      <c r="D69" s="1121"/>
      <c r="E69" s="1121"/>
      <c r="F69" s="1121"/>
      <c r="G69" s="1121"/>
      <c r="H69" s="1121"/>
    </row>
    <row r="70" spans="1:8" ht="81" customHeight="1">
      <c r="A70" s="174"/>
      <c r="B70" s="1121" t="s">
        <v>904</v>
      </c>
      <c r="C70" s="1121"/>
      <c r="D70" s="1121"/>
      <c r="E70" s="1121"/>
      <c r="F70" s="1121"/>
      <c r="G70" s="1121"/>
      <c r="H70" s="1121"/>
    </row>
    <row r="71" spans="1:8">
      <c r="A71" s="174"/>
      <c r="B71" s="175"/>
      <c r="C71" s="175"/>
      <c r="D71" s="175"/>
      <c r="E71" s="180"/>
      <c r="F71" s="177"/>
      <c r="G71" s="175"/>
      <c r="H71" s="175"/>
    </row>
    <row r="72" spans="1:8" ht="12.75" customHeight="1">
      <c r="A72" s="174"/>
      <c r="B72" s="1121" t="s">
        <v>905</v>
      </c>
      <c r="C72" s="1121"/>
      <c r="D72" s="1121"/>
      <c r="E72" s="1121"/>
      <c r="F72" s="1121"/>
      <c r="G72" s="1121"/>
      <c r="H72" s="1121"/>
    </row>
    <row r="73" spans="1:8">
      <c r="A73" s="174"/>
      <c r="B73" s="175"/>
      <c r="C73" s="175"/>
      <c r="D73" s="175"/>
      <c r="E73" s="175"/>
      <c r="F73" s="175"/>
      <c r="G73" s="175"/>
      <c r="H73" s="175"/>
    </row>
    <row r="74" spans="1:8">
      <c r="A74" s="174"/>
      <c r="B74" s="174" t="s">
        <v>906</v>
      </c>
      <c r="C74" s="174"/>
      <c r="D74" s="175"/>
      <c r="E74" s="180"/>
      <c r="F74" s="177"/>
      <c r="G74" s="175"/>
      <c r="H74" s="175"/>
    </row>
    <row r="75" spans="1:8" ht="18" customHeight="1">
      <c r="A75" s="174"/>
      <c r="B75" s="1121" t="s">
        <v>907</v>
      </c>
      <c r="C75" s="1121"/>
      <c r="D75" s="1121"/>
      <c r="E75" s="1121"/>
      <c r="F75" s="1121"/>
      <c r="G75" s="1121"/>
      <c r="H75" s="1121"/>
    </row>
    <row r="76" spans="1:8">
      <c r="A76" s="174"/>
      <c r="B76" s="1121"/>
      <c r="C76" s="1121"/>
      <c r="D76" s="1121"/>
      <c r="E76" s="1121"/>
      <c r="F76" s="1121"/>
      <c r="G76" s="1121"/>
      <c r="H76" s="1121"/>
    </row>
    <row r="77" spans="1:8" ht="42" customHeight="1">
      <c r="A77" s="174"/>
      <c r="B77" s="1121"/>
      <c r="C77" s="1121"/>
      <c r="D77" s="1121"/>
      <c r="E77" s="1121"/>
      <c r="F77" s="1121"/>
      <c r="G77" s="1121"/>
      <c r="H77" s="1121"/>
    </row>
    <row r="78" spans="1:8" ht="11.25" customHeight="1">
      <c r="A78" s="174"/>
      <c r="B78" s="174" t="s">
        <v>908</v>
      </c>
      <c r="C78" s="174"/>
      <c r="D78" s="174"/>
      <c r="E78" s="174"/>
      <c r="F78" s="174"/>
      <c r="G78" s="174"/>
      <c r="H78" s="174"/>
    </row>
    <row r="79" spans="1:8" ht="87.6" customHeight="1">
      <c r="A79" s="174"/>
      <c r="B79" s="1121" t="s">
        <v>909</v>
      </c>
      <c r="C79" s="1121"/>
      <c r="D79" s="1121"/>
      <c r="E79" s="1121"/>
      <c r="F79" s="1121"/>
      <c r="G79" s="1121"/>
      <c r="H79" s="1121"/>
    </row>
    <row r="80" spans="1:8">
      <c r="A80" s="174"/>
      <c r="B80" s="175"/>
      <c r="C80" s="175"/>
      <c r="D80" s="175"/>
      <c r="E80" s="180"/>
      <c r="F80" s="177"/>
      <c r="G80" s="175"/>
      <c r="H80" s="175"/>
    </row>
    <row r="81" spans="1:8">
      <c r="A81" s="174"/>
      <c r="B81" s="174" t="s">
        <v>910</v>
      </c>
      <c r="C81" s="174"/>
      <c r="D81" s="175"/>
      <c r="E81" s="180"/>
      <c r="F81" s="177"/>
      <c r="G81" s="175"/>
      <c r="H81" s="175"/>
    </row>
    <row r="82" spans="1:8" ht="24.75" customHeight="1">
      <c r="A82" s="174"/>
      <c r="B82" s="1121" t="s">
        <v>911</v>
      </c>
      <c r="C82" s="1121"/>
      <c r="D82" s="1121"/>
      <c r="E82" s="1121"/>
      <c r="F82" s="1121"/>
      <c r="G82" s="1121"/>
      <c r="H82" s="1121"/>
    </row>
    <row r="83" spans="1:8">
      <c r="A83" s="174"/>
      <c r="B83" s="174" t="s">
        <v>912</v>
      </c>
      <c r="C83" s="174"/>
      <c r="D83" s="181"/>
      <c r="E83" s="182"/>
      <c r="F83" s="183"/>
      <c r="G83" s="181"/>
      <c r="H83" s="181"/>
    </row>
    <row r="84" spans="1:8" ht="12.75" customHeight="1">
      <c r="A84" s="174"/>
      <c r="B84" s="1121" t="s">
        <v>913</v>
      </c>
      <c r="C84" s="1121"/>
      <c r="D84" s="1121"/>
      <c r="E84" s="1121"/>
      <c r="F84" s="1121"/>
      <c r="G84" s="1121"/>
      <c r="H84" s="1121"/>
    </row>
    <row r="85" spans="1:8">
      <c r="A85" s="174"/>
      <c r="B85" s="1121"/>
      <c r="C85" s="1121"/>
      <c r="D85" s="1121"/>
      <c r="E85" s="1121"/>
      <c r="F85" s="1121"/>
      <c r="G85" s="1121"/>
      <c r="H85" s="1121"/>
    </row>
    <row r="86" spans="1:8">
      <c r="A86" s="174"/>
      <c r="B86" s="1121"/>
      <c r="C86" s="1121"/>
      <c r="D86" s="1121"/>
      <c r="E86" s="1121"/>
      <c r="F86" s="1121"/>
      <c r="G86" s="1121"/>
      <c r="H86" s="1121"/>
    </row>
    <row r="87" spans="1:8" ht="37.5" customHeight="1">
      <c r="A87" s="174"/>
      <c r="B87" s="1121"/>
      <c r="C87" s="1121"/>
      <c r="D87" s="1121"/>
      <c r="E87" s="1121"/>
      <c r="F87" s="1121"/>
      <c r="G87" s="1121"/>
      <c r="H87" s="1121"/>
    </row>
    <row r="88" spans="1:8" ht="12.75" customHeight="1">
      <c r="A88" s="174"/>
      <c r="B88" s="1121" t="s">
        <v>914</v>
      </c>
      <c r="C88" s="1121"/>
      <c r="D88" s="1121"/>
      <c r="E88" s="1121"/>
      <c r="F88" s="1121"/>
      <c r="G88" s="1121"/>
      <c r="H88" s="1121"/>
    </row>
    <row r="89" spans="1:8">
      <c r="A89" s="174"/>
      <c r="B89" s="1121"/>
      <c r="C89" s="1121"/>
      <c r="D89" s="1121"/>
      <c r="E89" s="1121"/>
      <c r="F89" s="1121"/>
      <c r="G89" s="1121"/>
      <c r="H89" s="1121"/>
    </row>
    <row r="90" spans="1:8">
      <c r="A90" s="174"/>
      <c r="B90" s="1121"/>
      <c r="C90" s="1121"/>
      <c r="D90" s="1121"/>
      <c r="E90" s="1121"/>
      <c r="F90" s="1121"/>
      <c r="G90" s="1121"/>
      <c r="H90" s="1121"/>
    </row>
    <row r="91" spans="1:8" ht="51.75" customHeight="1">
      <c r="A91" s="174"/>
      <c r="B91" s="1126" t="s">
        <v>915</v>
      </c>
      <c r="C91" s="1126"/>
      <c r="D91" s="1126"/>
      <c r="E91" s="1126"/>
      <c r="F91" s="1126"/>
      <c r="G91" s="1126"/>
      <c r="H91" s="1126"/>
    </row>
    <row r="92" spans="1:8" ht="59.25" customHeight="1">
      <c r="A92" s="184"/>
      <c r="B92" s="1121" t="s">
        <v>916</v>
      </c>
      <c r="C92" s="1121"/>
      <c r="D92" s="1121"/>
      <c r="E92" s="1121"/>
      <c r="F92" s="1121"/>
      <c r="G92" s="1121"/>
      <c r="H92" s="1121"/>
    </row>
    <row r="93" spans="1:8" ht="28.5" customHeight="1">
      <c r="A93" s="184"/>
      <c r="B93" s="1121" t="s">
        <v>917</v>
      </c>
      <c r="C93" s="1121"/>
      <c r="D93" s="1121"/>
      <c r="E93" s="1121"/>
      <c r="F93" s="1121"/>
      <c r="G93" s="1121"/>
      <c r="H93" s="1121"/>
    </row>
    <row r="94" spans="1:8" ht="36.75" customHeight="1">
      <c r="A94" s="184"/>
      <c r="B94" s="1121" t="s">
        <v>918</v>
      </c>
      <c r="C94" s="1121"/>
      <c r="D94" s="1121"/>
      <c r="E94" s="1121"/>
      <c r="F94" s="1121"/>
      <c r="G94" s="1121"/>
      <c r="H94" s="1121"/>
    </row>
    <row r="95" spans="1:8" ht="38.25" customHeight="1">
      <c r="A95" s="184"/>
      <c r="B95" s="1121" t="s">
        <v>919</v>
      </c>
      <c r="C95" s="1121"/>
      <c r="D95" s="1121"/>
      <c r="E95" s="1121"/>
      <c r="F95" s="1121"/>
      <c r="G95" s="1121"/>
      <c r="H95" s="1121"/>
    </row>
    <row r="96" spans="1:8" ht="37.5" customHeight="1">
      <c r="A96" s="174"/>
      <c r="B96" s="1121" t="s">
        <v>920</v>
      </c>
      <c r="C96" s="1121"/>
      <c r="D96" s="1121"/>
      <c r="E96" s="1121"/>
      <c r="F96" s="1121"/>
      <c r="G96" s="1121"/>
      <c r="H96" s="1121"/>
    </row>
    <row r="97" spans="1:8" ht="22.05" customHeight="1">
      <c r="A97" s="174"/>
      <c r="B97" s="1121" t="s">
        <v>921</v>
      </c>
      <c r="C97" s="1121"/>
      <c r="D97" s="1121"/>
      <c r="E97" s="1121"/>
      <c r="F97" s="1121"/>
      <c r="G97" s="1121"/>
      <c r="H97" s="1121"/>
    </row>
    <row r="98" spans="1:8">
      <c r="A98" s="174"/>
      <c r="B98" s="181"/>
      <c r="C98" s="181"/>
      <c r="D98" s="181"/>
      <c r="E98" s="182"/>
      <c r="F98" s="183"/>
      <c r="G98" s="181"/>
      <c r="H98" s="181"/>
    </row>
    <row r="99" spans="1:8">
      <c r="A99" s="174"/>
      <c r="B99" s="174" t="s">
        <v>922</v>
      </c>
      <c r="C99" s="174"/>
      <c r="D99" s="181"/>
      <c r="E99" s="182"/>
      <c r="F99" s="183"/>
      <c r="G99" s="181"/>
      <c r="H99" s="181"/>
    </row>
    <row r="100" spans="1:8" ht="12.75" customHeight="1">
      <c r="A100" s="174"/>
      <c r="B100" s="1121" t="s">
        <v>923</v>
      </c>
      <c r="C100" s="1121"/>
      <c r="D100" s="1121"/>
      <c r="E100" s="1121"/>
      <c r="F100" s="1121"/>
      <c r="G100" s="1121"/>
      <c r="H100" s="1121"/>
    </row>
    <row r="101" spans="1:8">
      <c r="A101" s="174"/>
      <c r="B101" s="1121"/>
      <c r="C101" s="1121"/>
      <c r="D101" s="1121"/>
      <c r="E101" s="1121"/>
      <c r="F101" s="1121"/>
      <c r="G101" s="1121"/>
      <c r="H101" s="1121"/>
    </row>
    <row r="102" spans="1:8">
      <c r="A102" s="174"/>
      <c r="B102" s="1121"/>
      <c r="C102" s="1121"/>
      <c r="D102" s="1121"/>
      <c r="E102" s="1121"/>
      <c r="F102" s="1121"/>
      <c r="G102" s="1121"/>
      <c r="H102" s="1121"/>
    </row>
    <row r="103" spans="1:8">
      <c r="A103" s="174"/>
      <c r="B103" s="1121"/>
      <c r="C103" s="1121"/>
      <c r="D103" s="1121"/>
      <c r="E103" s="1121"/>
      <c r="F103" s="1121"/>
      <c r="G103" s="1121"/>
      <c r="H103" s="1121"/>
    </row>
    <row r="104" spans="1:8" ht="33" customHeight="1">
      <c r="A104" s="174"/>
      <c r="B104" s="1121"/>
      <c r="C104" s="1121"/>
      <c r="D104" s="1121"/>
      <c r="E104" s="1121"/>
      <c r="F104" s="1121"/>
      <c r="G104" s="1121"/>
      <c r="H104" s="1121"/>
    </row>
    <row r="105" spans="1:8" ht="12.75" customHeight="1">
      <c r="A105" s="174"/>
      <c r="B105" s="1121" t="s">
        <v>924</v>
      </c>
      <c r="C105" s="1121"/>
      <c r="D105" s="1121"/>
      <c r="E105" s="1121"/>
      <c r="F105" s="1121"/>
      <c r="G105" s="1121"/>
      <c r="H105" s="1121"/>
    </row>
    <row r="106" spans="1:8" ht="34.5" customHeight="1">
      <c r="A106" s="174"/>
      <c r="B106" s="1121"/>
      <c r="C106" s="1121"/>
      <c r="D106" s="1121"/>
      <c r="E106" s="1121"/>
      <c r="F106" s="1121"/>
      <c r="G106" s="1121"/>
      <c r="H106" s="1121"/>
    </row>
    <row r="107" spans="1:8" ht="44.25" customHeight="1">
      <c r="A107" s="174"/>
      <c r="B107" s="1124" t="s">
        <v>925</v>
      </c>
      <c r="C107" s="1124"/>
      <c r="D107" s="1124"/>
      <c r="E107" s="1124"/>
      <c r="F107" s="1124"/>
      <c r="G107" s="1124"/>
      <c r="H107" s="1124"/>
    </row>
    <row r="108" spans="1:8">
      <c r="A108" s="174"/>
      <c r="B108" s="1125" t="s">
        <v>926</v>
      </c>
      <c r="C108" s="1125"/>
      <c r="D108" s="1125"/>
      <c r="E108" s="1125"/>
      <c r="F108" s="1125"/>
      <c r="G108" s="1125"/>
      <c r="H108" s="1125"/>
    </row>
    <row r="109" spans="1:8" ht="27" customHeight="1">
      <c r="A109" s="174"/>
      <c r="B109" s="1121" t="s">
        <v>927</v>
      </c>
      <c r="C109" s="1121"/>
      <c r="D109" s="1121"/>
      <c r="E109" s="1121"/>
      <c r="F109" s="1121"/>
      <c r="G109" s="1121"/>
      <c r="H109" s="1121"/>
    </row>
    <row r="110" spans="1:8">
      <c r="A110" s="174"/>
      <c r="B110" s="174" t="s">
        <v>928</v>
      </c>
      <c r="C110" s="174"/>
      <c r="D110" s="181"/>
      <c r="E110" s="182"/>
      <c r="F110" s="183"/>
      <c r="G110" s="181"/>
      <c r="H110" s="181"/>
    </row>
    <row r="111" spans="1:8" ht="12.75" customHeight="1">
      <c r="A111" s="174"/>
      <c r="B111" s="1121" t="s">
        <v>929</v>
      </c>
      <c r="C111" s="1121"/>
      <c r="D111" s="1121"/>
      <c r="E111" s="1121"/>
      <c r="F111" s="1121"/>
      <c r="G111" s="1121"/>
      <c r="H111" s="1121"/>
    </row>
    <row r="112" spans="1:8">
      <c r="A112" s="174"/>
      <c r="B112" s="1121"/>
      <c r="C112" s="1121"/>
      <c r="D112" s="1121"/>
      <c r="E112" s="1121"/>
      <c r="F112" s="1121"/>
      <c r="G112" s="1121"/>
      <c r="H112" s="1121"/>
    </row>
    <row r="113" spans="1:8" ht="21" customHeight="1">
      <c r="A113" s="174"/>
      <c r="B113" s="1121"/>
      <c r="C113" s="1121"/>
      <c r="D113" s="1121"/>
      <c r="E113" s="1121"/>
      <c r="F113" s="1121"/>
      <c r="G113" s="1121"/>
      <c r="H113" s="1121"/>
    </row>
    <row r="114" spans="1:8" ht="15" customHeight="1">
      <c r="A114" s="174"/>
      <c r="B114" s="174" t="s">
        <v>930</v>
      </c>
      <c r="C114" s="174"/>
      <c r="D114" s="181"/>
      <c r="E114" s="182"/>
      <c r="F114" s="183"/>
      <c r="G114" s="181"/>
      <c r="H114" s="181"/>
    </row>
    <row r="115" spans="1:8" ht="12.75" customHeight="1">
      <c r="A115" s="174"/>
      <c r="B115" s="1121" t="s">
        <v>931</v>
      </c>
      <c r="C115" s="1121"/>
      <c r="D115" s="1121"/>
      <c r="E115" s="1121"/>
      <c r="F115" s="1121"/>
      <c r="G115" s="1121"/>
      <c r="H115" s="1121"/>
    </row>
    <row r="116" spans="1:8">
      <c r="A116" s="174"/>
      <c r="B116" s="1121"/>
      <c r="C116" s="1121"/>
      <c r="D116" s="1121"/>
      <c r="E116" s="1121"/>
      <c r="F116" s="1121"/>
      <c r="G116" s="1121"/>
      <c r="H116" s="1121"/>
    </row>
    <row r="117" spans="1:8" ht="30" customHeight="1">
      <c r="A117" s="174"/>
      <c r="B117" s="1121"/>
      <c r="C117" s="1121"/>
      <c r="D117" s="1121"/>
      <c r="E117" s="1121"/>
      <c r="F117" s="1121"/>
      <c r="G117" s="1121"/>
      <c r="H117" s="1121"/>
    </row>
    <row r="118" spans="1:8">
      <c r="A118" s="174"/>
      <c r="B118" s="181"/>
      <c r="C118" s="181"/>
      <c r="D118" s="181"/>
      <c r="E118" s="182"/>
      <c r="F118" s="183"/>
      <c r="G118" s="181"/>
      <c r="H118" s="181"/>
    </row>
    <row r="119" spans="1:8">
      <c r="A119" s="174"/>
      <c r="B119" s="174" t="s">
        <v>932</v>
      </c>
      <c r="C119" s="174"/>
      <c r="D119" s="181"/>
      <c r="E119" s="182"/>
      <c r="F119" s="183"/>
      <c r="G119" s="181"/>
      <c r="H119" s="181"/>
    </row>
    <row r="120" spans="1:8" ht="12.75" customHeight="1">
      <c r="A120" s="174"/>
      <c r="B120" s="1121" t="s">
        <v>933</v>
      </c>
      <c r="C120" s="1121"/>
      <c r="D120" s="1121"/>
      <c r="E120" s="1121"/>
      <c r="F120" s="1121"/>
      <c r="G120" s="1121"/>
      <c r="H120" s="1121"/>
    </row>
    <row r="121" spans="1:8" ht="18.75" customHeight="1">
      <c r="A121" s="174"/>
      <c r="B121" s="1121"/>
      <c r="C121" s="1121"/>
      <c r="D121" s="1121"/>
      <c r="E121" s="1121"/>
      <c r="F121" s="1121"/>
      <c r="G121" s="1121"/>
      <c r="H121" s="1121"/>
    </row>
    <row r="122" spans="1:8" ht="12.75" customHeight="1">
      <c r="A122" s="174"/>
      <c r="B122" s="1121" t="s">
        <v>934</v>
      </c>
      <c r="C122" s="1121"/>
      <c r="D122" s="1121"/>
      <c r="E122" s="1121"/>
      <c r="F122" s="1121"/>
      <c r="G122" s="1121"/>
      <c r="H122" s="1121"/>
    </row>
    <row r="123" spans="1:8">
      <c r="A123" s="174"/>
      <c r="B123" s="1121"/>
      <c r="C123" s="1121"/>
      <c r="D123" s="1121"/>
      <c r="E123" s="1121"/>
      <c r="F123" s="1121"/>
      <c r="G123" s="1121"/>
      <c r="H123" s="1121"/>
    </row>
    <row r="124" spans="1:8">
      <c r="A124" s="174"/>
      <c r="B124" s="1121"/>
      <c r="C124" s="1121"/>
      <c r="D124" s="1121"/>
      <c r="E124" s="1121"/>
      <c r="F124" s="1121"/>
      <c r="G124" s="1121"/>
      <c r="H124" s="1121"/>
    </row>
    <row r="125" spans="1:8">
      <c r="A125" s="174"/>
      <c r="B125" s="1121"/>
      <c r="C125" s="1121"/>
      <c r="D125" s="1121"/>
      <c r="E125" s="1121"/>
      <c r="F125" s="1121"/>
      <c r="G125" s="1121"/>
      <c r="H125" s="1121"/>
    </row>
    <row r="126" spans="1:8" ht="27" customHeight="1">
      <c r="A126" s="174"/>
      <c r="B126" s="1121"/>
      <c r="C126" s="1121"/>
      <c r="D126" s="1121"/>
      <c r="E126" s="1121"/>
      <c r="F126" s="1121"/>
      <c r="G126" s="1121"/>
      <c r="H126" s="1121"/>
    </row>
    <row r="127" spans="1:8" ht="12.75" customHeight="1">
      <c r="A127" s="174"/>
      <c r="B127" s="1121" t="s">
        <v>935</v>
      </c>
      <c r="C127" s="1121"/>
      <c r="D127" s="1121"/>
      <c r="E127" s="1121"/>
      <c r="F127" s="1121"/>
      <c r="G127" s="1121"/>
      <c r="H127" s="1121"/>
    </row>
    <row r="128" spans="1:8" ht="24" customHeight="1">
      <c r="A128" s="174"/>
      <c r="B128" s="1121"/>
      <c r="C128" s="1121"/>
      <c r="D128" s="1121"/>
      <c r="E128" s="1121"/>
      <c r="F128" s="1121"/>
      <c r="G128" s="1121"/>
      <c r="H128" s="1121"/>
    </row>
    <row r="129" spans="1:8" ht="12.75" customHeight="1">
      <c r="A129" s="174"/>
      <c r="B129" s="1121" t="s">
        <v>936</v>
      </c>
      <c r="C129" s="1121"/>
      <c r="D129" s="1121"/>
      <c r="E129" s="1121"/>
      <c r="F129" s="1121"/>
      <c r="G129" s="1121"/>
      <c r="H129" s="1121"/>
    </row>
    <row r="130" spans="1:8">
      <c r="A130" s="174"/>
      <c r="B130" s="1121"/>
      <c r="C130" s="1121"/>
      <c r="D130" s="1121"/>
      <c r="E130" s="1121"/>
      <c r="F130" s="1121"/>
      <c r="G130" s="1121"/>
      <c r="H130" s="1121"/>
    </row>
    <row r="131" spans="1:8" ht="18" customHeight="1">
      <c r="A131" s="174"/>
      <c r="B131" s="1121"/>
      <c r="C131" s="1121"/>
      <c r="D131" s="1121"/>
      <c r="E131" s="1121"/>
      <c r="F131" s="1121"/>
      <c r="G131" s="1121"/>
      <c r="H131" s="1121"/>
    </row>
    <row r="132" spans="1:8" ht="12.75" customHeight="1">
      <c r="A132" s="174"/>
      <c r="B132" s="1121" t="s">
        <v>937</v>
      </c>
      <c r="C132" s="1121"/>
      <c r="D132" s="1121"/>
      <c r="E132" s="1121"/>
      <c r="F132" s="1121"/>
      <c r="G132" s="1121"/>
      <c r="H132" s="1121"/>
    </row>
    <row r="133" spans="1:8">
      <c r="A133" s="174"/>
      <c r="B133" s="1121"/>
      <c r="C133" s="1121"/>
      <c r="D133" s="1121"/>
      <c r="E133" s="1121"/>
      <c r="F133" s="1121"/>
      <c r="G133" s="1121"/>
      <c r="H133" s="1121"/>
    </row>
    <row r="134" spans="1:8" ht="32.25" customHeight="1">
      <c r="A134" s="174"/>
      <c r="B134" s="1121"/>
      <c r="C134" s="1121"/>
      <c r="D134" s="1121"/>
      <c r="E134" s="1121"/>
      <c r="F134" s="1121"/>
      <c r="G134" s="1121"/>
      <c r="H134" s="1121"/>
    </row>
    <row r="135" spans="1:8" ht="12.75" customHeight="1">
      <c r="A135" s="174"/>
      <c r="B135" s="1121" t="s">
        <v>938</v>
      </c>
      <c r="C135" s="1121"/>
      <c r="D135" s="1121"/>
      <c r="E135" s="1121"/>
      <c r="F135" s="1121"/>
      <c r="G135" s="1121"/>
      <c r="H135" s="1121"/>
    </row>
    <row r="136" spans="1:8" ht="20.25" customHeight="1">
      <c r="A136" s="174"/>
      <c r="B136" s="1121"/>
      <c r="C136" s="1121"/>
      <c r="D136" s="1121"/>
      <c r="E136" s="1121"/>
      <c r="F136" s="1121"/>
      <c r="G136" s="1121"/>
      <c r="H136" s="1121"/>
    </row>
    <row r="137" spans="1:8" ht="59.25" customHeight="1">
      <c r="A137" s="174"/>
      <c r="B137" s="1122" t="s">
        <v>939</v>
      </c>
      <c r="C137" s="1122"/>
      <c r="D137" s="1122"/>
      <c r="E137" s="1122"/>
      <c r="F137" s="1122"/>
      <c r="G137" s="1122"/>
      <c r="H137" s="1122"/>
    </row>
    <row r="138" spans="1:8">
      <c r="A138" s="174"/>
      <c r="B138" s="174" t="s">
        <v>940</v>
      </c>
      <c r="C138" s="174"/>
      <c r="D138" s="181"/>
      <c r="E138" s="182"/>
      <c r="F138" s="183"/>
      <c r="G138" s="181"/>
      <c r="H138" s="181"/>
    </row>
    <row r="139" spans="1:8" ht="44.25" customHeight="1">
      <c r="A139" s="174"/>
      <c r="B139" s="1121" t="s">
        <v>941</v>
      </c>
      <c r="C139" s="1121"/>
      <c r="D139" s="1121"/>
      <c r="E139" s="1121"/>
      <c r="F139" s="1121"/>
      <c r="G139" s="1121"/>
      <c r="H139" s="1121"/>
    </row>
    <row r="140" spans="1:8" ht="12.75" customHeight="1">
      <c r="A140" s="174"/>
      <c r="B140" s="1121" t="s">
        <v>942</v>
      </c>
      <c r="C140" s="1121"/>
      <c r="D140" s="1121"/>
      <c r="E140" s="1121"/>
      <c r="F140" s="1121"/>
      <c r="G140" s="1121"/>
      <c r="H140" s="1121"/>
    </row>
    <row r="141" spans="1:8">
      <c r="A141" s="174"/>
      <c r="B141" s="1121"/>
      <c r="C141" s="1121"/>
      <c r="D141" s="1121"/>
      <c r="E141" s="1121"/>
      <c r="F141" s="1121"/>
      <c r="G141" s="1121"/>
      <c r="H141" s="1121"/>
    </row>
    <row r="142" spans="1:8" ht="34.5" customHeight="1">
      <c r="A142" s="174"/>
      <c r="B142" s="1121"/>
      <c r="C142" s="1121"/>
      <c r="D142" s="1121"/>
      <c r="E142" s="1121"/>
      <c r="F142" s="1121"/>
      <c r="G142" s="1121"/>
      <c r="H142" s="1121"/>
    </row>
    <row r="143" spans="1:8" ht="12.75" customHeight="1">
      <c r="A143" s="174"/>
      <c r="B143" s="1123" t="s">
        <v>943</v>
      </c>
      <c r="C143" s="1123"/>
      <c r="D143" s="1123"/>
      <c r="E143" s="1123"/>
      <c r="F143" s="1123"/>
      <c r="G143" s="1123"/>
      <c r="H143" s="1123"/>
    </row>
    <row r="144" spans="1:8">
      <c r="A144" s="174"/>
      <c r="B144" s="175"/>
      <c r="C144" s="175"/>
      <c r="D144" s="175"/>
      <c r="E144" s="180"/>
      <c r="F144" s="177"/>
      <c r="G144" s="175"/>
      <c r="H144" s="175"/>
    </row>
    <row r="145" spans="1:8" ht="12.75" customHeight="1">
      <c r="A145" s="174"/>
      <c r="B145" s="1121" t="s">
        <v>944</v>
      </c>
      <c r="C145" s="1121"/>
      <c r="D145" s="1121"/>
      <c r="E145" s="1121"/>
      <c r="F145" s="1121"/>
      <c r="G145" s="1121"/>
      <c r="H145" s="1121"/>
    </row>
    <row r="146" spans="1:8" ht="15.75" customHeight="1">
      <c r="A146" s="174"/>
      <c r="B146" s="1121"/>
      <c r="C146" s="1121"/>
      <c r="D146" s="1121"/>
      <c r="E146" s="1121"/>
      <c r="F146" s="1121"/>
      <c r="G146" s="1121"/>
      <c r="H146" s="1121"/>
    </row>
    <row r="147" spans="1:8" ht="12.75" customHeight="1">
      <c r="A147" s="174"/>
      <c r="B147" s="1121" t="s">
        <v>945</v>
      </c>
      <c r="C147" s="1121"/>
      <c r="D147" s="1121"/>
      <c r="E147" s="1121"/>
      <c r="F147" s="1121"/>
      <c r="G147" s="1121"/>
      <c r="H147" s="1121"/>
    </row>
    <row r="148" spans="1:8">
      <c r="A148" s="174"/>
      <c r="B148" s="1121"/>
      <c r="C148" s="1121"/>
      <c r="D148" s="1121"/>
      <c r="E148" s="1121"/>
      <c r="F148" s="1121"/>
      <c r="G148" s="1121"/>
      <c r="H148" s="1121"/>
    </row>
    <row r="149" spans="1:8" ht="30" customHeight="1">
      <c r="A149" s="174"/>
      <c r="B149" s="1121"/>
      <c r="C149" s="1121"/>
      <c r="D149" s="1121"/>
      <c r="E149" s="1121"/>
      <c r="F149" s="1121"/>
      <c r="G149" s="1121"/>
      <c r="H149" s="1121"/>
    </row>
    <row r="150" spans="1:8" ht="12.75" customHeight="1">
      <c r="A150" s="174"/>
      <c r="B150" s="1121" t="s">
        <v>946</v>
      </c>
      <c r="C150" s="1121"/>
      <c r="D150" s="1121"/>
      <c r="E150" s="1121"/>
      <c r="F150" s="1121"/>
      <c r="G150" s="1121"/>
      <c r="H150" s="1121"/>
    </row>
    <row r="151" spans="1:8">
      <c r="A151" s="174"/>
      <c r="B151" s="1121"/>
      <c r="C151" s="1121"/>
      <c r="D151" s="1121"/>
      <c r="E151" s="1121"/>
      <c r="F151" s="1121"/>
      <c r="G151" s="1121"/>
      <c r="H151" s="1121"/>
    </row>
    <row r="152" spans="1:8" ht="38.25" customHeight="1">
      <c r="A152" s="174"/>
      <c r="B152" s="1121"/>
      <c r="C152" s="1121"/>
      <c r="D152" s="1121"/>
      <c r="E152" s="1121"/>
      <c r="F152" s="1121"/>
      <c r="G152" s="1121"/>
      <c r="H152" s="1121"/>
    </row>
    <row r="153" spans="1:8" ht="12.75" customHeight="1">
      <c r="A153" s="174"/>
      <c r="B153" s="1121" t="s">
        <v>947</v>
      </c>
      <c r="C153" s="1121"/>
      <c r="D153" s="1121"/>
      <c r="E153" s="1121"/>
      <c r="F153" s="1121"/>
      <c r="G153" s="1121"/>
      <c r="H153" s="1121"/>
    </row>
    <row r="154" spans="1:8" ht="31.5" customHeight="1">
      <c r="A154" s="174"/>
      <c r="B154" s="1121"/>
      <c r="C154" s="1121"/>
      <c r="D154" s="1121"/>
      <c r="E154" s="1121"/>
      <c r="F154" s="1121"/>
      <c r="G154" s="1121"/>
      <c r="H154" s="1121"/>
    </row>
    <row r="155" spans="1:8" ht="12.75" customHeight="1">
      <c r="A155" s="174"/>
      <c r="B155" s="1121" t="s">
        <v>948</v>
      </c>
      <c r="C155" s="1121"/>
      <c r="D155" s="1121"/>
      <c r="E155" s="1121"/>
      <c r="F155" s="1121"/>
      <c r="G155" s="1121"/>
      <c r="H155" s="1121"/>
    </row>
    <row r="156" spans="1:8" ht="34.5" customHeight="1">
      <c r="A156" s="174"/>
      <c r="B156" s="1121"/>
      <c r="C156" s="1121"/>
      <c r="D156" s="1121"/>
      <c r="E156" s="1121"/>
      <c r="F156" s="1121"/>
      <c r="G156" s="1121"/>
      <c r="H156" s="1121"/>
    </row>
    <row r="157" spans="1:8" ht="12.75" customHeight="1">
      <c r="A157" s="174"/>
      <c r="B157" s="1121" t="s">
        <v>949</v>
      </c>
      <c r="C157" s="1121"/>
      <c r="D157" s="1121"/>
      <c r="E157" s="1121"/>
      <c r="F157" s="1121"/>
      <c r="G157" s="1121"/>
      <c r="H157" s="1121"/>
    </row>
    <row r="158" spans="1:8" ht="32.25" customHeight="1">
      <c r="A158" s="174"/>
      <c r="B158" s="1121"/>
      <c r="C158" s="1121"/>
      <c r="D158" s="1121"/>
      <c r="E158" s="1121"/>
      <c r="F158" s="1121"/>
      <c r="G158" s="1121"/>
      <c r="H158" s="1121"/>
    </row>
    <row r="159" spans="1:8" ht="12.75" customHeight="1">
      <c r="A159" s="174"/>
      <c r="B159" s="1121" t="s">
        <v>950</v>
      </c>
      <c r="C159" s="1121"/>
      <c r="D159" s="1121"/>
      <c r="E159" s="1121"/>
      <c r="F159" s="1121"/>
      <c r="G159" s="1121"/>
      <c r="H159" s="1121"/>
    </row>
    <row r="160" spans="1:8" ht="29.25" customHeight="1">
      <c r="A160" s="174"/>
      <c r="B160" s="1121"/>
      <c r="C160" s="1121"/>
      <c r="D160" s="1121"/>
      <c r="E160" s="1121"/>
      <c r="F160" s="1121"/>
      <c r="G160" s="1121"/>
      <c r="H160" s="1121"/>
    </row>
    <row r="161" spans="1:8" ht="12.75" customHeight="1">
      <c r="A161" s="174"/>
      <c r="B161" s="1121" t="s">
        <v>951</v>
      </c>
      <c r="C161" s="1121"/>
      <c r="D161" s="1121"/>
      <c r="E161" s="1121"/>
      <c r="F161" s="1121"/>
      <c r="G161" s="1121"/>
      <c r="H161" s="1121"/>
    </row>
    <row r="162" spans="1:8">
      <c r="A162" s="174"/>
      <c r="B162" s="1121"/>
      <c r="C162" s="1121"/>
      <c r="D162" s="1121"/>
      <c r="E162" s="1121"/>
      <c r="F162" s="1121"/>
      <c r="G162" s="1121"/>
      <c r="H162" s="1121"/>
    </row>
    <row r="163" spans="1:8" ht="27.75" customHeight="1">
      <c r="A163" s="174"/>
      <c r="B163" s="1121"/>
      <c r="C163" s="1121"/>
      <c r="D163" s="1121"/>
      <c r="E163" s="1121"/>
      <c r="F163" s="1121"/>
      <c r="G163" s="1121"/>
      <c r="H163" s="1121"/>
    </row>
    <row r="164" spans="1:8" ht="12.75" customHeight="1">
      <c r="A164" s="174"/>
      <c r="B164" s="1121" t="s">
        <v>952</v>
      </c>
      <c r="C164" s="1121"/>
      <c r="D164" s="1121"/>
      <c r="E164" s="1121"/>
      <c r="F164" s="1121"/>
      <c r="G164" s="1121"/>
      <c r="H164" s="1121"/>
    </row>
    <row r="165" spans="1:8">
      <c r="A165" s="174"/>
      <c r="B165" s="1121"/>
      <c r="C165" s="1121"/>
      <c r="D165" s="1121"/>
      <c r="E165" s="1121"/>
      <c r="F165" s="1121"/>
      <c r="G165" s="1121"/>
      <c r="H165" s="1121"/>
    </row>
    <row r="166" spans="1:8">
      <c r="A166" s="174"/>
      <c r="B166" s="1121"/>
      <c r="C166" s="1121"/>
      <c r="D166" s="1121"/>
      <c r="E166" s="1121"/>
      <c r="F166" s="1121"/>
      <c r="G166" s="1121"/>
      <c r="H166" s="1121"/>
    </row>
    <row r="167" spans="1:8" ht="40.5" customHeight="1">
      <c r="A167" s="174"/>
      <c r="B167" s="1121"/>
      <c r="C167" s="1121"/>
      <c r="D167" s="1121"/>
      <c r="E167" s="1121"/>
      <c r="F167" s="1121"/>
      <c r="G167" s="1121"/>
      <c r="H167" s="1121"/>
    </row>
    <row r="168" spans="1:8" ht="12.75" customHeight="1">
      <c r="A168" s="174"/>
      <c r="B168" s="1121" t="s">
        <v>953</v>
      </c>
      <c r="C168" s="1121"/>
      <c r="D168" s="1121"/>
      <c r="E168" s="1121"/>
      <c r="F168" s="1121"/>
      <c r="G168" s="1121"/>
      <c r="H168" s="1121"/>
    </row>
    <row r="169" spans="1:8" ht="44.25" customHeight="1">
      <c r="A169" s="174"/>
      <c r="B169" s="1121"/>
      <c r="C169" s="1121"/>
      <c r="D169" s="1121"/>
      <c r="E169" s="1121"/>
      <c r="F169" s="1121"/>
      <c r="G169" s="1121"/>
      <c r="H169" s="1121"/>
    </row>
    <row r="170" spans="1:8" ht="12.75" customHeight="1">
      <c r="A170" s="174"/>
      <c r="B170" s="1121" t="s">
        <v>954</v>
      </c>
      <c r="C170" s="1121"/>
      <c r="D170" s="1121"/>
      <c r="E170" s="1121"/>
      <c r="F170" s="1121"/>
      <c r="G170" s="1121"/>
      <c r="H170" s="1121"/>
    </row>
    <row r="171" spans="1:8" ht="18.75" customHeight="1">
      <c r="A171" s="174"/>
      <c r="B171" s="1121"/>
      <c r="C171" s="1121"/>
      <c r="D171" s="1121"/>
      <c r="E171" s="1121"/>
      <c r="F171" s="1121"/>
      <c r="G171" s="1121"/>
      <c r="H171" s="1121"/>
    </row>
    <row r="172" spans="1:8" ht="27.75" customHeight="1">
      <c r="A172" s="174"/>
      <c r="B172" s="1121" t="s">
        <v>955</v>
      </c>
      <c r="C172" s="1121"/>
      <c r="D172" s="1121"/>
      <c r="E172" s="1121"/>
      <c r="F172" s="1121"/>
      <c r="G172" s="1121"/>
      <c r="H172" s="1121"/>
    </row>
    <row r="173" spans="1:8" ht="24.75" customHeight="1">
      <c r="A173" s="174"/>
      <c r="B173" s="1121" t="s">
        <v>956</v>
      </c>
      <c r="C173" s="1121"/>
      <c r="D173" s="1121"/>
      <c r="E173" s="1121"/>
      <c r="F173" s="1121"/>
      <c r="G173" s="1121"/>
      <c r="H173" s="1121"/>
    </row>
    <row r="174" spans="1:8" ht="12.75" customHeight="1">
      <c r="A174" s="174"/>
      <c r="B174" s="1121" t="s">
        <v>957</v>
      </c>
      <c r="C174" s="1121"/>
      <c r="D174" s="1121"/>
      <c r="E174" s="1121"/>
      <c r="F174" s="1121"/>
      <c r="G174" s="1121"/>
      <c r="H174" s="1121"/>
    </row>
    <row r="175" spans="1:8" ht="26.25" customHeight="1">
      <c r="A175" s="174"/>
      <c r="B175" s="1121"/>
      <c r="C175" s="1121"/>
      <c r="D175" s="1121"/>
      <c r="E175" s="1121"/>
      <c r="F175" s="1121"/>
      <c r="G175" s="1121"/>
      <c r="H175" s="1121"/>
    </row>
    <row r="176" spans="1:8" ht="12.75" customHeight="1">
      <c r="A176" s="174"/>
      <c r="B176" s="1121" t="s">
        <v>958</v>
      </c>
      <c r="C176" s="1121"/>
      <c r="D176" s="1121"/>
      <c r="E176" s="1121"/>
      <c r="F176" s="1121"/>
      <c r="G176" s="1121"/>
      <c r="H176" s="1121"/>
    </row>
    <row r="177" spans="1:8">
      <c r="A177" s="185"/>
      <c r="B177" s="1121"/>
      <c r="C177" s="1121"/>
      <c r="D177" s="1121"/>
      <c r="E177" s="1121"/>
      <c r="F177" s="1121"/>
      <c r="G177" s="1121"/>
      <c r="H177" s="1121"/>
    </row>
    <row r="178" spans="1:8" ht="42.75" customHeight="1">
      <c r="A178" s="185"/>
      <c r="B178" s="1121"/>
      <c r="C178" s="1121"/>
      <c r="D178" s="1121"/>
      <c r="E178" s="1121"/>
      <c r="F178" s="1121"/>
      <c r="G178" s="1121"/>
      <c r="H178" s="1121"/>
    </row>
    <row r="179" spans="1:8" ht="23.55" customHeight="1">
      <c r="B179" s="1121" t="s">
        <v>959</v>
      </c>
      <c r="C179" s="1121"/>
      <c r="D179" s="1121"/>
      <c r="E179" s="1121"/>
      <c r="F179" s="1121"/>
      <c r="G179" s="1121"/>
      <c r="H179" s="1121"/>
    </row>
  </sheetData>
  <mergeCells count="74">
    <mergeCell ref="B17:H17"/>
    <mergeCell ref="B3:H5"/>
    <mergeCell ref="B6:H6"/>
    <mergeCell ref="B7:H7"/>
    <mergeCell ref="B8:H14"/>
    <mergeCell ref="B15:H16"/>
    <mergeCell ref="B60:H60"/>
    <mergeCell ref="B18:H19"/>
    <mergeCell ref="B21:H22"/>
    <mergeCell ref="B23:H23"/>
    <mergeCell ref="B25:H30"/>
    <mergeCell ref="B32:H35"/>
    <mergeCell ref="B37:H40"/>
    <mergeCell ref="B43:H48"/>
    <mergeCell ref="B50:H52"/>
    <mergeCell ref="B54:H56"/>
    <mergeCell ref="B58:H58"/>
    <mergeCell ref="B59:H59"/>
    <mergeCell ref="B75:H77"/>
    <mergeCell ref="B61:H61"/>
    <mergeCell ref="B62:H62"/>
    <mergeCell ref="B63:H63"/>
    <mergeCell ref="B64:H64"/>
    <mergeCell ref="B65:H65"/>
    <mergeCell ref="B66:H66"/>
    <mergeCell ref="B67:H67"/>
    <mergeCell ref="B68:H68"/>
    <mergeCell ref="B69:H69"/>
    <mergeCell ref="B70:H70"/>
    <mergeCell ref="B72:H72"/>
    <mergeCell ref="B100:H104"/>
    <mergeCell ref="B79:H79"/>
    <mergeCell ref="B82:H82"/>
    <mergeCell ref="B84:H87"/>
    <mergeCell ref="B88:H90"/>
    <mergeCell ref="B91:H91"/>
    <mergeCell ref="B92:H92"/>
    <mergeCell ref="B93:H93"/>
    <mergeCell ref="B94:H94"/>
    <mergeCell ref="B95:H95"/>
    <mergeCell ref="B96:H96"/>
    <mergeCell ref="B97:H97"/>
    <mergeCell ref="B135:H136"/>
    <mergeCell ref="B105:H106"/>
    <mergeCell ref="B107:H107"/>
    <mergeCell ref="B108:H108"/>
    <mergeCell ref="B109:H109"/>
    <mergeCell ref="B111:H113"/>
    <mergeCell ref="B115:H117"/>
    <mergeCell ref="B120:H121"/>
    <mergeCell ref="B122:H126"/>
    <mergeCell ref="B127:H128"/>
    <mergeCell ref="B129:H131"/>
    <mergeCell ref="B132:H134"/>
    <mergeCell ref="B161:H163"/>
    <mergeCell ref="B137:H137"/>
    <mergeCell ref="B139:H139"/>
    <mergeCell ref="B140:H142"/>
    <mergeCell ref="B143:H143"/>
    <mergeCell ref="B145:H146"/>
    <mergeCell ref="B147:H149"/>
    <mergeCell ref="B150:H152"/>
    <mergeCell ref="B153:H154"/>
    <mergeCell ref="B155:H156"/>
    <mergeCell ref="B157:H158"/>
    <mergeCell ref="B159:H160"/>
    <mergeCell ref="B176:H178"/>
    <mergeCell ref="B179:H179"/>
    <mergeCell ref="B164:H167"/>
    <mergeCell ref="B168:H169"/>
    <mergeCell ref="B170:H171"/>
    <mergeCell ref="B172:H172"/>
    <mergeCell ref="B173:H173"/>
    <mergeCell ref="B174:H175"/>
  </mergeCells>
  <pageMargins left="0.7" right="0.7" top="0.75" bottom="0.75" header="0.3" footer="0.3"/>
  <pageSetup paperSize="9" scale="86" orientation="portrait" r:id="rId1"/>
  <rowBreaks count="4" manualBreakCount="4">
    <brk id="30" max="16383" man="1"/>
    <brk id="72" max="16383" man="1"/>
    <brk id="97" max="16383" man="1"/>
    <brk id="13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topLeftCell="A25" zoomScaleNormal="100" zoomScaleSheetLayoutView="100" workbookViewId="0">
      <selection activeCell="L34" sqref="L34"/>
    </sheetView>
  </sheetViews>
  <sheetFormatPr defaultColWidth="9.21875" defaultRowHeight="12"/>
  <cols>
    <col min="1" max="1" width="3.5546875" style="188" customWidth="1"/>
    <col min="2" max="2" width="51.21875" style="195" customWidth="1"/>
    <col min="3" max="3" width="6" style="190" bestFit="1" customWidth="1"/>
    <col min="4" max="4" width="6.44140625" style="24" bestFit="1" customWidth="1"/>
    <col min="5" max="5" width="8.77734375" style="24" bestFit="1" customWidth="1"/>
    <col min="6" max="6" width="11.44140625" style="24" customWidth="1"/>
    <col min="7" max="16384" width="9.21875" style="25"/>
  </cols>
  <sheetData>
    <row r="1" spans="1:6">
      <c r="A1" s="21"/>
      <c r="B1" s="186"/>
      <c r="C1" s="23"/>
      <c r="D1" s="23"/>
      <c r="E1" s="187"/>
    </row>
    <row r="2" spans="1:6">
      <c r="A2" s="188" t="s">
        <v>1</v>
      </c>
      <c r="B2" s="189" t="s">
        <v>2</v>
      </c>
    </row>
    <row r="4" spans="1:6">
      <c r="A4" s="191"/>
      <c r="B4" s="189"/>
      <c r="C4" s="192"/>
      <c r="D4" s="193"/>
    </row>
    <row r="5" spans="1:6">
      <c r="A5" s="191"/>
      <c r="B5" s="189" t="s">
        <v>3</v>
      </c>
      <c r="C5" s="192"/>
      <c r="D5" s="193"/>
    </row>
    <row r="6" spans="1:6">
      <c r="A6" s="194"/>
      <c r="C6" s="196"/>
      <c r="D6" s="197"/>
    </row>
    <row r="7" spans="1:6" ht="57">
      <c r="A7" s="194"/>
      <c r="B7" s="195" t="s">
        <v>4</v>
      </c>
      <c r="C7" s="196"/>
      <c r="D7" s="197"/>
    </row>
    <row r="8" spans="1:6" ht="205.2">
      <c r="A8" s="194"/>
      <c r="B8" s="32" t="s">
        <v>5</v>
      </c>
      <c r="C8" s="196"/>
      <c r="D8" s="197"/>
      <c r="E8" s="24" t="s">
        <v>6</v>
      </c>
      <c r="F8" s="198"/>
    </row>
    <row r="9" spans="1:6">
      <c r="A9" s="194"/>
      <c r="C9" s="196"/>
      <c r="D9" s="197"/>
    </row>
    <row r="10" spans="1:6">
      <c r="A10" s="199"/>
      <c r="B10" s="189"/>
      <c r="C10" s="44"/>
      <c r="D10" s="200"/>
    </row>
    <row r="11" spans="1:6">
      <c r="A11" s="194"/>
      <c r="B11" s="189" t="s">
        <v>7</v>
      </c>
      <c r="C11" s="44"/>
      <c r="D11" s="200"/>
    </row>
    <row r="12" spans="1:6">
      <c r="A12" s="194"/>
      <c r="C12" s="196"/>
      <c r="D12" s="197"/>
    </row>
    <row r="13" spans="1:6">
      <c r="A13" s="194" t="s">
        <v>8</v>
      </c>
      <c r="B13" s="189" t="s">
        <v>9</v>
      </c>
      <c r="C13" s="44"/>
      <c r="D13" s="200"/>
    </row>
    <row r="14" spans="1:6" ht="45.6">
      <c r="A14" s="194"/>
      <c r="B14" s="195" t="s">
        <v>10</v>
      </c>
      <c r="C14" s="196"/>
      <c r="D14" s="197"/>
    </row>
    <row r="15" spans="1:6">
      <c r="A15" s="194"/>
      <c r="C15" s="196"/>
      <c r="D15" s="197"/>
    </row>
    <row r="16" spans="1:6">
      <c r="A16" s="194" t="s">
        <v>11</v>
      </c>
      <c r="B16" s="189" t="s">
        <v>13</v>
      </c>
      <c r="C16" s="44"/>
      <c r="D16" s="200"/>
    </row>
    <row r="17" spans="1:4" ht="79.8">
      <c r="A17" s="194"/>
      <c r="B17" s="195" t="s">
        <v>14</v>
      </c>
      <c r="C17" s="196"/>
      <c r="D17" s="197"/>
    </row>
    <row r="18" spans="1:4">
      <c r="A18" s="194"/>
      <c r="B18" s="195" t="s">
        <v>15</v>
      </c>
      <c r="C18" s="196"/>
      <c r="D18" s="197"/>
    </row>
    <row r="19" spans="1:4">
      <c r="A19" s="194"/>
      <c r="C19" s="196"/>
      <c r="D19" s="197"/>
    </row>
    <row r="20" spans="1:4">
      <c r="A20" s="194" t="s">
        <v>12</v>
      </c>
      <c r="B20" s="189" t="s">
        <v>17</v>
      </c>
      <c r="C20" s="44"/>
      <c r="D20" s="200"/>
    </row>
    <row r="21" spans="1:4" ht="45.6">
      <c r="A21" s="21"/>
      <c r="B21" s="195" t="s">
        <v>251</v>
      </c>
      <c r="C21" s="196"/>
      <c r="D21" s="197"/>
    </row>
    <row r="22" spans="1:4">
      <c r="A22" s="21"/>
      <c r="C22" s="196"/>
      <c r="D22" s="197"/>
    </row>
    <row r="23" spans="1:4">
      <c r="A23" s="194" t="s">
        <v>16</v>
      </c>
      <c r="B23" s="189" t="s">
        <v>19</v>
      </c>
      <c r="C23" s="44"/>
      <c r="D23" s="200"/>
    </row>
    <row r="24" spans="1:4" ht="159.6">
      <c r="A24" s="194"/>
      <c r="B24" s="195" t="s">
        <v>20</v>
      </c>
      <c r="C24" s="196"/>
      <c r="D24" s="197"/>
    </row>
    <row r="25" spans="1:4" ht="79.8">
      <c r="A25" s="194"/>
      <c r="B25" s="195" t="s">
        <v>21</v>
      </c>
      <c r="C25" s="196"/>
      <c r="D25" s="197"/>
    </row>
    <row r="26" spans="1:4" ht="79.8">
      <c r="A26" s="194"/>
      <c r="B26" s="32" t="s">
        <v>22</v>
      </c>
      <c r="C26" s="196"/>
      <c r="D26" s="197"/>
    </row>
    <row r="27" spans="1:4">
      <c r="A27" s="194"/>
      <c r="C27" s="196"/>
      <c r="D27" s="197"/>
    </row>
    <row r="28" spans="1:4">
      <c r="A28" s="194" t="s">
        <v>18</v>
      </c>
      <c r="B28" s="189" t="s">
        <v>24</v>
      </c>
      <c r="C28" s="44"/>
      <c r="D28" s="200"/>
    </row>
    <row r="29" spans="1:4" ht="34.200000000000003">
      <c r="A29" s="194"/>
      <c r="B29" s="195" t="s">
        <v>25</v>
      </c>
      <c r="C29" s="196"/>
      <c r="D29" s="197"/>
    </row>
    <row r="30" spans="1:4">
      <c r="A30" s="194"/>
      <c r="C30" s="196"/>
      <c r="D30" s="197"/>
    </row>
    <row r="31" spans="1:4">
      <c r="A31" s="194"/>
      <c r="B31" s="189" t="s">
        <v>26</v>
      </c>
      <c r="C31" s="196"/>
      <c r="D31" s="197"/>
    </row>
    <row r="32" spans="1:4">
      <c r="A32" s="194"/>
      <c r="B32" s="189"/>
      <c r="C32" s="196"/>
      <c r="D32" s="197"/>
    </row>
    <row r="33" spans="1:6">
      <c r="A33" s="194" t="s">
        <v>8</v>
      </c>
      <c r="B33" s="189" t="s">
        <v>27</v>
      </c>
      <c r="C33" s="201"/>
      <c r="D33" s="197"/>
    </row>
    <row r="34" spans="1:6" ht="238.8" customHeight="1">
      <c r="A34" s="194"/>
      <c r="B34" s="32" t="s">
        <v>28</v>
      </c>
      <c r="C34" s="201"/>
      <c r="D34" s="197"/>
    </row>
    <row r="35" spans="1:6">
      <c r="A35" s="194"/>
      <c r="B35" s="195" t="s">
        <v>29</v>
      </c>
      <c r="C35" s="202" t="s">
        <v>30</v>
      </c>
      <c r="D35" s="24">
        <v>1</v>
      </c>
      <c r="E35" s="24">
        <v>15000</v>
      </c>
      <c r="F35" s="28">
        <f>D35*E35</f>
        <v>15000</v>
      </c>
    </row>
    <row r="36" spans="1:6">
      <c r="A36" s="194"/>
      <c r="B36" s="189"/>
      <c r="C36" s="201"/>
      <c r="D36" s="197"/>
      <c r="F36" s="28"/>
    </row>
    <row r="37" spans="1:6">
      <c r="A37" s="194" t="s">
        <v>11</v>
      </c>
      <c r="B37" s="189" t="s">
        <v>384</v>
      </c>
      <c r="C37" s="201"/>
      <c r="D37" s="197"/>
    </row>
    <row r="38" spans="1:6">
      <c r="A38" s="194"/>
      <c r="B38" s="32" t="s">
        <v>385</v>
      </c>
      <c r="C38" s="201"/>
      <c r="D38" s="197"/>
    </row>
    <row r="39" spans="1:6">
      <c r="A39" s="194"/>
      <c r="C39" s="202" t="s">
        <v>30</v>
      </c>
      <c r="D39" s="24">
        <v>1</v>
      </c>
      <c r="E39" s="24">
        <v>2500</v>
      </c>
      <c r="F39" s="28">
        <f>D39*E39</f>
        <v>2500</v>
      </c>
    </row>
    <row r="40" spans="1:6" ht="12.6" thickBot="1"/>
    <row r="41" spans="1:6" ht="12.6" thickTop="1">
      <c r="A41" s="203" t="str">
        <f>A2</f>
        <v>I</v>
      </c>
      <c r="B41" s="204" t="s">
        <v>37</v>
      </c>
      <c r="C41" s="1129" t="s">
        <v>38</v>
      </c>
      <c r="D41" s="1129"/>
      <c r="E41" s="206"/>
      <c r="F41" s="207">
        <f>SUM(F34:F40)</f>
        <v>17500</v>
      </c>
    </row>
  </sheetData>
  <sheetProtection selectLockedCells="1" selectUnlockedCells="1"/>
  <mergeCells count="1">
    <mergeCell ref="C41:D41"/>
  </mergeCells>
  <pageMargins left="0.98" right="0.39" top="0.39" bottom="1.18" header="0.51" footer="0.31"/>
  <pageSetup paperSize="9" scale="86" orientation="portrait" r:id="rId1"/>
  <headerFooter alignWithMargins="0">
    <oddFooter>&amp;R&amp;9&amp;P</oddFooter>
  </headerFooter>
  <rowBreaks count="1" manualBreakCount="1">
    <brk id="2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2"/>
  <sheetViews>
    <sheetView topLeftCell="A37" zoomScaleNormal="100" zoomScaleSheetLayoutView="100" workbookViewId="0">
      <selection activeCell="E51" sqref="E51"/>
    </sheetView>
  </sheetViews>
  <sheetFormatPr defaultColWidth="9.21875" defaultRowHeight="13.2"/>
  <cols>
    <col min="1" max="1" width="3.5546875" style="21" customWidth="1"/>
    <col min="2" max="2" width="51.21875" style="186" customWidth="1"/>
    <col min="3" max="3" width="4.44140625" style="190" customWidth="1"/>
    <col min="4" max="4" width="7.77734375" style="24" bestFit="1" customWidth="1"/>
    <col min="5" max="5" width="7.77734375" style="24" customWidth="1"/>
    <col min="6" max="6" width="13.44140625" style="24" customWidth="1"/>
    <col min="7" max="7" width="11.44140625" style="1118" bestFit="1" customWidth="1"/>
    <col min="8" max="16384" width="9.21875" style="25"/>
  </cols>
  <sheetData>
    <row r="1" spans="1:6">
      <c r="B1" s="33"/>
    </row>
    <row r="2" spans="1:6">
      <c r="A2" s="21" t="s">
        <v>39</v>
      </c>
      <c r="B2" s="22" t="s">
        <v>43</v>
      </c>
      <c r="C2" s="208"/>
      <c r="D2" s="27"/>
    </row>
    <row r="4" spans="1:6">
      <c r="B4" s="186" t="s">
        <v>44</v>
      </c>
    </row>
    <row r="6" spans="1:6" ht="47.4">
      <c r="B6" s="32" t="s">
        <v>249</v>
      </c>
      <c r="C6" s="976"/>
      <c r="D6" s="977"/>
    </row>
    <row r="7" spans="1:6" ht="148.19999999999999">
      <c r="B7" s="33" t="s">
        <v>165</v>
      </c>
      <c r="C7" s="978"/>
      <c r="D7" s="979"/>
      <c r="F7" s="974"/>
    </row>
    <row r="8" spans="1:6" ht="45.6">
      <c r="B8" s="33" t="s">
        <v>45</v>
      </c>
      <c r="C8" s="978"/>
      <c r="D8" s="979"/>
    </row>
    <row r="9" spans="1:6" ht="91.2">
      <c r="B9" s="33" t="s">
        <v>277</v>
      </c>
      <c r="C9" s="978"/>
      <c r="D9" s="979"/>
    </row>
    <row r="10" spans="1:6" ht="153.44999999999999" customHeight="1">
      <c r="B10" s="33" t="s">
        <v>166</v>
      </c>
      <c r="C10" s="978"/>
      <c r="D10" s="979"/>
    </row>
    <row r="11" spans="1:6" ht="45.6">
      <c r="B11" s="33" t="s">
        <v>167</v>
      </c>
      <c r="C11" s="978"/>
      <c r="D11" s="979"/>
    </row>
    <row r="12" spans="1:6" ht="91.2" customHeight="1">
      <c r="B12" s="33" t="s">
        <v>162</v>
      </c>
      <c r="C12" s="978"/>
      <c r="D12" s="979"/>
    </row>
    <row r="13" spans="1:6" ht="66" customHeight="1">
      <c r="B13" s="33" t="s">
        <v>163</v>
      </c>
      <c r="C13" s="978"/>
      <c r="D13" s="979"/>
    </row>
    <row r="14" spans="1:6" ht="45.6">
      <c r="B14" s="33" t="s">
        <v>168</v>
      </c>
      <c r="C14" s="978"/>
      <c r="D14" s="979"/>
    </row>
    <row r="15" spans="1:6">
      <c r="A15" s="209"/>
      <c r="B15" s="32"/>
      <c r="C15" s="210"/>
      <c r="D15" s="28"/>
    </row>
    <row r="16" spans="1:6" ht="24">
      <c r="A16" s="209" t="s">
        <v>8</v>
      </c>
      <c r="B16" s="980" t="s">
        <v>254</v>
      </c>
      <c r="C16" s="210"/>
      <c r="D16" s="211"/>
    </row>
    <row r="17" spans="1:7" ht="125.4">
      <c r="A17" s="209"/>
      <c r="B17" s="33" t="s">
        <v>271</v>
      </c>
      <c r="D17" s="211"/>
    </row>
    <row r="18" spans="1:7" ht="53.55" customHeight="1">
      <c r="A18" s="209"/>
      <c r="B18" s="33" t="s">
        <v>164</v>
      </c>
      <c r="D18" s="211"/>
    </row>
    <row r="19" spans="1:7" ht="91.2">
      <c r="A19" s="209"/>
      <c r="B19" s="33" t="s">
        <v>178</v>
      </c>
      <c r="D19" s="211"/>
    </row>
    <row r="20" spans="1:7">
      <c r="A20" s="209"/>
      <c r="B20" s="33" t="s">
        <v>961</v>
      </c>
      <c r="C20" s="210" t="s">
        <v>40</v>
      </c>
      <c r="D20" s="24">
        <v>2996</v>
      </c>
      <c r="E20" s="24">
        <v>0.1</v>
      </c>
      <c r="F20" s="28">
        <f>D20*E20</f>
        <v>299.60000000000002</v>
      </c>
    </row>
    <row r="21" spans="1:7">
      <c r="A21" s="209"/>
      <c r="B21" s="33" t="s">
        <v>962</v>
      </c>
      <c r="C21" s="210" t="s">
        <v>40</v>
      </c>
      <c r="D21" s="24">
        <v>4829</v>
      </c>
      <c r="E21" s="24">
        <v>0.1</v>
      </c>
      <c r="F21" s="28">
        <f>D21*E21</f>
        <v>482.90000000000003</v>
      </c>
    </row>
    <row r="22" spans="1:7">
      <c r="A22" s="209"/>
      <c r="B22" s="33" t="s">
        <v>963</v>
      </c>
      <c r="C22" s="210" t="s">
        <v>40</v>
      </c>
      <c r="D22" s="24">
        <v>1835</v>
      </c>
      <c r="E22" s="24">
        <v>16</v>
      </c>
      <c r="F22" s="28">
        <f>D22*E22</f>
        <v>29360</v>
      </c>
    </row>
    <row r="23" spans="1:7">
      <c r="A23" s="209"/>
      <c r="B23" s="33" t="s">
        <v>964</v>
      </c>
      <c r="C23" s="210" t="s">
        <v>40</v>
      </c>
      <c r="D23" s="24">
        <v>285</v>
      </c>
      <c r="E23" s="24">
        <v>20</v>
      </c>
      <c r="F23" s="28">
        <f>D23*E23</f>
        <v>5700</v>
      </c>
    </row>
    <row r="24" spans="1:7">
      <c r="A24" s="209"/>
      <c r="B24" s="33" t="s">
        <v>965</v>
      </c>
      <c r="C24" s="210" t="s">
        <v>40</v>
      </c>
      <c r="D24" s="24">
        <v>35</v>
      </c>
      <c r="E24" s="24">
        <v>100</v>
      </c>
      <c r="F24" s="28">
        <f>D24*E24</f>
        <v>3500</v>
      </c>
    </row>
    <row r="25" spans="1:7" ht="12">
      <c r="A25" s="209"/>
      <c r="B25" s="33"/>
      <c r="C25" s="210"/>
      <c r="G25" s="24"/>
    </row>
    <row r="26" spans="1:7">
      <c r="A26" s="209" t="s">
        <v>11</v>
      </c>
      <c r="B26" s="213" t="s">
        <v>274</v>
      </c>
      <c r="C26" s="210"/>
    </row>
    <row r="27" spans="1:7" ht="125.4">
      <c r="A27" s="209"/>
      <c r="B27" s="33" t="s">
        <v>275</v>
      </c>
      <c r="C27" s="210"/>
    </row>
    <row r="28" spans="1:7">
      <c r="A28" s="209"/>
      <c r="B28" s="33" t="s">
        <v>966</v>
      </c>
      <c r="C28" s="210" t="s">
        <v>36</v>
      </c>
      <c r="D28" s="24">
        <v>2156</v>
      </c>
      <c r="E28" s="24">
        <v>45</v>
      </c>
      <c r="F28" s="28">
        <f>D28*E28</f>
        <v>97020</v>
      </c>
    </row>
    <row r="29" spans="1:7">
      <c r="A29" s="209"/>
      <c r="B29" s="33" t="s">
        <v>967</v>
      </c>
      <c r="C29" s="210" t="s">
        <v>36</v>
      </c>
      <c r="D29" s="24">
        <v>2782</v>
      </c>
      <c r="E29" s="24">
        <v>2</v>
      </c>
      <c r="F29" s="28">
        <f>D29*E29</f>
        <v>5564</v>
      </c>
    </row>
    <row r="30" spans="1:7">
      <c r="A30" s="209"/>
      <c r="B30" s="33"/>
      <c r="C30" s="210"/>
    </row>
    <row r="31" spans="1:7">
      <c r="A31" s="209" t="s">
        <v>12</v>
      </c>
      <c r="B31" s="213" t="s">
        <v>180</v>
      </c>
      <c r="C31" s="210"/>
    </row>
    <row r="32" spans="1:7" ht="45.6">
      <c r="A32" s="209"/>
      <c r="B32" s="33" t="s">
        <v>181</v>
      </c>
      <c r="C32" s="210"/>
    </row>
    <row r="33" spans="1:6">
      <c r="A33" s="209"/>
      <c r="B33" s="33" t="s">
        <v>968</v>
      </c>
      <c r="C33" s="210" t="s">
        <v>36</v>
      </c>
      <c r="D33" s="24">
        <v>2156</v>
      </c>
      <c r="E33" s="24">
        <v>40</v>
      </c>
      <c r="F33" s="28">
        <f>D33*E33</f>
        <v>86240</v>
      </c>
    </row>
    <row r="34" spans="1:6">
      <c r="A34" s="209"/>
      <c r="B34" s="33" t="s">
        <v>969</v>
      </c>
      <c r="C34" s="210" t="s">
        <v>36</v>
      </c>
      <c r="D34" s="24">
        <v>2782</v>
      </c>
      <c r="E34" s="24">
        <v>4</v>
      </c>
      <c r="F34" s="28">
        <f>D34*E34</f>
        <v>11128</v>
      </c>
    </row>
    <row r="35" spans="1:6">
      <c r="A35" s="209"/>
      <c r="B35" s="33"/>
      <c r="C35" s="210"/>
    </row>
    <row r="36" spans="1:6">
      <c r="A36" s="209" t="s">
        <v>16</v>
      </c>
      <c r="B36" s="213" t="s">
        <v>272</v>
      </c>
      <c r="C36" s="210"/>
      <c r="D36" s="211"/>
    </row>
    <row r="37" spans="1:6" ht="91.2">
      <c r="A37" s="209"/>
      <c r="B37" s="33" t="s">
        <v>273</v>
      </c>
      <c r="C37" s="210"/>
      <c r="D37" s="211"/>
    </row>
    <row r="38" spans="1:6">
      <c r="A38" s="209"/>
      <c r="B38" s="29" t="s">
        <v>47</v>
      </c>
      <c r="C38" s="210" t="s">
        <v>40</v>
      </c>
      <c r="D38" s="211">
        <v>4937</v>
      </c>
      <c r="E38" s="24">
        <v>0.1</v>
      </c>
      <c r="F38" s="28">
        <f>D38*E38</f>
        <v>493.70000000000005</v>
      </c>
    </row>
    <row r="39" spans="1:6">
      <c r="A39" s="209"/>
      <c r="B39" s="981"/>
      <c r="C39" s="210"/>
      <c r="D39" s="211"/>
    </row>
    <row r="40" spans="1:6">
      <c r="A40" s="209" t="s">
        <v>18</v>
      </c>
      <c r="B40" s="980" t="s">
        <v>970</v>
      </c>
      <c r="C40" s="210"/>
      <c r="D40" s="211"/>
    </row>
    <row r="41" spans="1:6" ht="37.049999999999997" customHeight="1">
      <c r="A41" s="209"/>
      <c r="B41" s="33" t="s">
        <v>971</v>
      </c>
      <c r="C41" s="982"/>
      <c r="D41" s="28"/>
    </row>
    <row r="42" spans="1:6">
      <c r="A42" s="209"/>
      <c r="B42" s="186" t="s">
        <v>46</v>
      </c>
      <c r="C42" s="210" t="s">
        <v>40</v>
      </c>
      <c r="D42" s="24">
        <v>794</v>
      </c>
      <c r="E42" s="24">
        <v>12</v>
      </c>
      <c r="F42" s="28">
        <f>D42*E42</f>
        <v>9528</v>
      </c>
    </row>
    <row r="43" spans="1:6">
      <c r="A43" s="209"/>
      <c r="B43" s="981"/>
      <c r="C43" s="210"/>
      <c r="D43" s="211"/>
    </row>
    <row r="44" spans="1:6">
      <c r="A44" s="209" t="s">
        <v>23</v>
      </c>
      <c r="B44" s="980" t="s">
        <v>179</v>
      </c>
      <c r="C44" s="210"/>
      <c r="D44" s="211"/>
    </row>
    <row r="45" spans="1:6" ht="37.049999999999997" customHeight="1">
      <c r="A45" s="209"/>
      <c r="B45" s="33" t="s">
        <v>390</v>
      </c>
      <c r="C45" s="982"/>
      <c r="D45" s="28"/>
    </row>
    <row r="46" spans="1:6">
      <c r="A46" s="209"/>
      <c r="B46" s="186" t="s">
        <v>46</v>
      </c>
      <c r="C46" s="210" t="s">
        <v>40</v>
      </c>
      <c r="D46" s="24">
        <v>1123</v>
      </c>
      <c r="E46" s="24">
        <v>12</v>
      </c>
      <c r="F46" s="28">
        <f>D46*E46</f>
        <v>13476</v>
      </c>
    </row>
    <row r="47" spans="1:6">
      <c r="A47" s="209"/>
      <c r="C47" s="210"/>
    </row>
    <row r="48" spans="1:6">
      <c r="A48" s="209" t="s">
        <v>32</v>
      </c>
      <c r="B48" s="214" t="s">
        <v>48</v>
      </c>
      <c r="C48" s="210"/>
      <c r="D48" s="211"/>
    </row>
    <row r="49" spans="1:6" ht="34.200000000000003">
      <c r="A49" s="209"/>
      <c r="B49" s="981" t="s">
        <v>701</v>
      </c>
      <c r="C49" s="210"/>
      <c r="D49" s="211"/>
    </row>
    <row r="50" spans="1:6">
      <c r="A50" s="209"/>
      <c r="B50" s="981" t="s">
        <v>250</v>
      </c>
      <c r="C50" s="210" t="s">
        <v>40</v>
      </c>
      <c r="D50" s="24">
        <v>8063</v>
      </c>
      <c r="E50" s="24">
        <v>1</v>
      </c>
      <c r="F50" s="28">
        <f>D50*E50</f>
        <v>8063</v>
      </c>
    </row>
    <row r="51" spans="1:6" ht="13.8" thickBot="1">
      <c r="A51" s="209"/>
      <c r="B51" s="33"/>
      <c r="C51" s="210"/>
      <c r="D51" s="211"/>
    </row>
    <row r="52" spans="1:6" ht="13.8" thickTop="1">
      <c r="A52" s="983" t="str">
        <f>A2</f>
        <v>II</v>
      </c>
      <c r="B52" s="984" t="s">
        <v>49</v>
      </c>
      <c r="C52" s="985"/>
      <c r="D52" s="215"/>
      <c r="E52" s="206"/>
      <c r="F52" s="207">
        <f>SUM(F15:F51)</f>
        <v>270855.2</v>
      </c>
    </row>
  </sheetData>
  <sheetProtection selectLockedCells="1" selectUnlockedCells="1"/>
  <pageMargins left="0.98" right="0.39" top="0.39" bottom="1.18" header="0.51" footer="0.31"/>
  <pageSetup paperSize="9" orientation="portrait" r:id="rId1"/>
  <headerFooter alignWithMargins="0">
    <oddFooter>&amp;R&amp;9&amp;P</oddFooter>
  </headerFooter>
  <rowBreaks count="1" manualBreakCount="1">
    <brk id="43"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2BBA-FC59-4C27-AC55-230177DBCC6F}">
  <dimension ref="A1:F100"/>
  <sheetViews>
    <sheetView topLeftCell="A5" zoomScaleNormal="100" zoomScaleSheetLayoutView="100" workbookViewId="0">
      <selection activeCell="E50" sqref="E50"/>
    </sheetView>
  </sheetViews>
  <sheetFormatPr defaultColWidth="9.21875" defaultRowHeight="12"/>
  <cols>
    <col min="1" max="1" width="3.5546875" style="21" customWidth="1"/>
    <col min="2" max="2" width="51.21875" style="186" customWidth="1"/>
    <col min="3" max="3" width="4.44140625" style="190" customWidth="1"/>
    <col min="4" max="4" width="7.77734375" style="24" bestFit="1" customWidth="1"/>
    <col min="5" max="5" width="7.77734375" style="24" customWidth="1"/>
    <col min="6" max="6" width="13.44140625" style="24" customWidth="1"/>
    <col min="7" max="16384" width="9.21875" style="25"/>
  </cols>
  <sheetData>
    <row r="1" spans="1:6">
      <c r="B1" s="33"/>
    </row>
    <row r="2" spans="1:6">
      <c r="A2" s="21" t="s">
        <v>42</v>
      </c>
      <c r="B2" s="22" t="s">
        <v>276</v>
      </c>
      <c r="C2" s="208"/>
      <c r="D2" s="27"/>
    </row>
    <row r="4" spans="1:6" ht="24">
      <c r="A4" s="209" t="s">
        <v>8</v>
      </c>
      <c r="B4" s="980" t="s">
        <v>972</v>
      </c>
      <c r="C4" s="210"/>
      <c r="D4" s="211"/>
    </row>
    <row r="5" spans="1:6" ht="257.39999999999998" customHeight="1">
      <c r="A5" s="209"/>
      <c r="B5" s="33" t="s">
        <v>973</v>
      </c>
      <c r="D5" s="211"/>
    </row>
    <row r="6" spans="1:6">
      <c r="A6" s="209"/>
      <c r="B6" s="1105" t="s">
        <v>977</v>
      </c>
      <c r="C6" s="210" t="s">
        <v>40</v>
      </c>
      <c r="D6" s="24">
        <v>498</v>
      </c>
      <c r="E6" s="24">
        <v>50</v>
      </c>
      <c r="F6" s="28">
        <f>D6*E6</f>
        <v>24900</v>
      </c>
    </row>
    <row r="7" spans="1:6">
      <c r="A7" s="209"/>
      <c r="B7" s="1105" t="s">
        <v>978</v>
      </c>
      <c r="C7" s="210" t="s">
        <v>40</v>
      </c>
      <c r="D7" s="24">
        <v>514</v>
      </c>
      <c r="E7" s="24">
        <v>50</v>
      </c>
      <c r="F7" s="28">
        <f>D7*E7</f>
        <v>25700</v>
      </c>
    </row>
    <row r="8" spans="1:6">
      <c r="A8" s="209"/>
      <c r="B8" s="1105" t="s">
        <v>979</v>
      </c>
      <c r="C8" s="210" t="s">
        <v>40</v>
      </c>
      <c r="D8" s="24">
        <v>281</v>
      </c>
      <c r="E8" s="24">
        <v>50</v>
      </c>
      <c r="F8" s="28">
        <f>D8*E8</f>
        <v>14050</v>
      </c>
    </row>
    <row r="9" spans="1:6">
      <c r="A9" s="209"/>
      <c r="B9" s="1105" t="s">
        <v>980</v>
      </c>
      <c r="C9" s="210" t="s">
        <v>40</v>
      </c>
      <c r="D9" s="24">
        <v>115</v>
      </c>
      <c r="E9" s="24">
        <v>50</v>
      </c>
      <c r="F9" s="28">
        <f>D9*E9</f>
        <v>5750</v>
      </c>
    </row>
    <row r="11" spans="1:6" ht="24">
      <c r="A11" s="209" t="s">
        <v>11</v>
      </c>
      <c r="B11" s="980" t="s">
        <v>974</v>
      </c>
      <c r="C11" s="210"/>
      <c r="D11" s="211"/>
    </row>
    <row r="12" spans="1:6" ht="250.8">
      <c r="A12" s="209"/>
      <c r="B12" s="33" t="s">
        <v>975</v>
      </c>
      <c r="D12" s="211"/>
    </row>
    <row r="13" spans="1:6">
      <c r="A13" s="209"/>
      <c r="B13" s="1105" t="s">
        <v>976</v>
      </c>
      <c r="C13" s="210" t="s">
        <v>40</v>
      </c>
      <c r="D13" s="24">
        <v>398</v>
      </c>
      <c r="E13" s="24">
        <v>50</v>
      </c>
      <c r="F13" s="28">
        <f>D13*E13</f>
        <v>19900</v>
      </c>
    </row>
    <row r="14" spans="1:6">
      <c r="A14" s="209"/>
      <c r="B14" s="1105" t="s">
        <v>983</v>
      </c>
      <c r="C14" s="210" t="s">
        <v>40</v>
      </c>
      <c r="D14" s="24">
        <v>411</v>
      </c>
      <c r="E14" s="24">
        <v>50</v>
      </c>
      <c r="F14" s="28">
        <f>D14*E14</f>
        <v>20550</v>
      </c>
    </row>
    <row r="15" spans="1:6">
      <c r="A15" s="209"/>
      <c r="B15" s="1105" t="s">
        <v>984</v>
      </c>
      <c r="C15" s="210" t="s">
        <v>40</v>
      </c>
      <c r="D15" s="24">
        <v>224</v>
      </c>
      <c r="E15" s="24">
        <v>50</v>
      </c>
      <c r="F15" s="28">
        <f>D15*E15</f>
        <v>11200</v>
      </c>
    </row>
    <row r="16" spans="1:6">
      <c r="A16" s="209"/>
      <c r="B16" s="1105" t="s">
        <v>985</v>
      </c>
      <c r="C16" s="210" t="s">
        <v>40</v>
      </c>
      <c r="D16" s="24">
        <v>92</v>
      </c>
      <c r="E16" s="24">
        <v>50</v>
      </c>
      <c r="F16" s="28">
        <f>D16*E16</f>
        <v>4600</v>
      </c>
    </row>
    <row r="17" spans="1:6">
      <c r="A17" s="209"/>
      <c r="B17" s="33"/>
      <c r="C17" s="210"/>
    </row>
    <row r="18" spans="1:6">
      <c r="A18" s="209" t="s">
        <v>12</v>
      </c>
      <c r="B18" s="1106" t="s">
        <v>278</v>
      </c>
      <c r="C18" s="210"/>
    </row>
    <row r="19" spans="1:6" ht="216.6">
      <c r="A19" s="209"/>
      <c r="B19" s="33" t="s">
        <v>279</v>
      </c>
      <c r="C19" s="210"/>
    </row>
    <row r="20" spans="1:6" ht="22.8">
      <c r="A20" s="209"/>
      <c r="B20" s="1105" t="s">
        <v>981</v>
      </c>
      <c r="C20" s="210" t="s">
        <v>33</v>
      </c>
      <c r="D20" s="24">
        <v>340</v>
      </c>
      <c r="E20" s="24">
        <v>30</v>
      </c>
      <c r="F20" s="28">
        <f>D20*E20</f>
        <v>10200</v>
      </c>
    </row>
    <row r="21" spans="1:6" ht="22.8">
      <c r="A21" s="209"/>
      <c r="B21" s="1105" t="s">
        <v>982</v>
      </c>
      <c r="C21" s="210" t="s">
        <v>33</v>
      </c>
      <c r="D21" s="24">
        <v>1045</v>
      </c>
      <c r="E21" s="24">
        <v>20</v>
      </c>
      <c r="F21" s="28">
        <f>D21*E21</f>
        <v>20900</v>
      </c>
    </row>
    <row r="22" spans="1:6">
      <c r="A22" s="209"/>
      <c r="B22" s="1105"/>
      <c r="C22" s="210"/>
      <c r="F22" s="28"/>
    </row>
    <row r="23" spans="1:6" ht="24">
      <c r="A23" s="209"/>
      <c r="B23" s="1107" t="s">
        <v>280</v>
      </c>
      <c r="C23" s="210"/>
      <c r="F23" s="28"/>
    </row>
    <row r="24" spans="1:6" ht="45.6">
      <c r="A24" s="209"/>
      <c r="B24" s="1108" t="s">
        <v>281</v>
      </c>
      <c r="C24" s="210"/>
      <c r="F24" s="28"/>
    </row>
    <row r="25" spans="1:6">
      <c r="A25" s="209"/>
      <c r="B25" s="33"/>
      <c r="C25" s="210"/>
    </row>
    <row r="26" spans="1:6">
      <c r="A26" s="209" t="s">
        <v>16</v>
      </c>
      <c r="B26" s="1106" t="s">
        <v>282</v>
      </c>
      <c r="C26" s="210"/>
    </row>
    <row r="27" spans="1:6" ht="136.80000000000001">
      <c r="A27" s="209"/>
      <c r="B27" s="33" t="s">
        <v>283</v>
      </c>
      <c r="C27" s="210"/>
    </row>
    <row r="28" spans="1:6">
      <c r="A28" s="209"/>
      <c r="B28" s="33"/>
      <c r="C28" s="210" t="s">
        <v>36</v>
      </c>
      <c r="D28" s="24">
        <v>994</v>
      </c>
      <c r="E28" s="24">
        <v>30</v>
      </c>
      <c r="F28" s="28">
        <f>D28*E28</f>
        <v>29820</v>
      </c>
    </row>
    <row r="29" spans="1:6">
      <c r="A29" s="209"/>
      <c r="B29" s="33"/>
      <c r="C29" s="210"/>
    </row>
    <row r="30" spans="1:6" ht="24">
      <c r="A30" s="209" t="s">
        <v>18</v>
      </c>
      <c r="B30" s="1106" t="s">
        <v>284</v>
      </c>
      <c r="C30" s="210"/>
      <c r="D30" s="211"/>
    </row>
    <row r="31" spans="1:6" ht="136.80000000000001">
      <c r="A31" s="209"/>
      <c r="B31" s="33" t="s">
        <v>285</v>
      </c>
      <c r="C31" s="210"/>
      <c r="D31" s="211"/>
    </row>
    <row r="32" spans="1:6">
      <c r="A32" s="209"/>
      <c r="B32" s="29"/>
      <c r="C32" s="210" t="s">
        <v>36</v>
      </c>
      <c r="D32" s="211">
        <v>994</v>
      </c>
      <c r="E32" s="24">
        <v>25</v>
      </c>
      <c r="F32" s="28">
        <f>D32*E32</f>
        <v>24850</v>
      </c>
    </row>
    <row r="33" spans="1:4">
      <c r="A33" s="209"/>
      <c r="B33" s="981"/>
      <c r="C33" s="210"/>
      <c r="D33" s="211"/>
    </row>
    <row r="34" spans="1:4">
      <c r="A34" s="209" t="s">
        <v>23</v>
      </c>
      <c r="B34" s="1106" t="s">
        <v>286</v>
      </c>
      <c r="C34" s="210"/>
      <c r="D34" s="211"/>
    </row>
    <row r="35" spans="1:4" ht="45.6">
      <c r="A35" s="209"/>
      <c r="B35" s="1105" t="s">
        <v>287</v>
      </c>
      <c r="C35" s="210"/>
      <c r="D35" s="211"/>
    </row>
    <row r="36" spans="1:4" ht="34.200000000000003">
      <c r="A36" s="209"/>
      <c r="B36" s="1105" t="s">
        <v>288</v>
      </c>
      <c r="C36" s="210"/>
      <c r="D36" s="211"/>
    </row>
    <row r="37" spans="1:4" ht="34.200000000000003">
      <c r="A37" s="209"/>
      <c r="B37" s="1105" t="s">
        <v>289</v>
      </c>
      <c r="C37" s="210"/>
      <c r="D37" s="211"/>
    </row>
    <row r="38" spans="1:4" ht="22.8">
      <c r="A38" s="209"/>
      <c r="B38" s="1105" t="s">
        <v>290</v>
      </c>
      <c r="C38" s="210"/>
      <c r="D38" s="211"/>
    </row>
    <row r="39" spans="1:4" ht="22.8">
      <c r="A39" s="209"/>
      <c r="B39" s="1105" t="s">
        <v>291</v>
      </c>
      <c r="C39" s="210"/>
      <c r="D39" s="211"/>
    </row>
    <row r="40" spans="1:4" ht="45.6">
      <c r="A40" s="209"/>
      <c r="B40" s="1105" t="s">
        <v>292</v>
      </c>
      <c r="C40" s="210"/>
      <c r="D40" s="211"/>
    </row>
    <row r="41" spans="1:4" ht="45.6">
      <c r="A41" s="209"/>
      <c r="B41" s="1105" t="s">
        <v>293</v>
      </c>
      <c r="C41" s="210"/>
      <c r="D41" s="211"/>
    </row>
    <row r="42" spans="1:4" ht="45.6">
      <c r="A42" s="209"/>
      <c r="B42" s="1105" t="s">
        <v>294</v>
      </c>
      <c r="C42" s="210"/>
      <c r="D42" s="211"/>
    </row>
    <row r="43" spans="1:4">
      <c r="A43" s="209"/>
      <c r="B43" s="1105" t="s">
        <v>295</v>
      </c>
      <c r="C43" s="210"/>
      <c r="D43" s="211"/>
    </row>
    <row r="44" spans="1:4">
      <c r="A44" s="209"/>
      <c r="B44" s="1105" t="s">
        <v>296</v>
      </c>
      <c r="C44" s="210"/>
      <c r="D44" s="211"/>
    </row>
    <row r="45" spans="1:4" ht="22.8">
      <c r="A45" s="209"/>
      <c r="B45" s="1105" t="s">
        <v>297</v>
      </c>
      <c r="C45" s="210"/>
      <c r="D45" s="211"/>
    </row>
    <row r="46" spans="1:4" ht="22.8">
      <c r="A46" s="209"/>
      <c r="B46" s="1105" t="s">
        <v>298</v>
      </c>
      <c r="C46" s="210"/>
      <c r="D46" s="211"/>
    </row>
    <row r="47" spans="1:4" ht="34.200000000000003">
      <c r="A47" s="209"/>
      <c r="B47" s="1105" t="s">
        <v>299</v>
      </c>
      <c r="C47" s="210"/>
      <c r="D47" s="211"/>
    </row>
    <row r="48" spans="1:4">
      <c r="A48" s="209"/>
      <c r="B48" s="1105" t="s">
        <v>300</v>
      </c>
      <c r="C48" s="982"/>
      <c r="D48" s="28"/>
    </row>
    <row r="49" spans="1:6">
      <c r="A49" s="209"/>
      <c r="B49" s="1105" t="s">
        <v>301</v>
      </c>
      <c r="C49" s="210" t="s">
        <v>36</v>
      </c>
      <c r="D49" s="24">
        <v>1029</v>
      </c>
      <c r="E49" s="24">
        <v>55</v>
      </c>
      <c r="F49" s="28">
        <f>D49*E49</f>
        <v>56595</v>
      </c>
    </row>
    <row r="50" spans="1:6">
      <c r="A50" s="209"/>
      <c r="B50" s="1105"/>
      <c r="C50" s="210"/>
      <c r="F50" s="28"/>
    </row>
    <row r="51" spans="1:6" ht="24">
      <c r="A51" s="209"/>
      <c r="B51" s="1106" t="s">
        <v>302</v>
      </c>
      <c r="C51" s="210"/>
      <c r="F51" s="28"/>
    </row>
    <row r="52" spans="1:6">
      <c r="A52" s="209"/>
      <c r="B52" s="1106"/>
      <c r="C52" s="210"/>
      <c r="F52" s="28"/>
    </row>
    <row r="53" spans="1:6" ht="24">
      <c r="A53" s="209"/>
      <c r="B53" s="1106" t="s">
        <v>303</v>
      </c>
      <c r="C53" s="210"/>
      <c r="F53" s="28"/>
    </row>
    <row r="54" spans="1:6">
      <c r="A54" s="209"/>
      <c r="B54" s="1105"/>
      <c r="C54" s="210"/>
      <c r="F54" s="28"/>
    </row>
    <row r="55" spans="1:6" ht="34.200000000000003">
      <c r="A55" s="209"/>
      <c r="B55" s="1109" t="s">
        <v>304</v>
      </c>
      <c r="C55" s="210"/>
      <c r="F55" s="28"/>
    </row>
    <row r="56" spans="1:6" ht="68.400000000000006">
      <c r="A56" s="209"/>
      <c r="B56" s="1109" t="s">
        <v>305</v>
      </c>
      <c r="C56" s="210"/>
      <c r="F56" s="28"/>
    </row>
    <row r="57" spans="1:6" ht="79.8">
      <c r="A57" s="209"/>
      <c r="B57" s="1109" t="s">
        <v>2347</v>
      </c>
      <c r="C57" s="210"/>
      <c r="F57" s="28"/>
    </row>
    <row r="58" spans="1:6" ht="22.8">
      <c r="A58" s="209"/>
      <c r="B58" s="1109" t="s">
        <v>306</v>
      </c>
      <c r="C58" s="210"/>
      <c r="F58" s="28"/>
    </row>
    <row r="59" spans="1:6">
      <c r="A59" s="209"/>
      <c r="B59" s="1109"/>
      <c r="C59" s="210"/>
    </row>
    <row r="60" spans="1:6" ht="24">
      <c r="A60" s="21" t="s">
        <v>32</v>
      </c>
      <c r="B60" s="1110" t="s">
        <v>307</v>
      </c>
      <c r="C60" s="210"/>
    </row>
    <row r="61" spans="1:6" ht="57">
      <c r="B61" s="1111" t="s">
        <v>2348</v>
      </c>
      <c r="C61" s="216"/>
    </row>
    <row r="62" spans="1:6" ht="22.8">
      <c r="B62" s="1111" t="s">
        <v>2332</v>
      </c>
      <c r="C62" s="216"/>
    </row>
    <row r="63" spans="1:6" ht="22.8">
      <c r="B63" s="1111" t="s">
        <v>308</v>
      </c>
      <c r="C63" s="216"/>
    </row>
    <row r="64" spans="1:6" ht="22.8">
      <c r="B64" s="1111" t="s">
        <v>309</v>
      </c>
      <c r="C64" s="216"/>
    </row>
    <row r="65" spans="1:6" ht="34.200000000000003">
      <c r="B65" s="1111" t="s">
        <v>310</v>
      </c>
      <c r="C65" s="216"/>
    </row>
    <row r="66" spans="1:6">
      <c r="B66" s="1111" t="s">
        <v>311</v>
      </c>
      <c r="C66" s="216"/>
    </row>
    <row r="67" spans="1:6">
      <c r="A67" s="209"/>
      <c r="B67" s="1111" t="s">
        <v>312</v>
      </c>
      <c r="C67" s="216"/>
      <c r="D67" s="211"/>
    </row>
    <row r="68" spans="1:6">
      <c r="A68" s="209"/>
      <c r="B68" s="1111" t="s">
        <v>313</v>
      </c>
      <c r="C68" s="216"/>
      <c r="D68" s="211"/>
    </row>
    <row r="69" spans="1:6" ht="22.8">
      <c r="A69" s="209"/>
      <c r="B69" s="1111" t="s">
        <v>314</v>
      </c>
      <c r="C69" s="216"/>
      <c r="D69" s="211"/>
    </row>
    <row r="70" spans="1:6">
      <c r="A70" s="209"/>
      <c r="B70" s="1111" t="s">
        <v>315</v>
      </c>
      <c r="C70" s="216"/>
      <c r="D70" s="211"/>
    </row>
    <row r="71" spans="1:6">
      <c r="A71" s="209"/>
      <c r="B71" s="1111" t="s">
        <v>316</v>
      </c>
      <c r="C71" s="216"/>
      <c r="D71" s="211"/>
    </row>
    <row r="72" spans="1:6">
      <c r="A72" s="209"/>
      <c r="B72" s="1111" t="s">
        <v>317</v>
      </c>
      <c r="C72" s="216"/>
      <c r="D72" s="211"/>
    </row>
    <row r="73" spans="1:6" ht="34.200000000000003">
      <c r="A73" s="209"/>
      <c r="B73" s="1111" t="s">
        <v>318</v>
      </c>
      <c r="C73" s="1112"/>
      <c r="D73" s="211"/>
      <c r="F73" s="28"/>
    </row>
    <row r="74" spans="1:6">
      <c r="A74" s="209"/>
      <c r="B74" s="1105" t="s">
        <v>319</v>
      </c>
      <c r="C74" s="1112" t="s">
        <v>66</v>
      </c>
      <c r="D74" s="211">
        <v>562</v>
      </c>
      <c r="E74" s="24">
        <v>60</v>
      </c>
      <c r="F74" s="28">
        <f>D74*E74</f>
        <v>33720</v>
      </c>
    </row>
    <row r="75" spans="1:6">
      <c r="A75" s="209"/>
      <c r="B75" s="1105"/>
      <c r="C75" s="210"/>
      <c r="F75" s="28"/>
    </row>
    <row r="76" spans="1:6">
      <c r="A76" s="209"/>
      <c r="B76" s="1106" t="s">
        <v>351</v>
      </c>
      <c r="C76" s="210"/>
      <c r="F76" s="28"/>
    </row>
    <row r="77" spans="1:6">
      <c r="A77" s="209"/>
      <c r="B77" s="33"/>
      <c r="C77" s="210"/>
    </row>
    <row r="78" spans="1:6">
      <c r="A78" s="209" t="s">
        <v>34</v>
      </c>
      <c r="B78" s="1106" t="s">
        <v>352</v>
      </c>
      <c r="C78" s="210"/>
    </row>
    <row r="79" spans="1:6" ht="205.2">
      <c r="A79" s="209"/>
      <c r="B79" s="33" t="s">
        <v>2449</v>
      </c>
      <c r="C79" s="210"/>
    </row>
    <row r="80" spans="1:6">
      <c r="A80" s="209"/>
      <c r="B80" s="33"/>
      <c r="C80" s="210" t="s">
        <v>36</v>
      </c>
      <c r="D80" s="24">
        <v>190</v>
      </c>
      <c r="E80" s="24">
        <v>120</v>
      </c>
      <c r="F80" s="28">
        <f>D80*E80</f>
        <v>22800</v>
      </c>
    </row>
    <row r="81" spans="1:6">
      <c r="A81" s="209"/>
      <c r="B81" s="33"/>
      <c r="C81" s="210"/>
    </row>
    <row r="82" spans="1:6">
      <c r="A82" s="209" t="s">
        <v>35</v>
      </c>
      <c r="B82" s="1106" t="s">
        <v>321</v>
      </c>
      <c r="C82" s="210"/>
    </row>
    <row r="83" spans="1:6" ht="57">
      <c r="A83" s="209"/>
      <c r="B83" s="33" t="s">
        <v>322</v>
      </c>
      <c r="C83" s="210"/>
    </row>
    <row r="84" spans="1:6">
      <c r="A84" s="209"/>
      <c r="B84" s="33" t="s">
        <v>986</v>
      </c>
      <c r="C84" s="210" t="s">
        <v>31</v>
      </c>
      <c r="D84" s="24">
        <v>2</v>
      </c>
      <c r="E84" s="24">
        <v>500</v>
      </c>
      <c r="F84" s="28">
        <f>D84*E84</f>
        <v>1000</v>
      </c>
    </row>
    <row r="85" spans="1:6">
      <c r="A85" s="209"/>
      <c r="B85" s="33" t="s">
        <v>987</v>
      </c>
      <c r="C85" s="210" t="s">
        <v>31</v>
      </c>
      <c r="D85" s="24">
        <v>1</v>
      </c>
      <c r="E85" s="24">
        <v>500</v>
      </c>
      <c r="F85" s="28">
        <f>D85*E85</f>
        <v>500</v>
      </c>
    </row>
    <row r="86" spans="1:6">
      <c r="A86" s="209"/>
      <c r="B86" s="33" t="s">
        <v>988</v>
      </c>
      <c r="C86" s="210" t="s">
        <v>31</v>
      </c>
      <c r="D86" s="24">
        <v>1</v>
      </c>
      <c r="E86" s="24">
        <v>500</v>
      </c>
      <c r="F86" s="28">
        <f>D86*E86</f>
        <v>500</v>
      </c>
    </row>
    <row r="87" spans="1:6">
      <c r="A87" s="209"/>
      <c r="B87" s="33"/>
      <c r="C87" s="210"/>
    </row>
    <row r="88" spans="1:6">
      <c r="A88" s="209" t="s">
        <v>252</v>
      </c>
      <c r="B88" s="1106" t="s">
        <v>323</v>
      </c>
      <c r="C88" s="210"/>
    </row>
    <row r="89" spans="1:6" ht="108" customHeight="1">
      <c r="A89" s="209"/>
      <c r="B89" s="33" t="s">
        <v>324</v>
      </c>
      <c r="C89" s="210"/>
    </row>
    <row r="90" spans="1:6" ht="22.8">
      <c r="A90" s="209"/>
      <c r="B90" s="33" t="s">
        <v>995</v>
      </c>
      <c r="C90" s="210" t="s">
        <v>36</v>
      </c>
      <c r="D90" s="24">
        <v>72</v>
      </c>
      <c r="E90" s="24">
        <v>20</v>
      </c>
      <c r="F90" s="28">
        <f>D90*E90</f>
        <v>1440</v>
      </c>
    </row>
    <row r="91" spans="1:6">
      <c r="A91" s="209"/>
      <c r="B91" s="33" t="s">
        <v>996</v>
      </c>
      <c r="C91" s="210" t="s">
        <v>31</v>
      </c>
      <c r="D91" s="24">
        <v>2</v>
      </c>
      <c r="E91" s="24">
        <v>150</v>
      </c>
      <c r="F91" s="28">
        <f>D91*E91</f>
        <v>300</v>
      </c>
    </row>
    <row r="92" spans="1:6">
      <c r="A92" s="209"/>
      <c r="B92" s="33"/>
      <c r="C92" s="210"/>
    </row>
    <row r="93" spans="1:6">
      <c r="A93" s="209" t="s">
        <v>266</v>
      </c>
      <c r="B93" s="1106" t="s">
        <v>325</v>
      </c>
      <c r="C93" s="210"/>
    </row>
    <row r="94" spans="1:6" ht="108" customHeight="1">
      <c r="A94" s="209"/>
      <c r="B94" s="33" t="s">
        <v>326</v>
      </c>
      <c r="C94" s="210"/>
    </row>
    <row r="95" spans="1:6" ht="22.8">
      <c r="A95" s="209"/>
      <c r="B95" s="33" t="s">
        <v>327</v>
      </c>
      <c r="C95" s="210"/>
    </row>
    <row r="96" spans="1:6" ht="22.8">
      <c r="A96" s="209"/>
      <c r="B96" s="33" t="s">
        <v>328</v>
      </c>
      <c r="C96" s="210"/>
    </row>
    <row r="97" spans="1:6">
      <c r="A97" s="209"/>
      <c r="B97" s="33" t="s">
        <v>997</v>
      </c>
      <c r="C97" s="210" t="s">
        <v>33</v>
      </c>
      <c r="D97" s="24">
        <v>72</v>
      </c>
      <c r="E97" s="24">
        <v>50</v>
      </c>
      <c r="F97" s="28">
        <f>D97*E97</f>
        <v>3600</v>
      </c>
    </row>
    <row r="98" spans="1:6">
      <c r="A98" s="209"/>
      <c r="B98" s="33" t="s">
        <v>998</v>
      </c>
      <c r="C98" s="210" t="s">
        <v>31</v>
      </c>
      <c r="D98" s="24">
        <v>3</v>
      </c>
      <c r="E98" s="24">
        <v>500</v>
      </c>
      <c r="F98" s="28">
        <f>D98*E98</f>
        <v>1500</v>
      </c>
    </row>
    <row r="99" spans="1:6" ht="12.6" thickBot="1">
      <c r="A99" s="209"/>
      <c r="B99" s="1105"/>
      <c r="C99" s="1112"/>
      <c r="D99" s="211"/>
      <c r="F99" s="28"/>
    </row>
    <row r="100" spans="1:6" ht="12.6" thickTop="1">
      <c r="A100" s="983" t="str">
        <f>A2</f>
        <v>III</v>
      </c>
      <c r="B100" s="984" t="s">
        <v>276</v>
      </c>
      <c r="C100" s="985"/>
      <c r="D100" s="215"/>
      <c r="E100" s="206"/>
      <c r="F100" s="207">
        <f>SUM(F4:F99)</f>
        <v>334375</v>
      </c>
    </row>
  </sheetData>
  <sheetProtection selectLockedCells="1" selectUnlockedCells="1"/>
  <pageMargins left="0.98" right="0.39" top="0.39" bottom="1.18" header="0.51" footer="0.31"/>
  <pageSetup paperSize="9" scale="95" orientation="portrait" r:id="rId1"/>
  <headerFooter alignWithMargins="0">
    <oddFooter>&amp;R&amp;9&amp;P</oddFooter>
  </headerFooter>
  <rowBreaks count="2" manualBreakCount="2">
    <brk id="33" max="5" man="1"/>
    <brk id="78"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74"/>
  <sheetViews>
    <sheetView topLeftCell="A20" zoomScaleNormal="100" zoomScaleSheetLayoutView="100" workbookViewId="0">
      <selection activeCell="E57" sqref="E57"/>
    </sheetView>
  </sheetViews>
  <sheetFormatPr defaultColWidth="9.21875" defaultRowHeight="13.2"/>
  <cols>
    <col min="1" max="1" width="3.5546875" style="21" customWidth="1"/>
    <col min="2" max="2" width="50.21875" style="186" customWidth="1"/>
    <col min="3" max="3" width="5.21875" style="190" customWidth="1"/>
    <col min="4" max="4" width="9.21875" style="219" customWidth="1"/>
    <col min="5" max="5" width="7.77734375" style="24" customWidth="1"/>
    <col min="6" max="6" width="12.21875" style="24" customWidth="1"/>
    <col min="7" max="7" width="13.109375" style="1118" bestFit="1" customWidth="1"/>
    <col min="8" max="16384" width="9.21875" style="25"/>
  </cols>
  <sheetData>
    <row r="2" spans="1:6">
      <c r="A2" s="21" t="s">
        <v>269</v>
      </c>
      <c r="B2" s="218" t="s">
        <v>51</v>
      </c>
    </row>
    <row r="3" spans="1:6">
      <c r="B3" s="218"/>
    </row>
    <row r="4" spans="1:6">
      <c r="A4" s="21" t="s">
        <v>8</v>
      </c>
      <c r="B4" s="31" t="s">
        <v>1001</v>
      </c>
      <c r="C4" s="25"/>
      <c r="E4" s="25"/>
    </row>
    <row r="5" spans="1:6" ht="148.19999999999999">
      <c r="B5" s="303" t="s">
        <v>2462</v>
      </c>
      <c r="C5" s="25"/>
      <c r="E5" s="25"/>
    </row>
    <row r="6" spans="1:6">
      <c r="B6" s="32" t="s">
        <v>994</v>
      </c>
      <c r="C6" s="35" t="s">
        <v>40</v>
      </c>
      <c r="D6" s="24">
        <v>243</v>
      </c>
      <c r="E6" s="24">
        <v>900</v>
      </c>
      <c r="F6" s="28">
        <f>D6*E6</f>
        <v>218700</v>
      </c>
    </row>
    <row r="7" spans="1:6">
      <c r="B7" s="32" t="s">
        <v>1002</v>
      </c>
      <c r="C7" s="35" t="s">
        <v>36</v>
      </c>
      <c r="D7" s="24">
        <v>715</v>
      </c>
      <c r="E7" s="24">
        <v>50</v>
      </c>
      <c r="F7" s="28">
        <f>D7*E7</f>
        <v>35750</v>
      </c>
    </row>
    <row r="8" spans="1:6">
      <c r="B8" s="32"/>
      <c r="C8" s="35"/>
      <c r="F8" s="28"/>
    </row>
    <row r="9" spans="1:6">
      <c r="A9" s="21" t="s">
        <v>11</v>
      </c>
      <c r="B9" s="31" t="s">
        <v>1003</v>
      </c>
      <c r="C9" s="25"/>
      <c r="E9" s="25"/>
    </row>
    <row r="10" spans="1:6" ht="148.19999999999999">
      <c r="B10" s="303" t="s">
        <v>2463</v>
      </c>
      <c r="C10" s="25"/>
      <c r="E10" s="25"/>
    </row>
    <row r="11" spans="1:6">
      <c r="B11" s="32" t="s">
        <v>52</v>
      </c>
      <c r="C11" s="35" t="s">
        <v>40</v>
      </c>
      <c r="D11" s="24">
        <v>308</v>
      </c>
      <c r="E11" s="24">
        <v>180</v>
      </c>
      <c r="F11" s="28">
        <f>D11*E11</f>
        <v>55440</v>
      </c>
    </row>
    <row r="12" spans="1:6">
      <c r="B12" s="32" t="s">
        <v>182</v>
      </c>
      <c r="C12" s="35" t="s">
        <v>36</v>
      </c>
      <c r="D12" s="24">
        <v>78</v>
      </c>
      <c r="E12" s="24">
        <v>50</v>
      </c>
      <c r="F12" s="28">
        <f>D12*E12</f>
        <v>3900</v>
      </c>
    </row>
    <row r="13" spans="1:6">
      <c r="B13" s="33"/>
      <c r="C13" s="35"/>
    </row>
    <row r="14" spans="1:6">
      <c r="A14" s="21" t="s">
        <v>12</v>
      </c>
      <c r="B14" s="213" t="s">
        <v>1004</v>
      </c>
      <c r="C14" s="35"/>
    </row>
    <row r="15" spans="1:6" ht="193.8">
      <c r="B15" s="32" t="s">
        <v>2464</v>
      </c>
      <c r="C15" s="35"/>
    </row>
    <row r="16" spans="1:6">
      <c r="B16" s="32" t="s">
        <v>994</v>
      </c>
      <c r="C16" s="35" t="s">
        <v>40</v>
      </c>
      <c r="D16" s="24">
        <v>615</v>
      </c>
      <c r="E16" s="24">
        <v>1</v>
      </c>
      <c r="F16" s="28">
        <f>D16*E16</f>
        <v>615</v>
      </c>
    </row>
    <row r="17" spans="1:6">
      <c r="B17" s="32" t="s">
        <v>1005</v>
      </c>
      <c r="C17" s="35" t="s">
        <v>36</v>
      </c>
      <c r="D17" s="24">
        <v>4438</v>
      </c>
      <c r="E17" s="24">
        <v>0.1</v>
      </c>
      <c r="F17" s="28">
        <f>D17*E17</f>
        <v>443.8</v>
      </c>
    </row>
    <row r="18" spans="1:6">
      <c r="B18" s="32"/>
      <c r="C18" s="35"/>
      <c r="F18" s="28"/>
    </row>
    <row r="19" spans="1:6">
      <c r="A19" s="21" t="s">
        <v>16</v>
      </c>
      <c r="B19" s="213" t="s">
        <v>1006</v>
      </c>
      <c r="C19" s="35"/>
    </row>
    <row r="20" spans="1:6" ht="148.19999999999999">
      <c r="B20" s="32" t="s">
        <v>2452</v>
      </c>
      <c r="C20" s="35"/>
    </row>
    <row r="21" spans="1:6" ht="57">
      <c r="B21" s="32" t="s">
        <v>184</v>
      </c>
      <c r="C21" s="35"/>
    </row>
    <row r="22" spans="1:6" ht="22.8">
      <c r="B22" s="986" t="s">
        <v>54</v>
      </c>
      <c r="C22" s="35"/>
    </row>
    <row r="23" spans="1:6">
      <c r="B23" s="218" t="s">
        <v>1007</v>
      </c>
      <c r="C23" s="35"/>
    </row>
    <row r="24" spans="1:6">
      <c r="B24" s="32" t="s">
        <v>994</v>
      </c>
      <c r="C24" s="35" t="s">
        <v>40</v>
      </c>
      <c r="D24" s="24">
        <v>391</v>
      </c>
      <c r="E24" s="24">
        <v>180</v>
      </c>
      <c r="F24" s="28">
        <f>D24*E24</f>
        <v>70380</v>
      </c>
    </row>
    <row r="25" spans="1:6">
      <c r="B25" s="32" t="s">
        <v>1008</v>
      </c>
      <c r="C25" s="35" t="s">
        <v>36</v>
      </c>
      <c r="D25" s="24">
        <v>1923</v>
      </c>
      <c r="E25" s="24">
        <v>50</v>
      </c>
      <c r="F25" s="28">
        <f>D25*E25</f>
        <v>96150</v>
      </c>
    </row>
    <row r="26" spans="1:6">
      <c r="B26" s="32" t="s">
        <v>1009</v>
      </c>
      <c r="C26" s="35" t="s">
        <v>36</v>
      </c>
      <c r="D26" s="24">
        <v>112</v>
      </c>
      <c r="E26" s="24">
        <v>50</v>
      </c>
      <c r="F26" s="28">
        <f>D26*E26</f>
        <v>5600</v>
      </c>
    </row>
    <row r="27" spans="1:6">
      <c r="B27" s="33"/>
      <c r="C27" s="35"/>
    </row>
    <row r="28" spans="1:6">
      <c r="A28" s="21" t="s">
        <v>18</v>
      </c>
      <c r="B28" s="213" t="s">
        <v>183</v>
      </c>
      <c r="C28" s="35"/>
    </row>
    <row r="29" spans="1:6" ht="159.6">
      <c r="B29" s="32" t="s">
        <v>702</v>
      </c>
      <c r="C29" s="35"/>
    </row>
    <row r="30" spans="1:6">
      <c r="B30" s="218" t="s">
        <v>1010</v>
      </c>
      <c r="C30" s="35"/>
    </row>
    <row r="31" spans="1:6">
      <c r="B31" s="32" t="s">
        <v>994</v>
      </c>
      <c r="C31" s="35" t="s">
        <v>40</v>
      </c>
      <c r="D31" s="24">
        <v>73</v>
      </c>
      <c r="E31" s="24">
        <v>180</v>
      </c>
      <c r="F31" s="28">
        <f>D31*E31</f>
        <v>13140</v>
      </c>
    </row>
    <row r="32" spans="1:6">
      <c r="B32" s="32" t="s">
        <v>1005</v>
      </c>
      <c r="C32" s="35" t="s">
        <v>36</v>
      </c>
      <c r="D32" s="24">
        <v>589</v>
      </c>
      <c r="E32" s="24">
        <v>50</v>
      </c>
      <c r="F32" s="28">
        <f>D32*E32</f>
        <v>29450</v>
      </c>
    </row>
    <row r="33" spans="1:6">
      <c r="B33" s="218"/>
      <c r="C33" s="35"/>
    </row>
    <row r="34" spans="1:6">
      <c r="A34" s="21" t="s">
        <v>23</v>
      </c>
      <c r="B34" s="213" t="s">
        <v>1011</v>
      </c>
      <c r="C34" s="35"/>
    </row>
    <row r="35" spans="1:6" ht="148.19999999999999">
      <c r="B35" s="32" t="s">
        <v>2453</v>
      </c>
      <c r="C35" s="35"/>
    </row>
    <row r="36" spans="1:6">
      <c r="B36" s="32" t="s">
        <v>994</v>
      </c>
      <c r="C36" s="35" t="s">
        <v>40</v>
      </c>
      <c r="D36" s="24">
        <v>47</v>
      </c>
      <c r="E36" s="24">
        <v>250</v>
      </c>
      <c r="F36" s="28">
        <f>D36*E36</f>
        <v>11750</v>
      </c>
    </row>
    <row r="37" spans="1:6">
      <c r="B37" s="32" t="s">
        <v>1005</v>
      </c>
      <c r="C37" s="35" t="s">
        <v>36</v>
      </c>
      <c r="D37" s="24">
        <v>404</v>
      </c>
      <c r="E37" s="24">
        <v>60</v>
      </c>
      <c r="F37" s="28">
        <f>D37*E37</f>
        <v>24240</v>
      </c>
    </row>
    <row r="38" spans="1:6">
      <c r="B38" s="32"/>
      <c r="C38" s="35"/>
      <c r="F38" s="28"/>
    </row>
    <row r="39" spans="1:6">
      <c r="B39" s="32"/>
      <c r="C39" s="35"/>
      <c r="F39" s="28"/>
    </row>
    <row r="40" spans="1:6">
      <c r="A40" s="21" t="s">
        <v>32</v>
      </c>
      <c r="B40" s="213" t="s">
        <v>1012</v>
      </c>
      <c r="C40" s="35"/>
    </row>
    <row r="41" spans="1:6" ht="171">
      <c r="B41" s="32" t="s">
        <v>2454</v>
      </c>
      <c r="C41" s="35"/>
    </row>
    <row r="42" spans="1:6">
      <c r="B42" s="32" t="s">
        <v>994</v>
      </c>
      <c r="C42" s="35" t="s">
        <v>40</v>
      </c>
      <c r="D42" s="24">
        <v>36</v>
      </c>
      <c r="E42" s="24">
        <v>250</v>
      </c>
      <c r="F42" s="28">
        <f>D42*E42</f>
        <v>9000</v>
      </c>
    </row>
    <row r="43" spans="1:6">
      <c r="B43" s="32" t="s">
        <v>1005</v>
      </c>
      <c r="C43" s="35" t="s">
        <v>36</v>
      </c>
      <c r="D43" s="24">
        <v>145</v>
      </c>
      <c r="E43" s="24">
        <v>70</v>
      </c>
      <c r="F43" s="28">
        <f>D43*E43</f>
        <v>10150</v>
      </c>
    </row>
    <row r="44" spans="1:6">
      <c r="B44" s="32"/>
      <c r="C44" s="35"/>
      <c r="F44" s="28"/>
    </row>
    <row r="45" spans="1:6">
      <c r="A45" s="21" t="s">
        <v>34</v>
      </c>
      <c r="B45" s="31" t="s">
        <v>1013</v>
      </c>
      <c r="C45" s="25"/>
      <c r="D45" s="24"/>
      <c r="E45" s="25"/>
    </row>
    <row r="46" spans="1:6" ht="136.80000000000001">
      <c r="B46" s="32" t="s">
        <v>2455</v>
      </c>
      <c r="C46" s="25"/>
      <c r="D46" s="24"/>
      <c r="E46" s="25"/>
    </row>
    <row r="47" spans="1:6">
      <c r="B47" s="32" t="s">
        <v>1014</v>
      </c>
      <c r="C47" s="35" t="s">
        <v>40</v>
      </c>
      <c r="D47" s="24">
        <v>6</v>
      </c>
      <c r="E47" s="987">
        <v>300</v>
      </c>
      <c r="F47" s="28">
        <f>D47*E47</f>
        <v>1800</v>
      </c>
    </row>
    <row r="48" spans="1:6">
      <c r="B48" s="32" t="s">
        <v>1002</v>
      </c>
      <c r="C48" s="35" t="s">
        <v>36</v>
      </c>
      <c r="D48" s="24">
        <v>30</v>
      </c>
      <c r="E48" s="987">
        <v>100</v>
      </c>
      <c r="F48" s="28">
        <f>D48*E48</f>
        <v>3000</v>
      </c>
    </row>
    <row r="49" spans="1:6">
      <c r="B49" s="33"/>
      <c r="C49" s="988"/>
    </row>
    <row r="50" spans="1:6">
      <c r="A50" s="21" t="s">
        <v>35</v>
      </c>
      <c r="B50" s="213" t="s">
        <v>55</v>
      </c>
      <c r="C50" s="35"/>
    </row>
    <row r="51" spans="1:6" ht="57">
      <c r="B51" s="33" t="s">
        <v>56</v>
      </c>
      <c r="C51" s="35"/>
    </row>
    <row r="52" spans="1:6">
      <c r="B52" s="33" t="s">
        <v>57</v>
      </c>
      <c r="C52" s="35" t="s">
        <v>40</v>
      </c>
      <c r="D52" s="24">
        <v>206</v>
      </c>
      <c r="E52" s="24">
        <v>160</v>
      </c>
      <c r="F52" s="28">
        <f>D52*E52</f>
        <v>32960</v>
      </c>
    </row>
    <row r="53" spans="1:6">
      <c r="B53" s="32"/>
      <c r="C53" s="35"/>
    </row>
    <row r="54" spans="1:6">
      <c r="A54" s="21" t="s">
        <v>252</v>
      </c>
      <c r="B54" s="22" t="s">
        <v>209</v>
      </c>
      <c r="C54" s="35"/>
    </row>
    <row r="55" spans="1:6" ht="68.400000000000006">
      <c r="B55" s="32" t="s">
        <v>329</v>
      </c>
      <c r="C55" s="35"/>
    </row>
    <row r="56" spans="1:6">
      <c r="B56" s="32" t="s">
        <v>1000</v>
      </c>
      <c r="C56" s="35" t="s">
        <v>40</v>
      </c>
      <c r="D56" s="24">
        <v>280</v>
      </c>
      <c r="E56" s="24">
        <v>170</v>
      </c>
      <c r="F56" s="28">
        <f>D56*E56</f>
        <v>47600</v>
      </c>
    </row>
    <row r="57" spans="1:6">
      <c r="B57" s="32"/>
      <c r="C57" s="35"/>
    </row>
    <row r="58" spans="1:6">
      <c r="A58" s="21" t="s">
        <v>266</v>
      </c>
      <c r="B58" s="22" t="s">
        <v>379</v>
      </c>
      <c r="C58" s="35"/>
    </row>
    <row r="59" spans="1:6" ht="159.6">
      <c r="B59" s="32" t="s">
        <v>989</v>
      </c>
      <c r="C59" s="35"/>
    </row>
    <row r="60" spans="1:6">
      <c r="B60" s="32" t="s">
        <v>990</v>
      </c>
      <c r="C60" s="35" t="s">
        <v>40</v>
      </c>
      <c r="D60" s="24">
        <v>89</v>
      </c>
      <c r="E60" s="24">
        <v>190</v>
      </c>
      <c r="F60" s="28">
        <f>D60*E60</f>
        <v>16910</v>
      </c>
    </row>
    <row r="61" spans="1:6">
      <c r="B61" s="32" t="s">
        <v>992</v>
      </c>
      <c r="C61" s="35" t="s">
        <v>36</v>
      </c>
      <c r="D61" s="24">
        <v>412</v>
      </c>
      <c r="E61" s="24">
        <v>40</v>
      </c>
      <c r="F61" s="28">
        <f>D61*E61</f>
        <v>16480</v>
      </c>
    </row>
    <row r="62" spans="1:6">
      <c r="B62" s="32" t="s">
        <v>991</v>
      </c>
      <c r="C62" s="35" t="s">
        <v>40</v>
      </c>
      <c r="D62" s="24">
        <v>149</v>
      </c>
      <c r="E62" s="24">
        <v>180</v>
      </c>
      <c r="F62" s="28">
        <f>D62*E62</f>
        <v>26820</v>
      </c>
    </row>
    <row r="63" spans="1:6">
      <c r="B63" s="32" t="s">
        <v>993</v>
      </c>
      <c r="C63" s="35" t="s">
        <v>36</v>
      </c>
      <c r="D63" s="24">
        <v>913</v>
      </c>
      <c r="E63" s="24">
        <v>40</v>
      </c>
      <c r="F63" s="28">
        <f>D63*E63</f>
        <v>36520</v>
      </c>
    </row>
    <row r="64" spans="1:6">
      <c r="B64" s="32"/>
      <c r="C64" s="35"/>
    </row>
    <row r="65" spans="1:6">
      <c r="A65" s="21" t="s">
        <v>267</v>
      </c>
      <c r="B65" s="22" t="s">
        <v>409</v>
      </c>
      <c r="C65" s="35"/>
    </row>
    <row r="66" spans="1:6" ht="182.4">
      <c r="B66" s="32" t="s">
        <v>2456</v>
      </c>
      <c r="C66" s="35"/>
    </row>
    <row r="67" spans="1:6">
      <c r="B67" s="32" t="s">
        <v>994</v>
      </c>
      <c r="C67" s="35" t="s">
        <v>40</v>
      </c>
      <c r="D67" s="24">
        <v>28</v>
      </c>
      <c r="E67" s="24">
        <v>200</v>
      </c>
      <c r="F67" s="28">
        <f>D67*E67</f>
        <v>5600</v>
      </c>
    </row>
    <row r="68" spans="1:6">
      <c r="B68" s="32" t="s">
        <v>999</v>
      </c>
      <c r="C68" s="35" t="s">
        <v>36</v>
      </c>
      <c r="D68" s="24">
        <v>35</v>
      </c>
      <c r="E68" s="24">
        <v>50</v>
      </c>
      <c r="F68" s="28">
        <f>D68*E68</f>
        <v>1750</v>
      </c>
    </row>
    <row r="69" spans="1:6">
      <c r="B69" s="32"/>
      <c r="C69" s="35"/>
    </row>
    <row r="70" spans="1:6" ht="34.200000000000003">
      <c r="A70" s="21" t="s">
        <v>268</v>
      </c>
      <c r="B70" s="32" t="s">
        <v>253</v>
      </c>
      <c r="C70" s="35"/>
    </row>
    <row r="71" spans="1:6">
      <c r="B71" s="32"/>
      <c r="C71" s="35"/>
    </row>
    <row r="72" spans="1:6">
      <c r="B72" s="989" t="s">
        <v>1015</v>
      </c>
      <c r="C72" s="35" t="s">
        <v>53</v>
      </c>
      <c r="D72" s="24">
        <v>226230</v>
      </c>
      <c r="E72" s="24">
        <v>1.5</v>
      </c>
      <c r="F72" s="28">
        <f>D72*E72</f>
        <v>339345</v>
      </c>
    </row>
    <row r="73" spans="1:6" ht="13.8" thickBot="1">
      <c r="A73" s="990"/>
      <c r="B73" s="991"/>
      <c r="C73" s="992"/>
      <c r="F73" s="993"/>
    </row>
    <row r="74" spans="1:6" ht="13.8" thickTop="1">
      <c r="A74" s="220" t="str">
        <f>A2</f>
        <v>IV</v>
      </c>
      <c r="B74" s="204" t="str">
        <f>B2</f>
        <v>BETONSKI I ARMIRANOBETONSKI RADOVI</v>
      </c>
      <c r="C74" s="221" t="s">
        <v>38</v>
      </c>
      <c r="D74" s="994"/>
      <c r="E74" s="206"/>
      <c r="F74" s="207">
        <f>SUM(F4:F73)</f>
        <v>1113493.8</v>
      </c>
    </row>
  </sheetData>
  <sheetProtection selectLockedCells="1" selectUnlockedCells="1"/>
  <pageMargins left="0.71" right="0.71" top="1.3" bottom="0.75" header="0.51" footer="0.31"/>
  <pageSetup paperSize="9" scale="94" orientation="portrait" r:id="rId1"/>
  <headerFooter alignWithMargins="0">
    <oddFooter>&amp;R&amp;P</oddFooter>
  </headerFooter>
  <rowBreaks count="3" manualBreakCount="3">
    <brk id="18" max="16383" man="1"/>
    <brk id="39" max="16383" man="1"/>
    <brk id="5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39"/>
  <sheetViews>
    <sheetView topLeftCell="A9" zoomScaleNormal="100" zoomScaleSheetLayoutView="100" workbookViewId="0">
      <selection activeCell="E11" sqref="E11"/>
    </sheetView>
  </sheetViews>
  <sheetFormatPr defaultColWidth="9.21875" defaultRowHeight="12"/>
  <cols>
    <col min="1" max="1" width="3.5546875" style="222" customWidth="1"/>
    <col min="2" max="2" width="47.21875" style="226" customWidth="1"/>
    <col min="3" max="3" width="8" style="25" bestFit="1" customWidth="1"/>
    <col min="4" max="4" width="7.21875" style="24" bestFit="1" customWidth="1"/>
    <col min="5" max="5" width="9.21875" style="24" bestFit="1" customWidth="1"/>
    <col min="6" max="6" width="13.21875" style="229" customWidth="1"/>
    <col min="7" max="16384" width="9.21875" style="25"/>
  </cols>
  <sheetData>
    <row r="2" spans="1:6" s="26" customFormat="1">
      <c r="A2" s="222" t="s">
        <v>50</v>
      </c>
      <c r="B2" s="30" t="s">
        <v>59</v>
      </c>
      <c r="D2" s="27"/>
      <c r="E2" s="27"/>
      <c r="F2" s="223"/>
    </row>
    <row r="3" spans="1:6" ht="11.4">
      <c r="A3" s="995"/>
      <c r="B3" s="996"/>
      <c r="C3" s="997"/>
      <c r="D3" s="997"/>
      <c r="E3" s="997"/>
      <c r="F3" s="997"/>
    </row>
    <row r="4" spans="1:6" s="26" customFormat="1">
      <c r="A4" s="44" t="s">
        <v>8</v>
      </c>
      <c r="B4" s="30" t="s">
        <v>1016</v>
      </c>
      <c r="C4" s="35"/>
      <c r="D4" s="34"/>
      <c r="E4" s="34"/>
      <c r="F4" s="34"/>
    </row>
    <row r="5" spans="1:6" s="26" customFormat="1" ht="136.80000000000001">
      <c r="A5" s="44"/>
      <c r="B5" s="998" t="s">
        <v>1017</v>
      </c>
      <c r="C5" s="35"/>
      <c r="D5" s="34"/>
      <c r="E5" s="34"/>
      <c r="F5" s="34"/>
    </row>
    <row r="6" spans="1:6" s="26" customFormat="1">
      <c r="A6" s="44"/>
      <c r="B6" s="29"/>
      <c r="C6" s="35" t="s">
        <v>40</v>
      </c>
      <c r="D6" s="34">
        <v>394</v>
      </c>
      <c r="E6" s="45">
        <v>250</v>
      </c>
      <c r="F6" s="28">
        <f>D6*E6</f>
        <v>98500</v>
      </c>
    </row>
    <row r="7" spans="1:6" s="26" customFormat="1">
      <c r="A7" s="44"/>
      <c r="B7" s="33"/>
      <c r="C7" s="35"/>
      <c r="D7" s="34"/>
      <c r="E7" s="34"/>
      <c r="F7" s="28"/>
    </row>
    <row r="8" spans="1:6" s="26" customFormat="1">
      <c r="A8" s="44" t="s">
        <v>11</v>
      </c>
      <c r="B8" s="30" t="s">
        <v>1018</v>
      </c>
      <c r="C8" s="35"/>
      <c r="D8" s="34"/>
      <c r="E8" s="34"/>
      <c r="F8" s="34"/>
    </row>
    <row r="9" spans="1:6" s="26" customFormat="1" ht="91.2">
      <c r="A9" s="44"/>
      <c r="B9" s="998" t="s">
        <v>1019</v>
      </c>
      <c r="C9" s="35"/>
      <c r="D9" s="34"/>
      <c r="E9" s="34"/>
      <c r="F9" s="34"/>
    </row>
    <row r="10" spans="1:6" s="26" customFormat="1">
      <c r="A10" s="44"/>
      <c r="B10" s="29"/>
      <c r="C10" s="35" t="s">
        <v>36</v>
      </c>
      <c r="D10" s="34">
        <v>2997</v>
      </c>
      <c r="E10" s="45">
        <v>15</v>
      </c>
      <c r="F10" s="28">
        <f>D10*E10</f>
        <v>44955</v>
      </c>
    </row>
    <row r="11" spans="1:6" s="26" customFormat="1">
      <c r="A11" s="222"/>
      <c r="B11" s="224"/>
      <c r="D11" s="27"/>
      <c r="E11" s="27"/>
      <c r="F11" s="223"/>
    </row>
    <row r="12" spans="1:6" s="26" customFormat="1">
      <c r="A12" s="44" t="s">
        <v>12</v>
      </c>
      <c r="B12" s="213" t="s">
        <v>60</v>
      </c>
      <c r="C12" s="35"/>
      <c r="D12" s="34"/>
      <c r="E12" s="34"/>
      <c r="F12" s="28"/>
    </row>
    <row r="13" spans="1:6" s="26" customFormat="1" ht="115.8">
      <c r="A13" s="25"/>
      <c r="B13" s="225" t="s">
        <v>330</v>
      </c>
      <c r="C13" s="35"/>
      <c r="D13" s="34"/>
      <c r="E13" s="34"/>
      <c r="F13" s="28"/>
    </row>
    <row r="14" spans="1:6" s="26" customFormat="1" ht="34.200000000000003">
      <c r="A14" s="44"/>
      <c r="B14" s="33" t="s">
        <v>169</v>
      </c>
      <c r="C14" s="35"/>
      <c r="D14" s="34"/>
      <c r="E14" s="34"/>
      <c r="F14" s="28"/>
    </row>
    <row r="15" spans="1:6" s="26" customFormat="1" ht="68.400000000000006">
      <c r="A15" s="44"/>
      <c r="B15" s="33" t="s">
        <v>185</v>
      </c>
      <c r="C15" s="35"/>
      <c r="D15" s="34"/>
      <c r="E15" s="34"/>
      <c r="F15" s="28"/>
    </row>
    <row r="16" spans="1:6" s="26" customFormat="1" ht="57">
      <c r="A16" s="44"/>
      <c r="B16" s="32" t="s">
        <v>248</v>
      </c>
      <c r="C16" s="35"/>
      <c r="D16" s="34"/>
      <c r="E16" s="34"/>
      <c r="F16" s="28"/>
    </row>
    <row r="17" spans="1:6" s="26" customFormat="1">
      <c r="A17" s="44"/>
      <c r="B17" s="33" t="s">
        <v>1020</v>
      </c>
      <c r="C17" s="35" t="s">
        <v>36</v>
      </c>
      <c r="D17" s="34">
        <v>1015</v>
      </c>
      <c r="E17" s="34">
        <v>16</v>
      </c>
      <c r="F17" s="28">
        <f>D17*E17</f>
        <v>16240</v>
      </c>
    </row>
    <row r="18" spans="1:6" s="26" customFormat="1">
      <c r="A18" s="44"/>
      <c r="B18" s="33" t="s">
        <v>1021</v>
      </c>
      <c r="C18" s="35" t="s">
        <v>36</v>
      </c>
      <c r="D18" s="34">
        <v>374</v>
      </c>
      <c r="E18" s="34">
        <v>16</v>
      </c>
      <c r="F18" s="28">
        <f>D18*E18</f>
        <v>5984</v>
      </c>
    </row>
    <row r="19" spans="1:6" s="26" customFormat="1">
      <c r="A19" s="44"/>
      <c r="B19" s="33" t="s">
        <v>1022</v>
      </c>
      <c r="C19" s="35" t="s">
        <v>36</v>
      </c>
      <c r="D19" s="34">
        <v>412</v>
      </c>
      <c r="E19" s="34">
        <v>18</v>
      </c>
      <c r="F19" s="28">
        <f>D19*E19</f>
        <v>7416</v>
      </c>
    </row>
    <row r="20" spans="1:6" s="26" customFormat="1">
      <c r="A20" s="44"/>
      <c r="B20" s="33"/>
      <c r="C20" s="35"/>
      <c r="D20" s="999"/>
      <c r="E20" s="34"/>
      <c r="F20" s="28"/>
    </row>
    <row r="21" spans="1:6" s="26" customFormat="1">
      <c r="A21" s="44"/>
      <c r="B21" s="33"/>
      <c r="C21" s="35"/>
      <c r="D21" s="34"/>
      <c r="E21" s="34"/>
      <c r="F21" s="28"/>
    </row>
    <row r="22" spans="1:6" s="26" customFormat="1">
      <c r="A22" s="44" t="s">
        <v>16</v>
      </c>
      <c r="B22" s="30" t="s">
        <v>61</v>
      </c>
      <c r="C22" s="35"/>
      <c r="D22" s="34"/>
      <c r="E22" s="34"/>
      <c r="F22" s="34"/>
    </row>
    <row r="23" spans="1:6" s="26" customFormat="1" ht="68.400000000000006">
      <c r="A23" s="44"/>
      <c r="B23" s="29" t="s">
        <v>62</v>
      </c>
      <c r="C23" s="35"/>
      <c r="D23" s="34"/>
      <c r="E23" s="34"/>
      <c r="F23" s="34"/>
    </row>
    <row r="24" spans="1:6" s="26" customFormat="1">
      <c r="A24" s="44"/>
      <c r="B24" s="29" t="s">
        <v>63</v>
      </c>
      <c r="C24" s="35" t="s">
        <v>31</v>
      </c>
      <c r="D24" s="34">
        <v>40</v>
      </c>
      <c r="E24" s="34">
        <v>40</v>
      </c>
      <c r="F24" s="28">
        <f>D24*E24</f>
        <v>1600</v>
      </c>
    </row>
    <row r="25" spans="1:6" s="26" customFormat="1">
      <c r="A25" s="44"/>
      <c r="B25" s="33"/>
      <c r="C25" s="35"/>
      <c r="D25" s="34"/>
      <c r="E25" s="34"/>
      <c r="F25" s="28"/>
    </row>
    <row r="26" spans="1:6" s="26" customFormat="1">
      <c r="A26" s="44" t="s">
        <v>18</v>
      </c>
      <c r="B26" s="213" t="s">
        <v>331</v>
      </c>
      <c r="C26" s="35"/>
      <c r="D26" s="34"/>
      <c r="E26" s="34"/>
      <c r="F26" s="28"/>
    </row>
    <row r="27" spans="1:6" s="26" customFormat="1" ht="45.6">
      <c r="A27" s="44"/>
      <c r="B27" s="33" t="s">
        <v>332</v>
      </c>
      <c r="C27" s="35"/>
      <c r="D27" s="34"/>
      <c r="E27" s="34"/>
      <c r="F27" s="28"/>
    </row>
    <row r="28" spans="1:6" s="26" customFormat="1">
      <c r="A28" s="44"/>
      <c r="B28" s="33"/>
      <c r="C28" s="35" t="s">
        <v>33</v>
      </c>
      <c r="D28" s="34">
        <v>250</v>
      </c>
      <c r="E28" s="34">
        <v>20</v>
      </c>
      <c r="F28" s="28">
        <f>D28*E28</f>
        <v>5000</v>
      </c>
    </row>
    <row r="29" spans="1:6" s="26" customFormat="1">
      <c r="A29" s="44"/>
      <c r="B29" s="33"/>
      <c r="C29" s="35"/>
      <c r="D29" s="34"/>
      <c r="E29" s="34"/>
      <c r="F29" s="28"/>
    </row>
    <row r="30" spans="1:6" s="26" customFormat="1">
      <c r="A30" s="44" t="s">
        <v>23</v>
      </c>
      <c r="B30" s="213" t="s">
        <v>333</v>
      </c>
      <c r="C30" s="35"/>
      <c r="D30" s="34"/>
      <c r="E30" s="34"/>
      <c r="F30" s="28"/>
    </row>
    <row r="31" spans="1:6" s="26" customFormat="1" ht="79.8">
      <c r="A31" s="44"/>
      <c r="B31" s="33" t="s">
        <v>2344</v>
      </c>
      <c r="C31" s="35"/>
      <c r="D31" s="34"/>
      <c r="E31" s="34"/>
      <c r="F31" s="28"/>
    </row>
    <row r="32" spans="1:6" s="26" customFormat="1">
      <c r="A32" s="44"/>
      <c r="B32" s="226" t="s">
        <v>2345</v>
      </c>
      <c r="C32" s="35" t="s">
        <v>31</v>
      </c>
      <c r="D32" s="34">
        <v>15</v>
      </c>
      <c r="E32" s="34">
        <v>50</v>
      </c>
      <c r="F32" s="28">
        <f>D32*E32</f>
        <v>750</v>
      </c>
    </row>
    <row r="33" spans="1:6" s="26" customFormat="1">
      <c r="A33" s="44"/>
      <c r="B33" s="226" t="s">
        <v>2346</v>
      </c>
      <c r="C33" s="35" t="s">
        <v>31</v>
      </c>
      <c r="D33" s="34">
        <v>35</v>
      </c>
      <c r="E33" s="34">
        <v>50</v>
      </c>
      <c r="F33" s="28">
        <f>D33*E33</f>
        <v>1750</v>
      </c>
    </row>
    <row r="34" spans="1:6" s="26" customFormat="1">
      <c r="A34" s="44"/>
      <c r="B34" s="33"/>
      <c r="C34" s="35"/>
      <c r="D34" s="34"/>
      <c r="E34" s="34"/>
      <c r="F34" s="28"/>
    </row>
    <row r="35" spans="1:6" s="26" customFormat="1">
      <c r="A35" s="44" t="s">
        <v>32</v>
      </c>
      <c r="B35" s="213" t="s">
        <v>211</v>
      </c>
      <c r="C35" s="35"/>
      <c r="D35" s="34"/>
      <c r="E35" s="34"/>
      <c r="F35" s="28"/>
    </row>
    <row r="36" spans="1:6" s="26" customFormat="1" ht="45.6">
      <c r="A36" s="44"/>
      <c r="B36" s="186" t="s">
        <v>212</v>
      </c>
      <c r="C36" s="35"/>
      <c r="D36" s="34"/>
      <c r="E36" s="34"/>
      <c r="F36" s="28"/>
    </row>
    <row r="37" spans="1:6" s="26" customFormat="1">
      <c r="A37" s="44"/>
      <c r="B37" s="33"/>
      <c r="C37" s="35" t="s">
        <v>40</v>
      </c>
      <c r="D37" s="34">
        <v>95</v>
      </c>
      <c r="E37" s="34">
        <v>250</v>
      </c>
      <c r="F37" s="28">
        <f>D37*E37</f>
        <v>23750</v>
      </c>
    </row>
    <row r="38" spans="1:6" s="26" customFormat="1">
      <c r="A38" s="44"/>
      <c r="B38" s="33"/>
      <c r="C38" s="35"/>
      <c r="D38" s="34"/>
      <c r="E38" s="34"/>
      <c r="F38" s="28"/>
    </row>
    <row r="39" spans="1:6">
      <c r="A39" s="222" t="str">
        <f>A2</f>
        <v>V</v>
      </c>
      <c r="B39" s="1000" t="str">
        <f>B2</f>
        <v>ZIDARSKI RADOVI</v>
      </c>
      <c r="C39" s="227" t="s">
        <v>38</v>
      </c>
      <c r="D39" s="228"/>
      <c r="E39" s="228"/>
      <c r="F39" s="1001">
        <f>SUM(F1:F38)</f>
        <v>205945</v>
      </c>
    </row>
  </sheetData>
  <sheetProtection selectLockedCells="1" selectUnlockedCells="1"/>
  <pageMargins left="0.71" right="0.71" top="0.75" bottom="0.75" header="0.51" footer="0.31"/>
  <pageSetup paperSize="9" orientation="portrait" r:id="rId1"/>
  <headerFooter alignWithMargins="0">
    <oddFooter>&amp;R&amp;P</oddFooter>
  </headerFooter>
  <rowBreaks count="1" manualBreakCount="1">
    <brk id="34"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6"/>
  <sheetViews>
    <sheetView topLeftCell="A21" zoomScaleNormal="100" zoomScaleSheetLayoutView="100" workbookViewId="0">
      <selection activeCell="E7" sqref="E7"/>
    </sheetView>
  </sheetViews>
  <sheetFormatPr defaultColWidth="9.21875" defaultRowHeight="12"/>
  <cols>
    <col min="1" max="1" width="3.5546875" style="21" customWidth="1"/>
    <col min="2" max="2" width="46.77734375" style="186" customWidth="1"/>
    <col min="3" max="3" width="6.5546875" style="25" customWidth="1"/>
    <col min="4" max="4" width="7.21875" style="24" bestFit="1" customWidth="1"/>
    <col min="5" max="5" width="9.77734375" style="24" customWidth="1"/>
    <col min="6" max="6" width="12.77734375" style="231" bestFit="1" customWidth="1"/>
    <col min="7" max="16384" width="9.21875" style="25"/>
  </cols>
  <sheetData>
    <row r="1" spans="1:6">
      <c r="F1" s="24"/>
    </row>
    <row r="2" spans="1:6" s="26" customFormat="1">
      <c r="A2" s="21" t="s">
        <v>58</v>
      </c>
      <c r="B2" s="22" t="s">
        <v>65</v>
      </c>
      <c r="D2" s="27"/>
      <c r="E2" s="27"/>
      <c r="F2" s="27"/>
    </row>
    <row r="3" spans="1:6" s="26" customFormat="1">
      <c r="A3" s="21"/>
      <c r="B3" s="22"/>
      <c r="D3" s="27"/>
      <c r="E3" s="27"/>
      <c r="F3" s="27"/>
    </row>
    <row r="4" spans="1:6" s="26" customFormat="1">
      <c r="A4" s="21" t="s">
        <v>8</v>
      </c>
      <c r="B4" s="22" t="s">
        <v>1023</v>
      </c>
      <c r="C4" s="190"/>
      <c r="D4" s="24"/>
      <c r="E4" s="24"/>
      <c r="F4" s="24"/>
    </row>
    <row r="5" spans="1:6" s="26" customFormat="1" ht="103.2">
      <c r="A5" s="21"/>
      <c r="B5" s="1002" t="s">
        <v>1024</v>
      </c>
      <c r="C5" s="210"/>
      <c r="D5" s="24"/>
      <c r="E5" s="24"/>
      <c r="F5" s="24"/>
    </row>
    <row r="6" spans="1:6" s="26" customFormat="1">
      <c r="A6" s="21"/>
      <c r="B6" s="1003" t="s">
        <v>1025</v>
      </c>
      <c r="C6" s="210" t="s">
        <v>66</v>
      </c>
      <c r="D6" s="24">
        <v>1596</v>
      </c>
      <c r="E6" s="24">
        <v>27</v>
      </c>
      <c r="F6" s="28">
        <f>D6*E6</f>
        <v>43092</v>
      </c>
    </row>
    <row r="7" spans="1:6" s="26" customFormat="1">
      <c r="A7" s="21"/>
      <c r="B7" s="186"/>
      <c r="C7" s="190"/>
      <c r="D7" s="24"/>
      <c r="E7" s="24"/>
      <c r="F7" s="24"/>
    </row>
    <row r="8" spans="1:6" s="26" customFormat="1" ht="24">
      <c r="A8" s="21" t="s">
        <v>11</v>
      </c>
      <c r="B8" s="1004" t="s">
        <v>335</v>
      </c>
      <c r="C8" s="1005"/>
      <c r="D8" s="24"/>
      <c r="E8" s="24"/>
      <c r="F8" s="24"/>
    </row>
    <row r="9" spans="1:6" s="26" customFormat="1" ht="193.8">
      <c r="A9" s="21"/>
      <c r="B9" s="230" t="s">
        <v>334</v>
      </c>
      <c r="C9" s="1005"/>
      <c r="D9" s="24"/>
      <c r="E9" s="24"/>
      <c r="F9" s="24"/>
    </row>
    <row r="10" spans="1:6" s="26" customFormat="1">
      <c r="A10" s="21"/>
      <c r="B10" s="1003" t="s">
        <v>67</v>
      </c>
      <c r="C10" s="1005"/>
      <c r="D10" s="24"/>
      <c r="E10" s="24"/>
      <c r="F10" s="24"/>
    </row>
    <row r="11" spans="1:6" s="26" customFormat="1">
      <c r="A11" s="21"/>
      <c r="B11" s="1003" t="s">
        <v>68</v>
      </c>
      <c r="C11" s="1005"/>
      <c r="D11" s="24"/>
      <c r="E11" s="24"/>
      <c r="F11" s="24"/>
    </row>
    <row r="12" spans="1:6" s="26" customFormat="1" ht="13.5" customHeight="1">
      <c r="A12" s="21"/>
      <c r="B12" s="1006" t="s">
        <v>1028</v>
      </c>
      <c r="C12" s="210" t="s">
        <v>36</v>
      </c>
      <c r="D12" s="24">
        <v>145</v>
      </c>
      <c r="E12" s="24">
        <v>26</v>
      </c>
      <c r="F12" s="28">
        <f>D12*E12</f>
        <v>3770</v>
      </c>
    </row>
    <row r="13" spans="1:6" s="26" customFormat="1">
      <c r="A13" s="21"/>
      <c r="B13" s="32" t="s">
        <v>1026</v>
      </c>
      <c r="C13" s="210" t="s">
        <v>36</v>
      </c>
      <c r="D13" s="24">
        <v>196</v>
      </c>
      <c r="E13" s="24">
        <v>26</v>
      </c>
      <c r="F13" s="28">
        <f>D13*E13</f>
        <v>5096</v>
      </c>
    </row>
    <row r="14" spans="1:6" s="26" customFormat="1">
      <c r="A14" s="21"/>
      <c r="B14" s="32" t="s">
        <v>1027</v>
      </c>
      <c r="C14" s="210" t="s">
        <v>36</v>
      </c>
      <c r="D14" s="24">
        <v>392</v>
      </c>
      <c r="E14" s="24">
        <v>26</v>
      </c>
      <c r="F14" s="28">
        <f>D14*E14</f>
        <v>10192</v>
      </c>
    </row>
    <row r="15" spans="1:6" s="26" customFormat="1">
      <c r="A15" s="21"/>
      <c r="B15" s="32"/>
      <c r="C15" s="25"/>
      <c r="D15" s="24"/>
      <c r="E15" s="231"/>
      <c r="F15" s="24"/>
    </row>
    <row r="16" spans="1:6" s="26" customFormat="1">
      <c r="A16" s="21" t="s">
        <v>12</v>
      </c>
      <c r="B16" s="40" t="s">
        <v>703</v>
      </c>
      <c r="C16" s="25"/>
      <c r="D16" s="24"/>
      <c r="E16" s="24"/>
      <c r="F16" s="24"/>
    </row>
    <row r="17" spans="1:6" s="26" customFormat="1" ht="57">
      <c r="A17" s="21"/>
      <c r="B17" s="230" t="s">
        <v>2370</v>
      </c>
      <c r="C17" s="25"/>
      <c r="D17" s="219"/>
      <c r="E17" s="24"/>
      <c r="F17" s="24"/>
    </row>
    <row r="18" spans="1:6" s="26" customFormat="1" ht="337.05" customHeight="1">
      <c r="A18" s="21"/>
      <c r="B18" s="230" t="s">
        <v>156</v>
      </c>
      <c r="C18" s="25"/>
      <c r="D18" s="24"/>
      <c r="E18" s="24"/>
      <c r="F18" s="24"/>
    </row>
    <row r="19" spans="1:6" s="26" customFormat="1">
      <c r="A19" s="21"/>
      <c r="B19" s="230"/>
      <c r="C19" s="25"/>
      <c r="D19" s="24"/>
      <c r="E19" s="24"/>
      <c r="F19" s="24"/>
    </row>
    <row r="20" spans="1:6" s="26" customFormat="1">
      <c r="A20" s="21"/>
      <c r="B20" s="41" t="s">
        <v>69</v>
      </c>
      <c r="F20" s="27"/>
    </row>
    <row r="21" spans="1:6" s="26" customFormat="1">
      <c r="A21" s="21"/>
      <c r="B21" s="32" t="s">
        <v>1029</v>
      </c>
      <c r="C21" s="25" t="s">
        <v>36</v>
      </c>
      <c r="D21" s="24">
        <v>227</v>
      </c>
      <c r="E21" s="24">
        <v>20</v>
      </c>
      <c r="F21" s="28">
        <f>D21*E21</f>
        <v>4540</v>
      </c>
    </row>
    <row r="22" spans="1:6" s="26" customFormat="1">
      <c r="A22" s="21"/>
      <c r="B22" s="32" t="s">
        <v>1030</v>
      </c>
      <c r="C22" s="25" t="s">
        <v>36</v>
      </c>
      <c r="D22" s="24">
        <v>1268</v>
      </c>
      <c r="E22" s="24">
        <v>16</v>
      </c>
      <c r="F22" s="28">
        <f>D22*E22</f>
        <v>20288</v>
      </c>
    </row>
    <row r="23" spans="1:6" s="26" customFormat="1">
      <c r="A23" s="21"/>
      <c r="B23" s="32"/>
      <c r="C23" s="25"/>
      <c r="D23" s="24"/>
      <c r="E23" s="231"/>
      <c r="F23" s="24"/>
    </row>
    <row r="24" spans="1:6" s="26" customFormat="1">
      <c r="A24" s="21" t="s">
        <v>16</v>
      </c>
      <c r="B24" s="40" t="s">
        <v>187</v>
      </c>
      <c r="C24" s="25"/>
      <c r="D24" s="24"/>
      <c r="E24" s="231"/>
      <c r="F24" s="24"/>
    </row>
    <row r="25" spans="1:6" s="26" customFormat="1" ht="125.4">
      <c r="A25" s="21"/>
      <c r="B25" s="1007" t="s">
        <v>186</v>
      </c>
      <c r="C25" s="25"/>
      <c r="D25" s="24"/>
      <c r="E25" s="231"/>
      <c r="F25" s="24"/>
    </row>
    <row r="26" spans="1:6" s="26" customFormat="1">
      <c r="A26" s="21"/>
      <c r="B26" s="32"/>
      <c r="C26" s="25" t="s">
        <v>36</v>
      </c>
      <c r="D26" s="24">
        <v>1268</v>
      </c>
      <c r="E26" s="24">
        <v>3.5</v>
      </c>
      <c r="F26" s="28">
        <f>D26*E26</f>
        <v>4438</v>
      </c>
    </row>
    <row r="27" spans="1:6" s="26" customFormat="1">
      <c r="A27" s="21"/>
      <c r="B27" s="32"/>
      <c r="C27" s="25"/>
      <c r="D27" s="24"/>
      <c r="E27" s="231"/>
      <c r="F27" s="24"/>
    </row>
    <row r="28" spans="1:6" s="26" customFormat="1">
      <c r="A28" s="21" t="s">
        <v>18</v>
      </c>
      <c r="B28" s="42" t="s">
        <v>189</v>
      </c>
      <c r="C28" s="25"/>
      <c r="D28" s="24"/>
      <c r="E28" s="24"/>
      <c r="F28" s="24"/>
    </row>
    <row r="29" spans="1:6" s="26" customFormat="1" ht="34.200000000000003">
      <c r="A29" s="21"/>
      <c r="B29" s="225" t="s">
        <v>188</v>
      </c>
      <c r="C29" s="25"/>
      <c r="D29" s="24"/>
      <c r="E29" s="24"/>
      <c r="F29" s="24"/>
    </row>
    <row r="30" spans="1:6" s="26" customFormat="1">
      <c r="A30" s="21"/>
      <c r="B30" s="43"/>
      <c r="C30" s="25" t="s">
        <v>36</v>
      </c>
      <c r="D30" s="24">
        <v>1268</v>
      </c>
      <c r="E30" s="24">
        <v>3.5</v>
      </c>
      <c r="F30" s="28">
        <f>D30*E30</f>
        <v>4438</v>
      </c>
    </row>
    <row r="31" spans="1:6" s="26" customFormat="1">
      <c r="A31" s="21"/>
      <c r="B31" s="43"/>
      <c r="C31" s="25"/>
      <c r="D31" s="24"/>
      <c r="E31" s="24"/>
      <c r="F31" s="24"/>
    </row>
    <row r="32" spans="1:6" s="26" customFormat="1">
      <c r="A32" s="21" t="s">
        <v>23</v>
      </c>
      <c r="B32" s="42" t="s">
        <v>191</v>
      </c>
      <c r="C32" s="25"/>
      <c r="D32" s="24"/>
      <c r="E32" s="24"/>
      <c r="F32" s="24"/>
    </row>
    <row r="33" spans="1:6" s="26" customFormat="1" ht="57">
      <c r="A33" s="21"/>
      <c r="B33" s="225" t="s">
        <v>192</v>
      </c>
      <c r="C33" s="25"/>
      <c r="D33" s="24"/>
      <c r="E33" s="24"/>
      <c r="F33" s="24"/>
    </row>
    <row r="34" spans="1:6" s="26" customFormat="1">
      <c r="A34" s="21"/>
      <c r="B34" s="226"/>
      <c r="C34" s="25" t="s">
        <v>36</v>
      </c>
      <c r="D34" s="24">
        <v>294</v>
      </c>
      <c r="E34" s="24">
        <v>6</v>
      </c>
      <c r="F34" s="28">
        <f>D34*E34</f>
        <v>1764</v>
      </c>
    </row>
    <row r="35" spans="1:6" s="26" customFormat="1" ht="12.6" thickBot="1">
      <c r="A35" s="21"/>
      <c r="B35" s="186"/>
      <c r="C35" s="210"/>
      <c r="D35" s="24"/>
      <c r="E35" s="24"/>
      <c r="F35" s="24"/>
    </row>
    <row r="36" spans="1:6" ht="12.6" thickTop="1">
      <c r="A36" s="220" t="str">
        <f>A2</f>
        <v>VI</v>
      </c>
      <c r="B36" s="232" t="str">
        <f>B2</f>
        <v>IZOLATERSKI RADOVI</v>
      </c>
      <c r="C36" s="221" t="s">
        <v>38</v>
      </c>
      <c r="D36" s="233"/>
      <c r="E36" s="233"/>
      <c r="F36" s="207">
        <f>SUM(F5:F34)</f>
        <v>97618</v>
      </c>
    </row>
  </sheetData>
  <sheetProtection selectLockedCells="1" selectUnlockedCells="1"/>
  <pageMargins left="0.75" right="0.75" top="0.98" bottom="0.98" header="0.51" footer="0.51"/>
  <pageSetup paperSize="9" scale="99" orientation="portrait" r:id="rId1"/>
  <headerFooter alignWithMargins="0">
    <oddFooter>&amp;R&amp;P</oddFooter>
  </headerFooter>
  <rowBreaks count="1" manualBreakCount="1">
    <brk id="1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5"/>
  <sheetViews>
    <sheetView topLeftCell="A7" zoomScaleNormal="100" zoomScaleSheetLayoutView="100" workbookViewId="0">
      <selection activeCell="K9" sqref="K9"/>
    </sheetView>
  </sheetViews>
  <sheetFormatPr defaultColWidth="9.21875" defaultRowHeight="12"/>
  <cols>
    <col min="1" max="1" width="3.5546875" style="21" customWidth="1"/>
    <col min="2" max="2" width="51.21875" style="186" customWidth="1"/>
    <col min="3" max="3" width="4.77734375" style="190" customWidth="1"/>
    <col min="4" max="4" width="7.33203125" style="24" bestFit="1" customWidth="1"/>
    <col min="5" max="5" width="8.77734375" style="24" bestFit="1" customWidth="1"/>
    <col min="6" max="6" width="12.21875" style="24" bestFit="1" customWidth="1"/>
    <col min="7" max="16384" width="9.21875" style="25"/>
  </cols>
  <sheetData>
    <row r="1" spans="1:6">
      <c r="C1" s="23"/>
      <c r="D1" s="217"/>
      <c r="E1" s="217"/>
    </row>
    <row r="2" spans="1:6" s="26" customFormat="1">
      <c r="A2" s="21" t="s">
        <v>64</v>
      </c>
      <c r="B2" s="22" t="s">
        <v>190</v>
      </c>
      <c r="C2" s="208"/>
      <c r="D2" s="27"/>
      <c r="E2" s="27"/>
      <c r="F2" s="27"/>
    </row>
    <row r="5" spans="1:6">
      <c r="A5" s="21" t="s">
        <v>8</v>
      </c>
      <c r="B5" s="22" t="s">
        <v>71</v>
      </c>
    </row>
    <row r="6" spans="1:6" ht="57.45" customHeight="1">
      <c r="B6" s="225" t="s">
        <v>704</v>
      </c>
    </row>
    <row r="7" spans="1:6" ht="155.4">
      <c r="B7" s="225" t="s">
        <v>2371</v>
      </c>
    </row>
    <row r="8" spans="1:6" ht="34.200000000000003">
      <c r="B8" s="225" t="s">
        <v>2372</v>
      </c>
    </row>
    <row r="9" spans="1:6" ht="208.2" customHeight="1">
      <c r="B9" s="186" t="s">
        <v>255</v>
      </c>
    </row>
    <row r="10" spans="1:6">
      <c r="B10" s="39" t="s">
        <v>1031</v>
      </c>
      <c r="C10" s="234" t="s">
        <v>36</v>
      </c>
      <c r="D10" s="28">
        <v>1615</v>
      </c>
      <c r="E10" s="28">
        <v>75</v>
      </c>
      <c r="F10" s="28">
        <f>D10*E10</f>
        <v>121125</v>
      </c>
    </row>
    <row r="11" spans="1:6">
      <c r="B11" s="39" t="s">
        <v>1032</v>
      </c>
      <c r="C11" s="234" t="s">
        <v>36</v>
      </c>
      <c r="D11" s="28">
        <v>35</v>
      </c>
      <c r="E11" s="28">
        <v>60</v>
      </c>
      <c r="F11" s="28">
        <f>D11*E11</f>
        <v>2100</v>
      </c>
    </row>
    <row r="12" spans="1:6">
      <c r="B12" s="186" t="s">
        <v>1034</v>
      </c>
      <c r="C12" s="234" t="s">
        <v>36</v>
      </c>
      <c r="D12" s="28">
        <v>142</v>
      </c>
      <c r="E12" s="28">
        <v>100</v>
      </c>
      <c r="F12" s="28">
        <f>D12*E12</f>
        <v>14200</v>
      </c>
    </row>
    <row r="13" spans="1:6">
      <c r="B13" s="186" t="s">
        <v>1033</v>
      </c>
      <c r="C13" s="234" t="s">
        <v>36</v>
      </c>
      <c r="D13" s="28">
        <v>193</v>
      </c>
      <c r="E13" s="28">
        <v>100</v>
      </c>
      <c r="F13" s="28">
        <f>D13*E13</f>
        <v>19300</v>
      </c>
    </row>
    <row r="14" spans="1:6" ht="12.6" thickBot="1">
      <c r="A14" s="194"/>
      <c r="B14" s="33"/>
      <c r="C14" s="35"/>
    </row>
    <row r="15" spans="1:6" ht="12.6" thickTop="1">
      <c r="A15" s="220" t="str">
        <f>A2</f>
        <v>VII</v>
      </c>
      <c r="B15" s="232" t="str">
        <f>B2</f>
        <v>KROV</v>
      </c>
      <c r="C15" s="221" t="s">
        <v>38</v>
      </c>
      <c r="D15" s="221"/>
      <c r="E15" s="206"/>
      <c r="F15" s="207">
        <f>SUM(F4:F14)</f>
        <v>156725</v>
      </c>
    </row>
  </sheetData>
  <sheetProtection selectLockedCells="1" selectUnlockedCells="1"/>
  <pageMargins left="0.98" right="0.39" top="0.39" bottom="1.18" header="0.51" footer="0.31"/>
  <pageSetup paperSize="9" orientation="portrait" r:id="rId1"/>
  <headerFooter alignWithMargins="0">
    <oddFooter>&amp;R&amp;9&amp;P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topLeftCell="A13" zoomScaleNormal="100" zoomScaleSheetLayoutView="100" workbookViewId="0">
      <selection activeCell="E20" sqref="E20"/>
    </sheetView>
  </sheetViews>
  <sheetFormatPr defaultColWidth="9.21875" defaultRowHeight="12"/>
  <cols>
    <col min="1" max="1" width="3.5546875" style="21" customWidth="1"/>
    <col min="2" max="2" width="47.21875" style="38" customWidth="1"/>
    <col min="3" max="3" width="6.5546875" style="25" customWidth="1"/>
    <col min="4" max="4" width="7.44140625" style="24" bestFit="1" customWidth="1"/>
    <col min="5" max="5" width="9.21875" style="24"/>
    <col min="6" max="6" width="13.21875" style="28" customWidth="1"/>
    <col min="7" max="16384" width="9.21875" style="25"/>
  </cols>
  <sheetData>
    <row r="1" spans="1:6">
      <c r="B1" s="268"/>
      <c r="C1" s="23"/>
      <c r="D1" s="23"/>
      <c r="E1" s="187"/>
    </row>
    <row r="2" spans="1:6" s="26" customFormat="1">
      <c r="A2" s="21" t="s">
        <v>70</v>
      </c>
      <c r="B2" s="31" t="s">
        <v>73</v>
      </c>
      <c r="D2" s="27"/>
      <c r="E2" s="27"/>
      <c r="F2" s="223"/>
    </row>
    <row r="3" spans="1:6" s="26" customFormat="1">
      <c r="A3" s="21"/>
      <c r="B3" s="36"/>
      <c r="D3" s="27"/>
      <c r="E3" s="27"/>
      <c r="F3" s="223"/>
    </row>
    <row r="4" spans="1:6">
      <c r="A4" s="21" t="s">
        <v>8</v>
      </c>
      <c r="B4" s="269" t="s">
        <v>157</v>
      </c>
      <c r="C4" s="210"/>
    </row>
    <row r="5" spans="1:6" ht="239.4">
      <c r="B5" s="262" t="s">
        <v>158</v>
      </c>
      <c r="C5" s="210"/>
    </row>
    <row r="6" spans="1:6" ht="79.8">
      <c r="B6" s="262" t="s">
        <v>336</v>
      </c>
      <c r="C6" s="210"/>
      <c r="D6" s="219"/>
    </row>
    <row r="7" spans="1:6">
      <c r="B7" s="262" t="s">
        <v>1035</v>
      </c>
      <c r="C7" s="210" t="s">
        <v>36</v>
      </c>
      <c r="D7" s="24">
        <v>1710</v>
      </c>
      <c r="E7" s="24">
        <v>65</v>
      </c>
      <c r="F7" s="28">
        <f>D7*E7</f>
        <v>111150</v>
      </c>
    </row>
    <row r="8" spans="1:6">
      <c r="B8" s="262" t="s">
        <v>1036</v>
      </c>
      <c r="C8" s="210" t="s">
        <v>36</v>
      </c>
      <c r="D8" s="24">
        <v>93</v>
      </c>
      <c r="E8" s="24">
        <v>60</v>
      </c>
      <c r="F8" s="28">
        <f>D8*E8</f>
        <v>5580</v>
      </c>
    </row>
    <row r="9" spans="1:6">
      <c r="B9" s="262" t="s">
        <v>1037</v>
      </c>
      <c r="C9" s="210" t="s">
        <v>36</v>
      </c>
      <c r="D9" s="24">
        <v>359</v>
      </c>
      <c r="E9" s="24">
        <v>60</v>
      </c>
      <c r="F9" s="28">
        <f>D9*E9</f>
        <v>21540</v>
      </c>
    </row>
    <row r="10" spans="1:6">
      <c r="B10" s="37"/>
      <c r="D10" s="219"/>
    </row>
    <row r="11" spans="1:6">
      <c r="A11" s="21" t="s">
        <v>11</v>
      </c>
      <c r="B11" s="218" t="s">
        <v>74</v>
      </c>
      <c r="D11" s="219"/>
    </row>
    <row r="12" spans="1:6" ht="91.2">
      <c r="B12" s="262" t="s">
        <v>210</v>
      </c>
      <c r="D12" s="219"/>
    </row>
    <row r="13" spans="1:6" ht="342">
      <c r="B13" s="262" t="s">
        <v>159</v>
      </c>
      <c r="D13" s="219"/>
    </row>
    <row r="14" spans="1:6">
      <c r="B14" s="262" t="s">
        <v>75</v>
      </c>
      <c r="C14" s="210" t="s">
        <v>36</v>
      </c>
      <c r="D14" s="24">
        <v>138</v>
      </c>
      <c r="E14" s="24">
        <v>70</v>
      </c>
      <c r="F14" s="28">
        <f>D14*E14</f>
        <v>9660</v>
      </c>
    </row>
    <row r="15" spans="1:6">
      <c r="B15" s="262"/>
      <c r="C15" s="210"/>
      <c r="D15" s="219"/>
    </row>
    <row r="16" spans="1:6">
      <c r="B16" s="262"/>
      <c r="C16" s="210"/>
      <c r="D16" s="219"/>
    </row>
    <row r="17" spans="1:6">
      <c r="A17" s="21" t="s">
        <v>12</v>
      </c>
      <c r="B17" s="270" t="s">
        <v>76</v>
      </c>
      <c r="C17" s="212"/>
      <c r="D17" s="219"/>
      <c r="E17" s="231"/>
    </row>
    <row r="18" spans="1:6" ht="68.400000000000006">
      <c r="B18" s="32" t="s">
        <v>77</v>
      </c>
      <c r="C18" s="212"/>
      <c r="D18" s="219"/>
      <c r="E18" s="231"/>
    </row>
    <row r="19" spans="1:6">
      <c r="B19" s="32" t="s">
        <v>78</v>
      </c>
      <c r="C19" s="212" t="s">
        <v>36</v>
      </c>
      <c r="D19" s="24">
        <v>1710</v>
      </c>
      <c r="E19" s="34">
        <v>10</v>
      </c>
      <c r="F19" s="28">
        <f>D19*E19</f>
        <v>17100</v>
      </c>
    </row>
    <row r="20" spans="1:6" ht="12.6" thickBot="1"/>
    <row r="21" spans="1:6" ht="12.6" thickTop="1">
      <c r="A21" s="220" t="str">
        <f>A2</f>
        <v>VIII</v>
      </c>
      <c r="B21" s="271" t="str">
        <f>B2</f>
        <v>FASADERSKI RADOVI</v>
      </c>
      <c r="C21" s="221" t="s">
        <v>38</v>
      </c>
      <c r="D21" s="233"/>
      <c r="E21" s="233"/>
      <c r="F21" s="260">
        <f>SUM(F5:F19)</f>
        <v>165030</v>
      </c>
    </row>
  </sheetData>
  <sheetProtection selectLockedCells="1" selectUnlockedCells="1"/>
  <pageMargins left="0.98" right="0.39" top="0.39" bottom="1.18" header="0.51" footer="0.31"/>
  <pageSetup paperSize="9" orientation="portrait" r:id="rId1"/>
  <headerFooter alignWithMargins="0">
    <oddFooter>&amp;R&amp;9&amp;P</oddFooter>
  </headerFooter>
  <rowBreaks count="1" manualBreakCount="1">
    <brk id="10"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0"/>
  <sheetViews>
    <sheetView topLeftCell="A21" zoomScaleNormal="100" zoomScaleSheetLayoutView="100" workbookViewId="0">
      <selection activeCell="D19" sqref="D19"/>
    </sheetView>
  </sheetViews>
  <sheetFormatPr defaultColWidth="9.21875" defaultRowHeight="12"/>
  <cols>
    <col min="1" max="1" width="3.5546875" style="21" customWidth="1"/>
    <col min="2" max="2" width="48.77734375" style="235" customWidth="1"/>
    <col min="3" max="3" width="4.44140625" style="190" customWidth="1"/>
    <col min="4" max="4" width="7.21875" style="24" customWidth="1"/>
    <col min="5" max="5" width="10.77734375" style="28" bestFit="1" customWidth="1"/>
    <col min="6" max="6" width="13" style="28" customWidth="1"/>
    <col min="7" max="16384" width="9.21875" style="25"/>
  </cols>
  <sheetData>
    <row r="1" spans="1:6">
      <c r="C1" s="23"/>
      <c r="D1" s="217"/>
      <c r="E1" s="234"/>
    </row>
    <row r="2" spans="1:6">
      <c r="A2" s="209" t="s">
        <v>72</v>
      </c>
      <c r="B2" s="21" t="s">
        <v>80</v>
      </c>
      <c r="C2" s="23"/>
      <c r="D2" s="217"/>
      <c r="E2" s="234"/>
    </row>
    <row r="3" spans="1:6">
      <c r="A3" s="209"/>
      <c r="B3" s="236"/>
      <c r="C3" s="23"/>
      <c r="D3" s="217"/>
      <c r="E3" s="234"/>
    </row>
    <row r="4" spans="1:6" ht="222" customHeight="1">
      <c r="A4" s="209"/>
      <c r="B4" s="237" t="s">
        <v>193</v>
      </c>
      <c r="C4" s="35"/>
      <c r="D4" s="34"/>
      <c r="E4" s="34"/>
      <c r="F4" s="34"/>
    </row>
    <row r="5" spans="1:6" ht="34.200000000000003">
      <c r="A5" s="194"/>
      <c r="B5" s="238" t="s">
        <v>81</v>
      </c>
      <c r="C5" s="35"/>
      <c r="D5" s="34"/>
      <c r="E5" s="34"/>
      <c r="F5" s="34"/>
    </row>
    <row r="6" spans="1:6">
      <c r="A6" s="194"/>
      <c r="B6" s="238"/>
      <c r="C6" s="35"/>
      <c r="D6" s="34"/>
      <c r="E6" s="34"/>
      <c r="F6" s="34"/>
    </row>
    <row r="7" spans="1:6">
      <c r="A7" s="194" t="s">
        <v>8</v>
      </c>
      <c r="B7" s="213" t="s">
        <v>208</v>
      </c>
      <c r="C7" s="35"/>
      <c r="D7" s="34"/>
      <c r="E7" s="34"/>
      <c r="F7" s="34"/>
    </row>
    <row r="8" spans="1:6" ht="102.6">
      <c r="A8" s="194"/>
      <c r="B8" s="239" t="s">
        <v>1038</v>
      </c>
      <c r="C8" s="25"/>
      <c r="E8" s="234"/>
    </row>
    <row r="9" spans="1:6">
      <c r="A9" s="194"/>
      <c r="B9" s="239" t="s">
        <v>82</v>
      </c>
      <c r="C9" s="25"/>
      <c r="E9" s="234"/>
    </row>
    <row r="10" spans="1:6">
      <c r="A10" s="194"/>
      <c r="B10" s="226" t="s">
        <v>160</v>
      </c>
      <c r="C10" s="25"/>
      <c r="D10" s="210"/>
      <c r="E10" s="234"/>
    </row>
    <row r="11" spans="1:6">
      <c r="A11" s="194"/>
      <c r="B11" s="226" t="s">
        <v>1039</v>
      </c>
      <c r="C11" s="190" t="s">
        <v>31</v>
      </c>
      <c r="D11" s="24">
        <v>1</v>
      </c>
      <c r="E11" s="28">
        <v>2500</v>
      </c>
      <c r="F11" s="28">
        <f>D11*E11</f>
        <v>2500</v>
      </c>
    </row>
    <row r="12" spans="1:6">
      <c r="A12" s="194"/>
      <c r="B12" s="226" t="s">
        <v>1040</v>
      </c>
      <c r="C12" s="190" t="s">
        <v>31</v>
      </c>
      <c r="D12" s="24">
        <v>1</v>
      </c>
      <c r="E12" s="28">
        <v>2000</v>
      </c>
      <c r="F12" s="28">
        <f>D12*E12</f>
        <v>2000</v>
      </c>
    </row>
    <row r="13" spans="1:6">
      <c r="A13" s="194"/>
      <c r="B13" s="226"/>
    </row>
    <row r="14" spans="1:6" ht="13.2">
      <c r="A14" s="194" t="s">
        <v>11</v>
      </c>
      <c r="B14" s="240" t="s">
        <v>380</v>
      </c>
      <c r="C14" s="35"/>
      <c r="D14" s="34"/>
      <c r="E14" s="34"/>
      <c r="F14" s="34"/>
    </row>
    <row r="15" spans="1:6" ht="228">
      <c r="A15" s="194"/>
      <c r="B15" s="33" t="s">
        <v>705</v>
      </c>
      <c r="C15" s="35"/>
      <c r="D15" s="34"/>
      <c r="E15" s="34"/>
      <c r="F15" s="34"/>
    </row>
    <row r="16" spans="1:6">
      <c r="A16" s="194"/>
      <c r="B16" s="226" t="s">
        <v>1041</v>
      </c>
      <c r="C16" s="190" t="s">
        <v>31</v>
      </c>
      <c r="D16" s="24">
        <v>1</v>
      </c>
      <c r="E16" s="28">
        <v>5000</v>
      </c>
      <c r="F16" s="28">
        <f>D16*E16</f>
        <v>5000</v>
      </c>
    </row>
    <row r="17" spans="1:6">
      <c r="A17" s="194"/>
      <c r="B17" s="226"/>
    </row>
    <row r="18" spans="1:6" ht="13.2">
      <c r="A18" s="194" t="s">
        <v>12</v>
      </c>
      <c r="B18" s="240" t="s">
        <v>381</v>
      </c>
      <c r="C18" s="35"/>
      <c r="D18" s="34"/>
      <c r="E18" s="34"/>
      <c r="F18" s="34"/>
    </row>
    <row r="19" spans="1:6" ht="193.8">
      <c r="A19" s="194"/>
      <c r="B19" s="33" t="s">
        <v>2450</v>
      </c>
      <c r="C19" s="35"/>
      <c r="D19" s="34"/>
      <c r="E19" s="34"/>
      <c r="F19" s="34"/>
    </row>
    <row r="20" spans="1:6">
      <c r="A20" s="194"/>
      <c r="B20" s="226" t="s">
        <v>706</v>
      </c>
      <c r="C20" s="190" t="s">
        <v>31</v>
      </c>
      <c r="D20" s="24">
        <v>1</v>
      </c>
      <c r="E20" s="28">
        <v>1500</v>
      </c>
      <c r="F20" s="28">
        <f>D20*E20</f>
        <v>1500</v>
      </c>
    </row>
    <row r="21" spans="1:6">
      <c r="A21" s="194"/>
      <c r="B21" s="226"/>
    </row>
    <row r="22" spans="1:6" ht="13.2">
      <c r="A22" s="194" t="s">
        <v>16</v>
      </c>
      <c r="B22" s="240" t="s">
        <v>1042</v>
      </c>
      <c r="C22" s="35"/>
      <c r="D22" s="34"/>
      <c r="E22" s="34"/>
      <c r="F22" s="34"/>
    </row>
    <row r="23" spans="1:6" ht="193.8">
      <c r="A23" s="194"/>
      <c r="B23" s="33" t="s">
        <v>2451</v>
      </c>
      <c r="C23" s="35"/>
      <c r="D23" s="34"/>
      <c r="E23" s="34"/>
      <c r="F23" s="34"/>
    </row>
    <row r="24" spans="1:6">
      <c r="A24" s="194"/>
      <c r="B24" s="226" t="s">
        <v>1043</v>
      </c>
      <c r="C24" s="190" t="s">
        <v>31</v>
      </c>
      <c r="D24" s="24">
        <v>1</v>
      </c>
      <c r="E24" s="28">
        <v>5000</v>
      </c>
      <c r="F24" s="28">
        <f>D24*E24</f>
        <v>5000</v>
      </c>
    </row>
    <row r="25" spans="1:6">
      <c r="A25" s="194"/>
      <c r="B25" s="226"/>
    </row>
    <row r="26" spans="1:6" ht="13.2">
      <c r="A26" s="194" t="s">
        <v>18</v>
      </c>
      <c r="B26" s="240" t="s">
        <v>383</v>
      </c>
      <c r="C26" s="35"/>
      <c r="D26" s="34"/>
      <c r="E26" s="34"/>
      <c r="F26" s="34"/>
    </row>
    <row r="27" spans="1:6" ht="136.80000000000001">
      <c r="A27" s="194"/>
      <c r="B27" s="33" t="s">
        <v>1044</v>
      </c>
      <c r="C27" s="35"/>
      <c r="D27" s="34"/>
      <c r="E27" s="34"/>
      <c r="F27" s="34"/>
    </row>
    <row r="28" spans="1:6">
      <c r="A28" s="194"/>
      <c r="B28" s="226" t="s">
        <v>382</v>
      </c>
      <c r="C28" s="190" t="s">
        <v>33</v>
      </c>
      <c r="D28" s="24">
        <v>346</v>
      </c>
      <c r="E28" s="28">
        <v>50</v>
      </c>
      <c r="F28" s="28">
        <f>D28*E28</f>
        <v>17300</v>
      </c>
    </row>
    <row r="29" spans="1:6" ht="12.6" thickBot="1">
      <c r="A29" s="194"/>
      <c r="B29" s="30"/>
      <c r="C29" s="210"/>
      <c r="D29" s="211"/>
      <c r="E29" s="211"/>
      <c r="F29" s="211"/>
    </row>
    <row r="30" spans="1:6" ht="12.6" thickTop="1">
      <c r="A30" s="243" t="str">
        <f>A2</f>
        <v>IX</v>
      </c>
      <c r="B30" s="241" t="str">
        <f>B2</f>
        <v>BRAVARSKI RADOVI</v>
      </c>
      <c r="C30" s="1130" t="s">
        <v>83</v>
      </c>
      <c r="D30" s="1130"/>
      <c r="E30" s="215"/>
      <c r="F30" s="242">
        <f>SUM(F6:F29)</f>
        <v>33300</v>
      </c>
    </row>
  </sheetData>
  <sheetProtection selectLockedCells="1" selectUnlockedCells="1"/>
  <mergeCells count="1">
    <mergeCell ref="C30:D30"/>
  </mergeCells>
  <pageMargins left="0.98" right="0.39" top="0.39" bottom="1.18" header="0.51" footer="0.31"/>
  <pageSetup paperSize="9" scale="98" orientation="portrait" r:id="rId1"/>
  <headerFooter alignWithMargins="0">
    <oddFooter>&amp;R&amp;9&amp;P</oddFooter>
  </headerFooter>
  <rowBreaks count="1" manualBreakCount="1">
    <brk id="7" max="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6ABC-FA50-4539-AD48-9675F96F0AB8}">
  <dimension ref="A1:G136"/>
  <sheetViews>
    <sheetView topLeftCell="A124" zoomScaleNormal="100" zoomScaleSheetLayoutView="100" workbookViewId="0">
      <selection activeCell="E135" sqref="E135"/>
    </sheetView>
  </sheetViews>
  <sheetFormatPr defaultColWidth="9.21875" defaultRowHeight="12"/>
  <cols>
    <col min="1" max="1" width="3.5546875" style="21" customWidth="1"/>
    <col min="2" max="2" width="47.21875" style="195" customWidth="1"/>
    <col min="3" max="3" width="6.5546875" style="212" customWidth="1"/>
    <col min="4" max="4" width="7.21875" style="24" customWidth="1"/>
    <col min="5" max="5" width="11.77734375" style="24" bestFit="1" customWidth="1"/>
    <col min="6" max="6" width="12.21875" style="24" bestFit="1" customWidth="1"/>
    <col min="7" max="16384" width="9.21875" style="25"/>
  </cols>
  <sheetData>
    <row r="1" spans="1:6">
      <c r="C1" s="23"/>
      <c r="D1" s="23"/>
      <c r="E1" s="27"/>
    </row>
    <row r="2" spans="1:6" s="26" customFormat="1">
      <c r="A2" s="21" t="s">
        <v>79</v>
      </c>
      <c r="B2" s="189" t="s">
        <v>396</v>
      </c>
      <c r="C2" s="188"/>
      <c r="D2" s="27"/>
      <c r="E2" s="27"/>
      <c r="F2" s="27"/>
    </row>
    <row r="3" spans="1:6" s="26" customFormat="1">
      <c r="A3" s="21"/>
      <c r="B3" s="189"/>
      <c r="C3" s="188"/>
      <c r="D3" s="27"/>
      <c r="E3" s="27"/>
      <c r="F3" s="27"/>
    </row>
    <row r="4" spans="1:6" s="26" customFormat="1">
      <c r="A4" s="21"/>
      <c r="B4" s="189" t="s">
        <v>85</v>
      </c>
      <c r="C4" s="188"/>
      <c r="D4" s="27"/>
      <c r="E4" s="27"/>
      <c r="F4" s="27"/>
    </row>
    <row r="5" spans="1:6" s="26" customFormat="1" ht="273" customHeight="1">
      <c r="A5" s="21"/>
      <c r="B5" s="1008" t="s">
        <v>2320</v>
      </c>
      <c r="C5" s="188"/>
      <c r="D5" s="27"/>
      <c r="E5" s="27"/>
      <c r="F5" s="27"/>
    </row>
    <row r="6" spans="1:6" s="26" customFormat="1" ht="66" customHeight="1">
      <c r="A6" s="21"/>
      <c r="B6" s="1008" t="s">
        <v>86</v>
      </c>
      <c r="C6" s="188"/>
      <c r="D6" s="27"/>
      <c r="E6" s="27"/>
      <c r="F6" s="27"/>
    </row>
    <row r="7" spans="1:6" s="26" customFormat="1" ht="268.95" customHeight="1">
      <c r="A7" s="21"/>
      <c r="B7" s="32" t="s">
        <v>172</v>
      </c>
      <c r="C7" s="188"/>
      <c r="D7" s="27"/>
      <c r="E7" s="27"/>
      <c r="F7" s="27"/>
    </row>
    <row r="8" spans="1:6" s="26" customFormat="1" ht="12.75" customHeight="1">
      <c r="A8" s="21"/>
      <c r="B8" s="218" t="s">
        <v>87</v>
      </c>
      <c r="C8" s="188"/>
      <c r="D8" s="27"/>
      <c r="E8" s="27"/>
      <c r="F8" s="27"/>
    </row>
    <row r="9" spans="1:6" s="26" customFormat="1" ht="210" customHeight="1">
      <c r="A9" s="21"/>
      <c r="B9" s="32" t="s">
        <v>155</v>
      </c>
      <c r="C9" s="188"/>
      <c r="D9" s="27"/>
      <c r="E9" s="27"/>
      <c r="F9" s="27"/>
    </row>
    <row r="10" spans="1:6" s="26" customFormat="1" ht="103.2" customHeight="1">
      <c r="A10" s="21"/>
      <c r="B10" s="1008" t="s">
        <v>173</v>
      </c>
      <c r="C10" s="188"/>
      <c r="D10" s="27"/>
      <c r="E10" s="27"/>
      <c r="F10" s="27"/>
    </row>
    <row r="11" spans="1:6" s="26" customFormat="1" ht="136.80000000000001">
      <c r="A11" s="21"/>
      <c r="B11" s="1008" t="s">
        <v>174</v>
      </c>
      <c r="C11" s="188"/>
      <c r="D11" s="27"/>
      <c r="E11" s="27"/>
      <c r="F11" s="27"/>
    </row>
    <row r="12" spans="1:6" s="26" customFormat="1" ht="171">
      <c r="A12" s="21"/>
      <c r="B12" s="1008" t="s">
        <v>175</v>
      </c>
      <c r="C12" s="188"/>
      <c r="D12" s="27"/>
      <c r="E12" s="27"/>
      <c r="F12" s="27"/>
    </row>
    <row r="13" spans="1:6" s="26" customFormat="1">
      <c r="A13" s="21"/>
      <c r="B13" s="1008"/>
      <c r="C13" s="188"/>
      <c r="D13" s="27"/>
      <c r="E13" s="27"/>
      <c r="F13" s="27"/>
    </row>
    <row r="14" spans="1:6" s="26" customFormat="1">
      <c r="A14" s="21"/>
      <c r="B14" s="1009" t="s">
        <v>88</v>
      </c>
      <c r="C14" s="188"/>
      <c r="D14" s="27"/>
      <c r="E14" s="27"/>
      <c r="F14" s="27"/>
    </row>
    <row r="15" spans="1:6" s="26" customFormat="1" ht="250.8">
      <c r="A15" s="21"/>
      <c r="B15" s="1008" t="s">
        <v>2321</v>
      </c>
      <c r="C15" s="188"/>
      <c r="D15" s="27"/>
      <c r="E15" s="27"/>
      <c r="F15" s="27"/>
    </row>
    <row r="16" spans="1:6" s="26" customFormat="1" ht="34.200000000000003">
      <c r="A16" s="21"/>
      <c r="B16" s="1008" t="s">
        <v>89</v>
      </c>
      <c r="C16" s="188"/>
      <c r="D16" s="27"/>
      <c r="E16" s="27"/>
      <c r="F16" s="27"/>
    </row>
    <row r="17" spans="1:6" s="26" customFormat="1" ht="167.55" customHeight="1">
      <c r="A17" s="21"/>
      <c r="B17" s="1008" t="s">
        <v>176</v>
      </c>
      <c r="C17" s="188"/>
      <c r="D17" s="27"/>
      <c r="E17" s="27"/>
      <c r="F17" s="27"/>
    </row>
    <row r="18" spans="1:6" s="26" customFormat="1" ht="148.19999999999999">
      <c r="A18" s="21"/>
      <c r="B18" s="1008" t="s">
        <v>177</v>
      </c>
      <c r="C18" s="188"/>
      <c r="D18" s="27"/>
      <c r="E18" s="27"/>
      <c r="F18" s="27"/>
    </row>
    <row r="19" spans="1:6" s="26" customFormat="1">
      <c r="A19" s="21"/>
      <c r="B19" s="1008"/>
      <c r="C19" s="188"/>
      <c r="D19" s="27"/>
      <c r="E19" s="27"/>
      <c r="F19" s="27"/>
    </row>
    <row r="20" spans="1:6" s="26" customFormat="1">
      <c r="A20" s="21"/>
      <c r="B20" s="1009" t="s">
        <v>90</v>
      </c>
      <c r="C20" s="188"/>
      <c r="D20" s="27"/>
      <c r="E20" s="27"/>
      <c r="F20" s="27"/>
    </row>
    <row r="21" spans="1:6" s="26" customFormat="1" ht="89.25" customHeight="1">
      <c r="A21" s="21"/>
      <c r="B21" s="1008" t="s">
        <v>161</v>
      </c>
      <c r="C21" s="188"/>
      <c r="D21" s="27"/>
      <c r="E21" s="27"/>
      <c r="F21" s="27"/>
    </row>
    <row r="22" spans="1:6" s="26" customFormat="1">
      <c r="A22" s="21"/>
      <c r="B22" s="1008"/>
      <c r="C22" s="188"/>
      <c r="D22" s="27"/>
      <c r="E22" s="27"/>
      <c r="F22" s="27"/>
    </row>
    <row r="23" spans="1:6" s="26" customFormat="1">
      <c r="A23" s="21"/>
      <c r="B23" s="1009" t="s">
        <v>91</v>
      </c>
      <c r="C23" s="188"/>
      <c r="D23" s="27"/>
      <c r="E23" s="27"/>
      <c r="F23" s="27"/>
    </row>
    <row r="24" spans="1:6" s="26" customFormat="1" ht="148.5" customHeight="1">
      <c r="A24" s="21"/>
      <c r="B24" s="1008" t="s">
        <v>2322</v>
      </c>
      <c r="C24" s="188"/>
      <c r="D24" s="27"/>
      <c r="E24" s="27"/>
      <c r="F24" s="27"/>
    </row>
    <row r="25" spans="1:6" s="26" customFormat="1" ht="22.8">
      <c r="A25" s="21"/>
      <c r="B25" s="1008" t="s">
        <v>153</v>
      </c>
      <c r="C25" s="188"/>
      <c r="D25" s="27"/>
      <c r="E25" s="27"/>
      <c r="F25" s="27"/>
    </row>
    <row r="26" spans="1:6" s="26" customFormat="1" ht="93" customHeight="1">
      <c r="A26" s="21"/>
      <c r="B26" s="1008" t="s">
        <v>92</v>
      </c>
      <c r="C26" s="188"/>
      <c r="D26" s="27"/>
      <c r="E26" s="27"/>
      <c r="F26" s="27"/>
    </row>
    <row r="27" spans="1:6" s="26" customFormat="1">
      <c r="A27" s="21"/>
      <c r="B27" s="1008"/>
      <c r="C27" s="188"/>
      <c r="D27" s="27"/>
      <c r="E27" s="27"/>
      <c r="F27" s="27"/>
    </row>
    <row r="28" spans="1:6" s="26" customFormat="1">
      <c r="A28" s="21"/>
      <c r="B28" s="1009" t="s">
        <v>93</v>
      </c>
      <c r="C28" s="188"/>
      <c r="D28" s="27"/>
      <c r="E28" s="27"/>
      <c r="F28" s="27"/>
    </row>
    <row r="29" spans="1:6" s="26" customFormat="1" ht="296.39999999999998">
      <c r="A29" s="21"/>
      <c r="B29" s="1008" t="s">
        <v>2323</v>
      </c>
      <c r="C29" s="188"/>
      <c r="D29" s="27"/>
      <c r="E29" s="27"/>
      <c r="F29" s="27"/>
    </row>
    <row r="30" spans="1:6" s="26" customFormat="1" ht="68.400000000000006">
      <c r="A30" s="21"/>
      <c r="B30" s="1008" t="s">
        <v>94</v>
      </c>
      <c r="C30" s="188"/>
      <c r="D30" s="27"/>
      <c r="E30" s="27"/>
      <c r="F30" s="27"/>
    </row>
    <row r="31" spans="1:6" s="26" customFormat="1" ht="57">
      <c r="A31" s="21"/>
      <c r="B31" s="1008" t="s">
        <v>95</v>
      </c>
      <c r="C31" s="188"/>
      <c r="D31" s="27"/>
      <c r="E31" s="27"/>
      <c r="F31" s="27"/>
    </row>
    <row r="32" spans="1:6" s="26" customFormat="1" ht="57" customHeight="1">
      <c r="A32" s="21"/>
      <c r="B32" s="1008" t="s">
        <v>96</v>
      </c>
      <c r="C32" s="188"/>
      <c r="D32" s="27"/>
      <c r="E32" s="27"/>
      <c r="F32" s="27"/>
    </row>
    <row r="33" spans="1:7" s="26" customFormat="1" ht="36">
      <c r="A33" s="21"/>
      <c r="B33" s="189" t="s">
        <v>194</v>
      </c>
      <c r="C33" s="188"/>
      <c r="D33" s="27"/>
      <c r="E33" s="27"/>
      <c r="F33" s="27"/>
    </row>
    <row r="34" spans="1:7" s="26" customFormat="1" ht="48">
      <c r="A34" s="21"/>
      <c r="B34" s="189" t="s">
        <v>195</v>
      </c>
      <c r="C34" s="188"/>
      <c r="D34" s="27"/>
      <c r="E34" s="27"/>
      <c r="F34" s="27"/>
    </row>
    <row r="35" spans="1:7" s="26" customFormat="1">
      <c r="A35" s="21"/>
      <c r="B35" s="244" t="s">
        <v>341</v>
      </c>
      <c r="C35" s="245"/>
      <c r="D35" s="245"/>
      <c r="E35" s="246"/>
      <c r="F35" s="246"/>
    </row>
    <row r="36" spans="1:7" s="26" customFormat="1">
      <c r="A36" s="21"/>
      <c r="B36" s="244"/>
      <c r="C36" s="245"/>
      <c r="D36" s="245"/>
      <c r="E36" s="246"/>
      <c r="F36" s="246"/>
    </row>
    <row r="37" spans="1:7" s="26" customFormat="1">
      <c r="A37" s="21"/>
      <c r="B37" s="1010" t="s">
        <v>394</v>
      </c>
      <c r="C37" s="245"/>
      <c r="D37" s="245"/>
      <c r="E37" s="246"/>
      <c r="F37" s="246"/>
    </row>
    <row r="38" spans="1:7" s="26" customFormat="1">
      <c r="A38" s="21"/>
      <c r="B38" s="189"/>
      <c r="C38" s="188"/>
      <c r="D38" s="27"/>
      <c r="E38" s="27"/>
      <c r="F38" s="27"/>
    </row>
    <row r="39" spans="1:7" s="26" customFormat="1">
      <c r="A39" s="21" t="s">
        <v>8</v>
      </c>
      <c r="B39" s="189" t="s">
        <v>337</v>
      </c>
      <c r="C39" s="188"/>
      <c r="D39" s="27"/>
      <c r="E39" s="27"/>
      <c r="F39" s="27"/>
    </row>
    <row r="40" spans="1:7" s="26" customFormat="1" ht="171">
      <c r="A40" s="21"/>
      <c r="B40" s="32" t="s">
        <v>2349</v>
      </c>
      <c r="C40" s="212" t="s">
        <v>31</v>
      </c>
      <c r="D40" s="24">
        <v>1</v>
      </c>
      <c r="E40" s="24">
        <v>5000</v>
      </c>
      <c r="F40" s="28">
        <f>D40*E40</f>
        <v>5000</v>
      </c>
      <c r="G40" s="24"/>
    </row>
    <row r="41" spans="1:7" s="26" customFormat="1">
      <c r="A41" s="21"/>
      <c r="B41" s="32"/>
      <c r="C41" s="212"/>
      <c r="D41" s="24"/>
      <c r="E41" s="24"/>
      <c r="F41" s="28"/>
      <c r="G41" s="24"/>
    </row>
    <row r="42" spans="1:7" s="26" customFormat="1">
      <c r="A42" s="21" t="s">
        <v>11</v>
      </c>
      <c r="B42" s="189" t="s">
        <v>707</v>
      </c>
      <c r="C42" s="212"/>
      <c r="D42" s="24"/>
      <c r="E42" s="24"/>
      <c r="F42" s="24"/>
      <c r="G42" s="24"/>
    </row>
    <row r="43" spans="1:7" s="26" customFormat="1" ht="250.8">
      <c r="A43" s="21"/>
      <c r="B43" s="32" t="s">
        <v>2350</v>
      </c>
      <c r="C43" s="212"/>
      <c r="D43" s="24"/>
      <c r="E43" s="24"/>
      <c r="F43" s="28"/>
      <c r="G43" s="24"/>
    </row>
    <row r="44" spans="1:7" s="26" customFormat="1">
      <c r="A44" s="21"/>
      <c r="B44" s="32"/>
      <c r="C44" s="212"/>
      <c r="D44" s="24"/>
      <c r="E44" s="24"/>
      <c r="F44" s="28"/>
      <c r="G44" s="24"/>
    </row>
    <row r="45" spans="1:7" s="26" customFormat="1">
      <c r="A45" s="21"/>
      <c r="B45" s="32" t="s">
        <v>1677</v>
      </c>
      <c r="C45" s="212" t="s">
        <v>31</v>
      </c>
      <c r="D45" s="24">
        <v>1</v>
      </c>
      <c r="E45" s="24">
        <v>3200</v>
      </c>
      <c r="F45" s="28">
        <f t="shared" ref="F45:F46" si="0">D45*E45</f>
        <v>3200</v>
      </c>
      <c r="G45" s="24"/>
    </row>
    <row r="46" spans="1:7" s="26" customFormat="1">
      <c r="A46" s="21"/>
      <c r="B46" s="32" t="s">
        <v>1678</v>
      </c>
      <c r="C46" s="212" t="s">
        <v>31</v>
      </c>
      <c r="D46" s="24">
        <v>1</v>
      </c>
      <c r="E46" s="24">
        <v>3200</v>
      </c>
      <c r="F46" s="28">
        <f t="shared" si="0"/>
        <v>3200</v>
      </c>
      <c r="G46" s="24"/>
    </row>
    <row r="47" spans="1:7" s="26" customFormat="1">
      <c r="A47" s="21"/>
      <c r="B47" s="32"/>
      <c r="C47" s="212"/>
      <c r="D47" s="24"/>
      <c r="E47" s="24"/>
      <c r="F47" s="28"/>
      <c r="G47" s="24"/>
    </row>
    <row r="48" spans="1:7" s="26" customFormat="1">
      <c r="A48" s="21" t="s">
        <v>12</v>
      </c>
      <c r="B48" s="189" t="s">
        <v>708</v>
      </c>
      <c r="C48" s="212"/>
      <c r="D48" s="24"/>
      <c r="E48" s="24"/>
      <c r="F48" s="24"/>
      <c r="G48" s="24"/>
    </row>
    <row r="49" spans="1:7" s="26" customFormat="1" ht="296.39999999999998">
      <c r="A49" s="21"/>
      <c r="B49" s="32" t="s">
        <v>2351</v>
      </c>
      <c r="C49" s="212" t="s">
        <v>31</v>
      </c>
      <c r="D49" s="24">
        <v>1</v>
      </c>
      <c r="E49" s="24">
        <v>5400</v>
      </c>
      <c r="F49" s="28">
        <f>D49*E49</f>
        <v>5400</v>
      </c>
      <c r="G49" s="24"/>
    </row>
    <row r="50" spans="1:7" s="26" customFormat="1">
      <c r="A50" s="21"/>
      <c r="B50" s="32"/>
      <c r="C50" s="212"/>
      <c r="D50" s="24"/>
      <c r="E50" s="24"/>
      <c r="F50" s="28"/>
      <c r="G50" s="24"/>
    </row>
    <row r="51" spans="1:7" s="26" customFormat="1">
      <c r="A51" s="21" t="s">
        <v>16</v>
      </c>
      <c r="B51" s="189" t="s">
        <v>709</v>
      </c>
      <c r="C51" s="188"/>
      <c r="D51" s="27"/>
      <c r="E51" s="27"/>
      <c r="F51" s="27"/>
      <c r="G51" s="27"/>
    </row>
    <row r="52" spans="1:7" s="26" customFormat="1" ht="148.19999999999999">
      <c r="A52" s="21"/>
      <c r="B52" s="32" t="s">
        <v>2352</v>
      </c>
      <c r="C52" s="212"/>
      <c r="D52" s="24"/>
      <c r="E52" s="24"/>
      <c r="F52" s="28"/>
      <c r="G52" s="24"/>
    </row>
    <row r="53" spans="1:7" s="26" customFormat="1">
      <c r="A53" s="21"/>
      <c r="B53" s="32"/>
      <c r="C53" s="212"/>
      <c r="D53" s="24"/>
      <c r="E53" s="24"/>
      <c r="F53" s="28"/>
      <c r="G53" s="24"/>
    </row>
    <row r="54" spans="1:7" s="26" customFormat="1">
      <c r="A54" s="21"/>
      <c r="B54" s="32" t="s">
        <v>1679</v>
      </c>
      <c r="C54" s="212" t="s">
        <v>1680</v>
      </c>
      <c r="D54" s="24">
        <v>3</v>
      </c>
      <c r="E54" s="24">
        <v>1600</v>
      </c>
      <c r="F54" s="28">
        <f t="shared" ref="F54:F55" si="1">D54*E54</f>
        <v>4800</v>
      </c>
      <c r="G54" s="24"/>
    </row>
    <row r="55" spans="1:7" s="26" customFormat="1">
      <c r="A55" s="21"/>
      <c r="B55" s="32" t="s">
        <v>1681</v>
      </c>
      <c r="C55" s="212" t="s">
        <v>1680</v>
      </c>
      <c r="D55" s="24">
        <v>2</v>
      </c>
      <c r="E55" s="24">
        <v>1600</v>
      </c>
      <c r="F55" s="28">
        <f t="shared" si="1"/>
        <v>3200</v>
      </c>
      <c r="G55" s="24"/>
    </row>
    <row r="56" spans="1:7" s="26" customFormat="1">
      <c r="A56" s="21"/>
      <c r="B56" s="32"/>
      <c r="C56" s="212"/>
      <c r="D56" s="24"/>
      <c r="E56" s="24"/>
      <c r="F56" s="28"/>
      <c r="G56" s="24"/>
    </row>
    <row r="57" spans="1:7" s="26" customFormat="1">
      <c r="A57" s="21" t="s">
        <v>16</v>
      </c>
      <c r="B57" s="189" t="s">
        <v>1682</v>
      </c>
      <c r="C57" s="188"/>
      <c r="D57" s="27"/>
      <c r="E57" s="27"/>
      <c r="F57" s="27"/>
      <c r="G57" s="27"/>
    </row>
    <row r="58" spans="1:7" s="26" customFormat="1" ht="136.80000000000001">
      <c r="A58" s="21"/>
      <c r="B58" s="32" t="s">
        <v>2353</v>
      </c>
      <c r="C58" s="212"/>
      <c r="D58" s="24"/>
      <c r="E58" s="24"/>
      <c r="F58" s="28"/>
      <c r="G58" s="24"/>
    </row>
    <row r="59" spans="1:7" s="26" customFormat="1">
      <c r="A59" s="21"/>
      <c r="B59" s="32"/>
      <c r="C59" s="212"/>
      <c r="D59" s="24"/>
      <c r="E59" s="24"/>
      <c r="F59" s="28"/>
      <c r="G59" s="24"/>
    </row>
    <row r="60" spans="1:7" s="26" customFormat="1">
      <c r="A60" s="21"/>
      <c r="B60" s="32" t="s">
        <v>1681</v>
      </c>
      <c r="C60" s="212" t="s">
        <v>1680</v>
      </c>
      <c r="D60" s="24">
        <v>2</v>
      </c>
      <c r="E60" s="24">
        <v>1600</v>
      </c>
      <c r="F60" s="28">
        <f t="shared" ref="F60" si="2">D60*E60</f>
        <v>3200</v>
      </c>
      <c r="G60" s="24"/>
    </row>
    <row r="61" spans="1:7" s="26" customFormat="1">
      <c r="A61" s="21"/>
      <c r="B61" s="32"/>
      <c r="C61" s="212"/>
      <c r="D61" s="24"/>
      <c r="E61" s="24"/>
      <c r="F61" s="28"/>
      <c r="G61" s="24"/>
    </row>
    <row r="62" spans="1:7" s="26" customFormat="1">
      <c r="A62" s="21" t="s">
        <v>18</v>
      </c>
      <c r="B62" s="189" t="s">
        <v>710</v>
      </c>
      <c r="C62" s="188"/>
      <c r="D62" s="27"/>
      <c r="E62" s="27"/>
      <c r="F62" s="27"/>
      <c r="G62" s="27"/>
    </row>
    <row r="63" spans="1:7" s="26" customFormat="1" ht="262.2">
      <c r="A63" s="21"/>
      <c r="B63" s="32" t="s">
        <v>2354</v>
      </c>
      <c r="C63" s="212" t="s">
        <v>31</v>
      </c>
      <c r="D63" s="24">
        <v>4</v>
      </c>
      <c r="E63" s="24">
        <v>9500</v>
      </c>
      <c r="F63" s="28">
        <f>D63*E63</f>
        <v>38000</v>
      </c>
      <c r="G63" s="24"/>
    </row>
    <row r="64" spans="1:7" s="26" customFormat="1">
      <c r="A64" s="21"/>
      <c r="B64" s="32"/>
      <c r="C64" s="212"/>
      <c r="D64" s="24"/>
      <c r="E64" s="24"/>
      <c r="F64" s="28"/>
      <c r="G64" s="24"/>
    </row>
    <row r="65" spans="1:7" s="26" customFormat="1">
      <c r="A65" s="21" t="s">
        <v>23</v>
      </c>
      <c r="B65" s="189" t="s">
        <v>711</v>
      </c>
      <c r="C65" s="188"/>
      <c r="D65" s="27"/>
      <c r="E65" s="27"/>
      <c r="F65" s="27"/>
      <c r="G65" s="27"/>
    </row>
    <row r="66" spans="1:7" s="26" customFormat="1" ht="262.2">
      <c r="A66" s="21"/>
      <c r="B66" s="32" t="s">
        <v>2355</v>
      </c>
      <c r="C66" s="212" t="s">
        <v>31</v>
      </c>
      <c r="D66" s="24">
        <v>5</v>
      </c>
      <c r="E66" s="24">
        <v>6800</v>
      </c>
      <c r="F66" s="28">
        <f>D66*E66</f>
        <v>34000</v>
      </c>
      <c r="G66" s="24"/>
    </row>
    <row r="67" spans="1:7" s="26" customFormat="1">
      <c r="A67" s="21"/>
      <c r="B67" s="32"/>
      <c r="C67" s="212"/>
      <c r="D67" s="24"/>
      <c r="E67" s="24"/>
      <c r="F67" s="28"/>
      <c r="G67" s="24"/>
    </row>
    <row r="68" spans="1:7" s="26" customFormat="1">
      <c r="A68" s="21" t="s">
        <v>32</v>
      </c>
      <c r="B68" s="189" t="s">
        <v>712</v>
      </c>
      <c r="C68" s="188"/>
      <c r="D68" s="27"/>
      <c r="E68" s="27"/>
      <c r="F68" s="27"/>
      <c r="G68" s="27"/>
    </row>
    <row r="69" spans="1:7" s="26" customFormat="1" ht="250.8">
      <c r="A69" s="21"/>
      <c r="B69" s="32" t="s">
        <v>2356</v>
      </c>
      <c r="C69" s="212" t="s">
        <v>31</v>
      </c>
      <c r="D69" s="24">
        <v>1</v>
      </c>
      <c r="E69" s="24">
        <v>5800</v>
      </c>
      <c r="F69" s="28">
        <f>D69*E69</f>
        <v>5800</v>
      </c>
      <c r="G69" s="24"/>
    </row>
    <row r="70" spans="1:7" s="26" customFormat="1">
      <c r="A70" s="21"/>
      <c r="B70" s="32"/>
      <c r="C70" s="212"/>
      <c r="D70" s="24"/>
      <c r="E70" s="24"/>
      <c r="F70" s="28"/>
      <c r="G70" s="24"/>
    </row>
    <row r="71" spans="1:7" s="26" customFormat="1">
      <c r="A71" s="21" t="s">
        <v>34</v>
      </c>
      <c r="B71" s="189" t="s">
        <v>713</v>
      </c>
      <c r="C71" s="188"/>
      <c r="D71" s="27"/>
      <c r="E71" s="27"/>
      <c r="F71" s="27"/>
      <c r="G71" s="27"/>
    </row>
    <row r="72" spans="1:7" s="26" customFormat="1" ht="250.8">
      <c r="A72" s="21"/>
      <c r="B72" s="32" t="s">
        <v>2357</v>
      </c>
      <c r="C72" s="212" t="s">
        <v>31</v>
      </c>
      <c r="D72" s="24">
        <v>1</v>
      </c>
      <c r="E72" s="24">
        <v>10600</v>
      </c>
      <c r="F72" s="28">
        <f>D72*E72</f>
        <v>10600</v>
      </c>
      <c r="G72" s="24"/>
    </row>
    <row r="73" spans="1:7" s="26" customFormat="1">
      <c r="A73" s="21"/>
      <c r="B73" s="32"/>
      <c r="C73" s="212"/>
      <c r="D73" s="24"/>
      <c r="E73" s="24"/>
      <c r="F73" s="28"/>
      <c r="G73" s="24"/>
    </row>
    <row r="74" spans="1:7" s="26" customFormat="1">
      <c r="A74" s="21" t="s">
        <v>35</v>
      </c>
      <c r="B74" s="189" t="s">
        <v>1683</v>
      </c>
      <c r="C74" s="188"/>
      <c r="D74" s="27"/>
      <c r="E74" s="27"/>
      <c r="F74" s="27"/>
      <c r="G74" s="27"/>
    </row>
    <row r="75" spans="1:7" s="26" customFormat="1" ht="250.8">
      <c r="A75" s="21"/>
      <c r="B75" s="32" t="s">
        <v>2358</v>
      </c>
      <c r="C75" s="212" t="s">
        <v>31</v>
      </c>
      <c r="D75" s="24">
        <v>1</v>
      </c>
      <c r="E75" s="24">
        <v>9300</v>
      </c>
      <c r="F75" s="28">
        <f>D75*E75</f>
        <v>9300</v>
      </c>
      <c r="G75" s="24"/>
    </row>
    <row r="76" spans="1:7" s="26" customFormat="1">
      <c r="A76" s="21"/>
      <c r="B76" s="32"/>
      <c r="C76" s="212"/>
      <c r="D76" s="24"/>
      <c r="E76" s="24"/>
      <c r="F76" s="28"/>
      <c r="G76" s="24"/>
    </row>
    <row r="77" spans="1:7" s="26" customFormat="1">
      <c r="A77" s="21" t="s">
        <v>252</v>
      </c>
      <c r="B77" s="189" t="s">
        <v>1684</v>
      </c>
      <c r="C77" s="188"/>
      <c r="D77" s="27"/>
      <c r="E77" s="27"/>
      <c r="F77" s="27"/>
      <c r="G77" s="27"/>
    </row>
    <row r="78" spans="1:7" s="26" customFormat="1" ht="250.8">
      <c r="A78" s="21"/>
      <c r="B78" s="32" t="s">
        <v>2359</v>
      </c>
      <c r="C78" s="212" t="s">
        <v>31</v>
      </c>
      <c r="D78" s="24">
        <v>1</v>
      </c>
      <c r="E78" s="24">
        <v>9400</v>
      </c>
      <c r="F78" s="28">
        <f>D78*E78</f>
        <v>9400</v>
      </c>
      <c r="G78" s="24"/>
    </row>
    <row r="79" spans="1:7" s="26" customFormat="1">
      <c r="A79" s="21"/>
      <c r="B79" s="32"/>
      <c r="C79" s="212"/>
      <c r="D79" s="24"/>
      <c r="E79" s="24"/>
      <c r="F79" s="28"/>
      <c r="G79" s="24"/>
    </row>
    <row r="80" spans="1:7" s="26" customFormat="1">
      <c r="A80" s="21" t="s">
        <v>266</v>
      </c>
      <c r="B80" s="189" t="s">
        <v>1685</v>
      </c>
      <c r="C80" s="188"/>
      <c r="D80" s="27"/>
      <c r="E80" s="27"/>
      <c r="F80" s="27"/>
      <c r="G80" s="27"/>
    </row>
    <row r="81" spans="1:7" s="26" customFormat="1" ht="125.4">
      <c r="A81" s="21"/>
      <c r="B81" s="32" t="s">
        <v>2365</v>
      </c>
      <c r="C81" s="212"/>
      <c r="E81" s="24"/>
      <c r="F81" s="28"/>
      <c r="G81" s="24"/>
    </row>
    <row r="82" spans="1:7" s="26" customFormat="1">
      <c r="A82" s="21"/>
      <c r="B82" s="32"/>
      <c r="C82" s="212"/>
      <c r="D82" s="24"/>
      <c r="E82" s="24"/>
      <c r="F82" s="28"/>
      <c r="G82" s="24"/>
    </row>
    <row r="83" spans="1:7" s="26" customFormat="1">
      <c r="A83" s="21"/>
      <c r="B83" s="32" t="s">
        <v>1686</v>
      </c>
      <c r="C83" s="212" t="s">
        <v>31</v>
      </c>
      <c r="D83" s="24">
        <v>1</v>
      </c>
      <c r="E83" s="24">
        <v>1200</v>
      </c>
      <c r="F83" s="28">
        <f>D83*E83</f>
        <v>1200</v>
      </c>
      <c r="G83" s="24"/>
    </row>
    <row r="84" spans="1:7" s="26" customFormat="1">
      <c r="A84" s="21"/>
      <c r="B84" s="32"/>
      <c r="C84" s="212"/>
      <c r="D84" s="24"/>
      <c r="E84" s="24"/>
      <c r="F84" s="28"/>
      <c r="G84" s="24"/>
    </row>
    <row r="85" spans="1:7" s="26" customFormat="1">
      <c r="A85" s="21" t="s">
        <v>267</v>
      </c>
      <c r="B85" s="189" t="s">
        <v>1687</v>
      </c>
      <c r="C85" s="188"/>
      <c r="D85" s="27"/>
      <c r="E85" s="27"/>
      <c r="F85" s="27"/>
      <c r="G85" s="27"/>
    </row>
    <row r="86" spans="1:7" s="26" customFormat="1" ht="114">
      <c r="A86" s="21"/>
      <c r="B86" s="32" t="s">
        <v>2360</v>
      </c>
      <c r="C86" s="212"/>
      <c r="D86" s="24"/>
      <c r="E86" s="24"/>
      <c r="F86" s="28"/>
      <c r="G86" s="24"/>
    </row>
    <row r="87" spans="1:7" s="26" customFormat="1">
      <c r="A87" s="21"/>
      <c r="B87" s="32"/>
      <c r="C87" s="212"/>
      <c r="D87" s="24"/>
      <c r="E87" s="24"/>
      <c r="F87" s="28"/>
      <c r="G87" s="24"/>
    </row>
    <row r="88" spans="1:7" s="26" customFormat="1">
      <c r="A88" s="21"/>
      <c r="B88" s="32" t="s">
        <v>1686</v>
      </c>
      <c r="C88" s="212" t="s">
        <v>31</v>
      </c>
      <c r="D88" s="24">
        <v>1</v>
      </c>
      <c r="E88" s="24">
        <v>1200</v>
      </c>
      <c r="F88" s="28">
        <f t="shared" ref="F88" si="3">D88*E88</f>
        <v>1200</v>
      </c>
      <c r="G88" s="24"/>
    </row>
    <row r="89" spans="1:7" s="26" customFormat="1">
      <c r="A89" s="21"/>
      <c r="B89" s="32"/>
      <c r="C89" s="212"/>
      <c r="D89" s="24"/>
      <c r="E89" s="24"/>
      <c r="F89" s="28"/>
      <c r="G89" s="24"/>
    </row>
    <row r="90" spans="1:7" s="26" customFormat="1">
      <c r="A90" s="21" t="s">
        <v>268</v>
      </c>
      <c r="B90" s="189" t="s">
        <v>1688</v>
      </c>
      <c r="C90" s="188"/>
      <c r="D90" s="27"/>
      <c r="E90" s="27"/>
      <c r="F90" s="27"/>
      <c r="G90" s="27"/>
    </row>
    <row r="91" spans="1:7" s="26" customFormat="1" ht="114">
      <c r="A91" s="21"/>
      <c r="B91" s="32" t="s">
        <v>2361</v>
      </c>
      <c r="C91" s="212"/>
      <c r="D91" s="24"/>
      <c r="E91" s="24"/>
      <c r="F91" s="28"/>
      <c r="G91" s="24"/>
    </row>
    <row r="92" spans="1:7" s="26" customFormat="1">
      <c r="A92" s="21"/>
      <c r="B92" s="32"/>
      <c r="C92" s="212"/>
      <c r="D92" s="24"/>
      <c r="E92" s="24"/>
      <c r="F92" s="28"/>
      <c r="G92" s="24"/>
    </row>
    <row r="93" spans="1:7" s="26" customFormat="1">
      <c r="A93" s="21"/>
      <c r="B93" s="32" t="s">
        <v>1689</v>
      </c>
      <c r="C93" s="212" t="s">
        <v>31</v>
      </c>
      <c r="D93" s="24">
        <v>1</v>
      </c>
      <c r="E93" s="24">
        <v>1200</v>
      </c>
      <c r="F93" s="28">
        <f t="shared" ref="F93" si="4">D93*E93</f>
        <v>1200</v>
      </c>
      <c r="G93" s="24"/>
    </row>
    <row r="94" spans="1:7" s="26" customFormat="1">
      <c r="A94" s="21"/>
      <c r="B94" s="32"/>
      <c r="C94" s="212"/>
      <c r="D94" s="24"/>
      <c r="E94" s="24"/>
      <c r="F94" s="28"/>
      <c r="G94" s="24"/>
    </row>
    <row r="95" spans="1:7" s="26" customFormat="1">
      <c r="A95" s="21">
        <v>14</v>
      </c>
      <c r="B95" s="189" t="s">
        <v>1690</v>
      </c>
      <c r="C95" s="188"/>
      <c r="D95" s="27"/>
      <c r="E95" s="27"/>
      <c r="F95" s="27"/>
      <c r="G95" s="27"/>
    </row>
    <row r="96" spans="1:7" s="26" customFormat="1" ht="125.4">
      <c r="A96" s="21"/>
      <c r="B96" s="32" t="s">
        <v>2362</v>
      </c>
      <c r="C96" s="212"/>
      <c r="D96" s="24"/>
      <c r="E96" s="24"/>
      <c r="F96" s="28"/>
      <c r="G96" s="24"/>
    </row>
    <row r="97" spans="1:7" s="26" customFormat="1">
      <c r="A97" s="21"/>
      <c r="B97" s="32"/>
      <c r="C97" s="212"/>
      <c r="D97" s="24"/>
      <c r="E97" s="24"/>
      <c r="F97" s="28"/>
      <c r="G97" s="24"/>
    </row>
    <row r="98" spans="1:7" s="26" customFormat="1">
      <c r="A98" s="21"/>
      <c r="B98" s="32" t="s">
        <v>1691</v>
      </c>
      <c r="C98" s="212" t="s">
        <v>31</v>
      </c>
      <c r="D98" s="24">
        <v>1</v>
      </c>
      <c r="E98" s="24">
        <v>2100</v>
      </c>
      <c r="F98" s="28">
        <f t="shared" ref="F98" si="5">D98*E98</f>
        <v>2100</v>
      </c>
      <c r="G98" s="24"/>
    </row>
    <row r="99" spans="1:7" s="26" customFormat="1">
      <c r="A99" s="21"/>
      <c r="B99" s="32"/>
      <c r="C99" s="212"/>
      <c r="D99" s="24"/>
      <c r="E99" s="24"/>
      <c r="F99" s="28"/>
      <c r="G99" s="24"/>
    </row>
    <row r="100" spans="1:7" s="26" customFormat="1">
      <c r="A100" s="21" t="s">
        <v>339</v>
      </c>
      <c r="B100" s="189" t="s">
        <v>1692</v>
      </c>
      <c r="C100" s="188"/>
      <c r="D100" s="27"/>
      <c r="E100" s="27"/>
      <c r="F100" s="27"/>
      <c r="G100" s="27"/>
    </row>
    <row r="101" spans="1:7" s="26" customFormat="1" ht="114">
      <c r="A101" s="21"/>
      <c r="B101" s="32" t="s">
        <v>2363</v>
      </c>
      <c r="C101" s="212"/>
      <c r="D101" s="24"/>
      <c r="E101" s="24"/>
      <c r="F101" s="28"/>
      <c r="G101" s="24"/>
    </row>
    <row r="102" spans="1:7" s="26" customFormat="1">
      <c r="A102" s="21"/>
      <c r="B102" s="32"/>
      <c r="C102" s="212"/>
      <c r="D102" s="24"/>
      <c r="E102" s="24"/>
      <c r="F102" s="28"/>
      <c r="G102" s="24"/>
    </row>
    <row r="103" spans="1:7" s="26" customFormat="1">
      <c r="A103" s="21"/>
      <c r="B103" s="32" t="s">
        <v>1691</v>
      </c>
      <c r="C103" s="212" t="s">
        <v>31</v>
      </c>
      <c r="D103" s="24">
        <v>1</v>
      </c>
      <c r="E103" s="24">
        <v>1800</v>
      </c>
      <c r="F103" s="28">
        <f t="shared" ref="F103" si="6">D103*E103</f>
        <v>1800</v>
      </c>
      <c r="G103" s="24"/>
    </row>
    <row r="104" spans="1:7" s="26" customFormat="1">
      <c r="A104" s="21"/>
      <c r="B104" s="32"/>
      <c r="C104" s="212"/>
      <c r="D104" s="24"/>
      <c r="E104" s="24"/>
      <c r="F104" s="28"/>
      <c r="G104" s="24"/>
    </row>
    <row r="105" spans="1:7" s="26" customFormat="1">
      <c r="A105" s="21">
        <v>16</v>
      </c>
      <c r="B105" s="189" t="s">
        <v>1693</v>
      </c>
      <c r="C105" s="212"/>
      <c r="D105" s="24"/>
      <c r="E105" s="24"/>
      <c r="F105" s="24"/>
      <c r="G105" s="24"/>
    </row>
    <row r="106" spans="1:7" s="26" customFormat="1" ht="285">
      <c r="A106" s="21"/>
      <c r="B106" s="32" t="s">
        <v>2324</v>
      </c>
      <c r="C106" s="212"/>
      <c r="E106" s="24"/>
      <c r="F106" s="28"/>
      <c r="G106" s="24"/>
    </row>
    <row r="107" spans="1:7" s="26" customFormat="1">
      <c r="A107" s="21"/>
      <c r="B107" s="32"/>
      <c r="C107" s="212"/>
      <c r="D107" s="24"/>
      <c r="E107" s="24"/>
      <c r="F107" s="28"/>
      <c r="G107" s="24"/>
    </row>
    <row r="108" spans="1:7" s="26" customFormat="1">
      <c r="A108" s="21"/>
      <c r="B108" s="32" t="s">
        <v>1694</v>
      </c>
      <c r="C108" s="212" t="s">
        <v>31</v>
      </c>
      <c r="D108" s="24">
        <v>1</v>
      </c>
      <c r="E108" s="24">
        <v>550</v>
      </c>
      <c r="F108" s="28">
        <f>D108*E108</f>
        <v>550</v>
      </c>
      <c r="G108" s="24"/>
    </row>
    <row r="109" spans="1:7" s="26" customFormat="1">
      <c r="A109" s="21"/>
      <c r="B109" s="32"/>
      <c r="C109" s="212"/>
      <c r="D109" s="24"/>
      <c r="E109" s="24"/>
      <c r="F109" s="28"/>
      <c r="G109" s="24"/>
    </row>
    <row r="110" spans="1:7" s="26" customFormat="1">
      <c r="A110" s="21">
        <v>17</v>
      </c>
      <c r="B110" s="189" t="s">
        <v>1695</v>
      </c>
      <c r="C110" s="212"/>
      <c r="D110" s="24"/>
      <c r="E110" s="24"/>
      <c r="F110" s="24"/>
      <c r="G110" s="24"/>
    </row>
    <row r="111" spans="1:7" s="26" customFormat="1" ht="285">
      <c r="A111" s="21"/>
      <c r="B111" s="32" t="s">
        <v>2325</v>
      </c>
      <c r="C111" s="212"/>
      <c r="D111" s="24"/>
      <c r="F111" s="28"/>
    </row>
    <row r="112" spans="1:7" s="26" customFormat="1">
      <c r="A112" s="21"/>
      <c r="B112" s="32"/>
      <c r="C112" s="212"/>
      <c r="D112" s="24"/>
      <c r="E112" s="24"/>
      <c r="F112" s="28"/>
      <c r="G112" s="24"/>
    </row>
    <row r="113" spans="1:7" s="26" customFormat="1">
      <c r="A113" s="21"/>
      <c r="B113" s="32" t="s">
        <v>1696</v>
      </c>
      <c r="C113" s="212" t="s">
        <v>31</v>
      </c>
      <c r="D113" s="24">
        <v>10</v>
      </c>
      <c r="E113" s="24">
        <v>650</v>
      </c>
      <c r="F113" s="28">
        <f>D113*E113</f>
        <v>6500</v>
      </c>
      <c r="G113" s="24"/>
    </row>
    <row r="114" spans="1:7" s="26" customFormat="1">
      <c r="A114" s="21"/>
      <c r="B114" s="32"/>
      <c r="C114" s="212"/>
      <c r="D114" s="24"/>
      <c r="E114" s="24"/>
      <c r="F114" s="28"/>
      <c r="G114" s="24"/>
    </row>
    <row r="115" spans="1:7" s="26" customFormat="1">
      <c r="A115" s="21" t="s">
        <v>388</v>
      </c>
      <c r="B115" s="189" t="s">
        <v>1697</v>
      </c>
      <c r="C115" s="212"/>
      <c r="D115" s="24"/>
      <c r="E115" s="24"/>
      <c r="F115" s="24"/>
      <c r="G115" s="24"/>
    </row>
    <row r="116" spans="1:7" s="26" customFormat="1" ht="285">
      <c r="A116" s="21"/>
      <c r="B116" s="32" t="s">
        <v>2326</v>
      </c>
      <c r="C116" s="212"/>
      <c r="D116" s="24"/>
      <c r="E116" s="24"/>
      <c r="F116" s="28"/>
      <c r="G116" s="24"/>
    </row>
    <row r="117" spans="1:7" s="26" customFormat="1">
      <c r="A117" s="21"/>
      <c r="B117" s="32"/>
      <c r="C117" s="212"/>
      <c r="D117" s="24"/>
      <c r="E117" s="24"/>
      <c r="F117" s="28"/>
      <c r="G117" s="24"/>
    </row>
    <row r="118" spans="1:7" s="26" customFormat="1">
      <c r="A118" s="21"/>
      <c r="B118" s="32" t="s">
        <v>1698</v>
      </c>
      <c r="C118" s="212" t="s">
        <v>31</v>
      </c>
      <c r="D118" s="24">
        <v>1</v>
      </c>
      <c r="E118" s="24">
        <v>1000</v>
      </c>
      <c r="F118" s="28">
        <f t="shared" ref="F118" si="7">D118*E118</f>
        <v>1000</v>
      </c>
      <c r="G118" s="24"/>
    </row>
    <row r="119" spans="1:7">
      <c r="D119" s="28"/>
      <c r="E119" s="979"/>
      <c r="F119" s="28"/>
      <c r="G119" s="24"/>
    </row>
    <row r="120" spans="1:7">
      <c r="B120" s="189" t="s">
        <v>395</v>
      </c>
      <c r="D120" s="28"/>
      <c r="E120" s="979"/>
      <c r="F120" s="28"/>
      <c r="G120" s="24"/>
    </row>
    <row r="121" spans="1:7">
      <c r="D121" s="28"/>
      <c r="E121" s="979"/>
      <c r="F121" s="28"/>
      <c r="G121" s="24"/>
    </row>
    <row r="122" spans="1:7" s="24" customFormat="1">
      <c r="A122" s="21" t="s">
        <v>389</v>
      </c>
      <c r="B122" s="189" t="s">
        <v>2327</v>
      </c>
      <c r="C122" s="212"/>
    </row>
    <row r="123" spans="1:7" s="24" customFormat="1" ht="159.6">
      <c r="A123" s="21"/>
      <c r="B123" s="32" t="s">
        <v>2364</v>
      </c>
      <c r="C123" s="212" t="s">
        <v>197</v>
      </c>
      <c r="D123" s="24">
        <v>1</v>
      </c>
      <c r="E123" s="24">
        <v>12500</v>
      </c>
      <c r="F123" s="28">
        <f>D123*E123</f>
        <v>12500</v>
      </c>
    </row>
    <row r="124" spans="1:7" s="24" customFormat="1">
      <c r="A124" s="21"/>
      <c r="B124" s="32"/>
      <c r="C124" s="212"/>
      <c r="F124" s="28"/>
    </row>
    <row r="125" spans="1:7" s="24" customFormat="1">
      <c r="A125" s="21" t="s">
        <v>391</v>
      </c>
      <c r="B125" s="189" t="s">
        <v>2328</v>
      </c>
      <c r="C125" s="212"/>
    </row>
    <row r="126" spans="1:7" s="24" customFormat="1" ht="79.8">
      <c r="A126" s="21"/>
      <c r="B126" s="32" t="s">
        <v>2457</v>
      </c>
      <c r="C126" s="212" t="s">
        <v>196</v>
      </c>
      <c r="D126" s="24">
        <v>1</v>
      </c>
      <c r="E126" s="24">
        <v>2500</v>
      </c>
      <c r="F126" s="28">
        <f>D126*E126</f>
        <v>2500</v>
      </c>
    </row>
    <row r="127" spans="1:7" s="24" customFormat="1">
      <c r="A127" s="21"/>
      <c r="B127" s="32"/>
      <c r="C127" s="212" t="s">
        <v>197</v>
      </c>
      <c r="D127" s="24">
        <v>3</v>
      </c>
      <c r="E127" s="24">
        <v>2500</v>
      </c>
      <c r="F127" s="28">
        <f>D127*E127</f>
        <v>7500</v>
      </c>
    </row>
    <row r="128" spans="1:7" s="24" customFormat="1">
      <c r="A128" s="21"/>
      <c r="B128" s="32"/>
      <c r="C128" s="212"/>
      <c r="F128" s="28"/>
    </row>
    <row r="129" spans="1:6" s="24" customFormat="1">
      <c r="A129" s="21" t="s">
        <v>392</v>
      </c>
      <c r="B129" s="189" t="s">
        <v>2329</v>
      </c>
      <c r="C129" s="212"/>
    </row>
    <row r="130" spans="1:6" s="24" customFormat="1" ht="79.8">
      <c r="A130" s="21"/>
      <c r="B130" s="32" t="s">
        <v>2458</v>
      </c>
      <c r="C130" s="212" t="s">
        <v>196</v>
      </c>
      <c r="D130" s="24">
        <v>2</v>
      </c>
      <c r="E130" s="24">
        <v>2500</v>
      </c>
      <c r="F130" s="28">
        <f>D130*E130</f>
        <v>5000</v>
      </c>
    </row>
    <row r="131" spans="1:6" s="24" customFormat="1">
      <c r="A131" s="21"/>
      <c r="B131" s="32"/>
      <c r="C131" s="212" t="s">
        <v>197</v>
      </c>
      <c r="D131" s="24">
        <v>3</v>
      </c>
      <c r="E131" s="24">
        <v>2500</v>
      </c>
      <c r="F131" s="28">
        <f>D131*E131</f>
        <v>7500</v>
      </c>
    </row>
    <row r="132" spans="1:6" s="24" customFormat="1">
      <c r="A132" s="21"/>
      <c r="B132" s="195"/>
      <c r="C132" s="212"/>
      <c r="D132" s="28"/>
      <c r="E132" s="979"/>
      <c r="F132" s="28"/>
    </row>
    <row r="133" spans="1:6" s="24" customFormat="1">
      <c r="A133" s="21" t="s">
        <v>393</v>
      </c>
      <c r="B133" s="189" t="s">
        <v>2330</v>
      </c>
      <c r="C133" s="212"/>
    </row>
    <row r="134" spans="1:6" s="24" customFormat="1" ht="79.8">
      <c r="A134" s="21"/>
      <c r="B134" s="32" t="s">
        <v>2459</v>
      </c>
      <c r="C134" s="212" t="s">
        <v>196</v>
      </c>
      <c r="D134" s="24">
        <v>1</v>
      </c>
      <c r="E134" s="24">
        <v>3000</v>
      </c>
      <c r="F134" s="28">
        <f>D134*E134</f>
        <v>3000</v>
      </c>
    </row>
    <row r="135" spans="1:6" s="24" customFormat="1" ht="12.6" thickBot="1">
      <c r="A135" s="21"/>
      <c r="B135" s="195"/>
      <c r="C135" s="212"/>
    </row>
    <row r="136" spans="1:6" s="24" customFormat="1" ht="12.6" thickTop="1">
      <c r="A136" s="21" t="str">
        <f>A2</f>
        <v>X</v>
      </c>
      <c r="B136" s="204" t="str">
        <f>B2</f>
        <v>ALUMINIJSKA STOLARIJA</v>
      </c>
      <c r="C136" s="248" t="s">
        <v>38</v>
      </c>
      <c r="D136" s="233"/>
      <c r="E136" s="233"/>
      <c r="F136" s="207">
        <f>SUM(F35:F135)</f>
        <v>188650</v>
      </c>
    </row>
  </sheetData>
  <sheetProtection selectLockedCells="1" selectUnlockedCells="1"/>
  <pageMargins left="0.98425196850393704" right="0.39370078740157483" top="0.39370078740157483" bottom="0" header="0.51181102362204722" footer="0.31496062992125984"/>
  <pageSetup paperSize="9" orientation="portrait" r:id="rId1"/>
  <headerFooter alignWithMargins="0">
    <oddFooter>&amp;R&amp;9&amp;P</oddFooter>
  </headerFooter>
  <rowBreaks count="3" manualBreakCount="3">
    <brk id="7" max="5" man="1"/>
    <brk id="13" max="5" man="1"/>
    <brk id="22"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7"/>
  <sheetViews>
    <sheetView topLeftCell="A9" zoomScaleNormal="100" zoomScaleSheetLayoutView="100" workbookViewId="0">
      <selection activeCell="I16" sqref="I16"/>
    </sheetView>
  </sheetViews>
  <sheetFormatPr defaultColWidth="9.21875" defaultRowHeight="12"/>
  <cols>
    <col min="1" max="1" width="3.5546875" style="21" customWidth="1"/>
    <col min="2" max="2" width="47.21875" style="195" customWidth="1"/>
    <col min="3" max="3" width="6.5546875" style="212" customWidth="1"/>
    <col min="4" max="4" width="7.21875" style="24" customWidth="1"/>
    <col min="5" max="5" width="11.21875" style="229" bestFit="1" customWidth="1"/>
    <col min="6" max="6" width="12.21875" style="28" bestFit="1" customWidth="1"/>
    <col min="7" max="16384" width="9.21875" style="25"/>
  </cols>
  <sheetData>
    <row r="1" spans="1:6">
      <c r="C1" s="23"/>
      <c r="D1" s="23"/>
      <c r="E1" s="249"/>
    </row>
    <row r="2" spans="1:6" s="26" customFormat="1">
      <c r="A2" s="21" t="s">
        <v>84</v>
      </c>
      <c r="B2" s="189" t="s">
        <v>98</v>
      </c>
      <c r="C2" s="188"/>
      <c r="D2" s="27"/>
      <c r="E2" s="250"/>
      <c r="F2" s="223"/>
    </row>
    <row r="3" spans="1:6" s="26" customFormat="1">
      <c r="A3" s="21"/>
      <c r="B3" s="189"/>
      <c r="C3" s="188"/>
      <c r="D3" s="27"/>
      <c r="E3" s="250"/>
      <c r="F3" s="223"/>
    </row>
    <row r="4" spans="1:6" s="26" customFormat="1" ht="228">
      <c r="A4" s="21"/>
      <c r="B4" s="244" t="s">
        <v>171</v>
      </c>
      <c r="C4" s="245"/>
      <c r="D4" s="245"/>
      <c r="E4" s="251"/>
      <c r="F4" s="246"/>
    </row>
    <row r="5" spans="1:6" s="26" customFormat="1" ht="22.8">
      <c r="A5" s="21"/>
      <c r="B5" s="244" t="s">
        <v>99</v>
      </c>
      <c r="C5" s="245"/>
      <c r="D5" s="245"/>
      <c r="E5" s="251"/>
      <c r="F5" s="246"/>
    </row>
    <row r="6" spans="1:6" s="26" customFormat="1" ht="57">
      <c r="A6" s="21"/>
      <c r="B6" s="252" t="s">
        <v>246</v>
      </c>
      <c r="C6" s="253"/>
      <c r="D6" s="253"/>
      <c r="E6" s="254"/>
      <c r="F6" s="28"/>
    </row>
    <row r="7" spans="1:6" s="26" customFormat="1" ht="34.200000000000003">
      <c r="A7" s="21"/>
      <c r="B7" s="255" t="s">
        <v>247</v>
      </c>
      <c r="C7" s="256"/>
      <c r="D7" s="256"/>
      <c r="E7" s="257"/>
      <c r="F7" s="258"/>
    </row>
    <row r="8" spans="1:6" s="26" customFormat="1" ht="64.5" customHeight="1">
      <c r="A8" s="21"/>
      <c r="B8" s="225" t="s">
        <v>170</v>
      </c>
      <c r="C8" s="253"/>
      <c r="D8" s="253"/>
      <c r="E8" s="254"/>
      <c r="F8" s="45"/>
    </row>
    <row r="9" spans="1:6" s="26" customFormat="1" ht="140.25" customHeight="1">
      <c r="A9" s="21"/>
      <c r="B9" s="255" t="s">
        <v>256</v>
      </c>
      <c r="C9" s="245"/>
      <c r="D9" s="245"/>
      <c r="E9" s="251"/>
      <c r="F9" s="246"/>
    </row>
    <row r="10" spans="1:6" s="26" customFormat="1" ht="68.400000000000006">
      <c r="A10" s="21"/>
      <c r="B10" s="244" t="s">
        <v>100</v>
      </c>
      <c r="C10" s="245"/>
      <c r="D10" s="245"/>
      <c r="E10" s="251"/>
      <c r="F10" s="246"/>
    </row>
    <row r="11" spans="1:6" s="26" customFormat="1">
      <c r="A11" s="21"/>
      <c r="B11" s="244" t="s">
        <v>341</v>
      </c>
      <c r="C11" s="245"/>
      <c r="D11" s="245"/>
      <c r="E11" s="251"/>
      <c r="F11" s="246"/>
    </row>
    <row r="12" spans="1:6" s="26" customFormat="1">
      <c r="A12" s="21"/>
      <c r="B12" s="195"/>
      <c r="C12" s="212"/>
      <c r="D12" s="24"/>
      <c r="E12" s="229"/>
      <c r="F12" s="28"/>
    </row>
    <row r="13" spans="1:6" s="26" customFormat="1">
      <c r="A13" s="21" t="s">
        <v>8</v>
      </c>
      <c r="B13" s="189" t="s">
        <v>340</v>
      </c>
      <c r="C13" s="212"/>
      <c r="D13" s="24"/>
      <c r="E13" s="229"/>
      <c r="F13" s="28"/>
    </row>
    <row r="14" spans="1:6" s="26" customFormat="1" ht="91.2">
      <c r="A14" s="21"/>
      <c r="B14" s="33" t="s">
        <v>1669</v>
      </c>
      <c r="C14" s="212" t="s">
        <v>196</v>
      </c>
      <c r="D14" s="24">
        <v>1</v>
      </c>
      <c r="E14" s="229">
        <v>3000</v>
      </c>
      <c r="F14" s="28">
        <f>D14*E14</f>
        <v>3000</v>
      </c>
    </row>
    <row r="15" spans="1:6" s="26" customFormat="1">
      <c r="A15" s="21"/>
      <c r="B15" s="195"/>
      <c r="C15" s="212"/>
      <c r="D15" s="24"/>
      <c r="E15" s="229"/>
      <c r="F15" s="28"/>
    </row>
    <row r="16" spans="1:6" s="26" customFormat="1" ht="12.6" thickBot="1">
      <c r="A16" s="21"/>
      <c r="B16" s="195"/>
      <c r="C16" s="212"/>
      <c r="D16" s="24"/>
      <c r="E16" s="229"/>
      <c r="F16" s="28"/>
    </row>
    <row r="17" spans="1:6" ht="12.6" thickTop="1">
      <c r="A17" s="220" t="str">
        <f>A2</f>
        <v>XI</v>
      </c>
      <c r="B17" s="204" t="str">
        <f>B2</f>
        <v>POŽARNA BRAVARIJA</v>
      </c>
      <c r="C17" s="248" t="s">
        <v>38</v>
      </c>
      <c r="D17" s="233"/>
      <c r="E17" s="259"/>
      <c r="F17" s="260">
        <f>SUM(F12:F16)</f>
        <v>3000</v>
      </c>
    </row>
  </sheetData>
  <sheetProtection selectLockedCells="1" selectUnlockedCells="1"/>
  <pageMargins left="0.75" right="0.75" top="0.98" bottom="0.98" header="0.51" footer="0.51"/>
  <pageSetup paperSize="9" scale="9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G40"/>
  <sheetViews>
    <sheetView topLeftCell="A25" zoomScaleNormal="100" zoomScaleSheetLayoutView="100" workbookViewId="0">
      <selection activeCell="F33" sqref="F33"/>
    </sheetView>
  </sheetViews>
  <sheetFormatPr defaultColWidth="9.21875" defaultRowHeight="12"/>
  <cols>
    <col min="1" max="1" width="3.5546875" style="21" customWidth="1"/>
    <col min="2" max="2" width="47.21875" style="186" customWidth="1"/>
    <col min="3" max="3" width="6.5546875" style="190" customWidth="1"/>
    <col min="4" max="4" width="6" style="24" customWidth="1"/>
    <col min="5" max="5" width="11.5546875" style="24" customWidth="1"/>
    <col min="6" max="6" width="12.21875" style="231" customWidth="1"/>
    <col min="7" max="16384" width="9.21875" style="25"/>
  </cols>
  <sheetData>
    <row r="2" spans="1:7" s="26" customFormat="1">
      <c r="A2" s="21" t="s">
        <v>97</v>
      </c>
      <c r="B2" s="31" t="s">
        <v>102</v>
      </c>
      <c r="C2" s="208"/>
      <c r="D2" s="27"/>
      <c r="E2" s="27"/>
      <c r="F2" s="261"/>
    </row>
    <row r="3" spans="1:7" s="26" customFormat="1">
      <c r="A3" s="21"/>
      <c r="B3" s="262"/>
      <c r="C3" s="208"/>
      <c r="D3" s="27"/>
      <c r="E3" s="27"/>
      <c r="F3" s="27"/>
    </row>
    <row r="4" spans="1:7" s="26" customFormat="1">
      <c r="A4" s="21"/>
      <c r="B4" s="262" t="s">
        <v>103</v>
      </c>
      <c r="C4" s="208"/>
      <c r="D4" s="27"/>
      <c r="E4" s="27"/>
      <c r="F4" s="27"/>
    </row>
    <row r="5" spans="1:7" s="26" customFormat="1" ht="279" customHeight="1">
      <c r="A5" s="21"/>
      <c r="B5" s="262" t="s">
        <v>2333</v>
      </c>
      <c r="C5" s="208"/>
      <c r="D5" s="27"/>
      <c r="E5" s="27"/>
      <c r="F5" s="27"/>
    </row>
    <row r="6" spans="1:7" s="26" customFormat="1" ht="45.6">
      <c r="A6" s="21"/>
      <c r="B6" s="262" t="s">
        <v>104</v>
      </c>
      <c r="C6" s="208"/>
      <c r="D6" s="27"/>
      <c r="E6" s="27"/>
      <c r="F6" s="27"/>
    </row>
    <row r="7" spans="1:7" s="26" customFormat="1">
      <c r="A7" s="21"/>
      <c r="B7" s="262"/>
      <c r="C7" s="208"/>
      <c r="D7" s="27"/>
      <c r="E7" s="27"/>
      <c r="F7" s="27"/>
    </row>
    <row r="8" spans="1:7" s="26" customFormat="1">
      <c r="A8" s="21" t="s">
        <v>8</v>
      </c>
      <c r="B8" s="262" t="s">
        <v>105</v>
      </c>
      <c r="C8" s="208"/>
      <c r="D8" s="27"/>
      <c r="E8" s="27"/>
      <c r="F8" s="27"/>
    </row>
    <row r="9" spans="1:7" s="26" customFormat="1" ht="22.5" customHeight="1">
      <c r="A9" s="21"/>
      <c r="B9" s="262" t="s">
        <v>1670</v>
      </c>
      <c r="C9" s="190" t="s">
        <v>196</v>
      </c>
      <c r="D9" s="28">
        <v>1</v>
      </c>
      <c r="E9" s="229">
        <v>3700</v>
      </c>
      <c r="F9" s="28">
        <f>D9*E9</f>
        <v>3700</v>
      </c>
      <c r="G9" s="229"/>
    </row>
    <row r="10" spans="1:7" s="26" customFormat="1">
      <c r="A10" s="21"/>
      <c r="B10" s="262"/>
      <c r="C10" s="190"/>
      <c r="D10" s="28"/>
      <c r="E10" s="229"/>
      <c r="F10" s="28"/>
      <c r="G10" s="229"/>
    </row>
    <row r="11" spans="1:7" s="26" customFormat="1">
      <c r="A11" s="21" t="s">
        <v>11</v>
      </c>
      <c r="B11" s="262" t="s">
        <v>342</v>
      </c>
      <c r="C11" s="208"/>
      <c r="D11" s="27"/>
      <c r="E11" s="27"/>
      <c r="F11" s="27"/>
      <c r="G11" s="27"/>
    </row>
    <row r="12" spans="1:7" s="26" customFormat="1" ht="33" customHeight="1">
      <c r="A12" s="21"/>
      <c r="B12" s="262" t="s">
        <v>404</v>
      </c>
      <c r="C12" s="190" t="s">
        <v>197</v>
      </c>
      <c r="D12" s="28">
        <v>11</v>
      </c>
      <c r="E12" s="229">
        <v>600</v>
      </c>
      <c r="F12" s="28">
        <f>D12*E12</f>
        <v>6600</v>
      </c>
      <c r="G12" s="229"/>
    </row>
    <row r="13" spans="1:7" s="26" customFormat="1" ht="34.950000000000003" customHeight="1">
      <c r="A13" s="21"/>
      <c r="B13" s="262"/>
      <c r="C13" s="190" t="s">
        <v>196</v>
      </c>
      <c r="D13" s="28">
        <v>8</v>
      </c>
      <c r="E13" s="229">
        <v>600</v>
      </c>
      <c r="F13" s="28">
        <f>D13*E13</f>
        <v>4800</v>
      </c>
      <c r="G13" s="229"/>
    </row>
    <row r="14" spans="1:7" s="26" customFormat="1" ht="34.950000000000003" customHeight="1">
      <c r="A14" s="21"/>
      <c r="B14" s="1116" t="s">
        <v>2368</v>
      </c>
      <c r="C14" s="190" t="s">
        <v>197</v>
      </c>
      <c r="D14" s="28">
        <v>3</v>
      </c>
      <c r="E14" s="229">
        <v>300</v>
      </c>
      <c r="F14" s="28">
        <f>D14*E14</f>
        <v>900</v>
      </c>
      <c r="G14" s="229"/>
    </row>
    <row r="15" spans="1:7" s="26" customFormat="1" ht="34.950000000000003" customHeight="1">
      <c r="A15" s="21"/>
      <c r="B15" s="1116" t="s">
        <v>2368</v>
      </c>
      <c r="C15" s="190" t="s">
        <v>196</v>
      </c>
      <c r="D15" s="28">
        <v>4</v>
      </c>
      <c r="E15" s="229">
        <v>300</v>
      </c>
      <c r="F15" s="28">
        <f>D15*E15</f>
        <v>1200</v>
      </c>
      <c r="G15" s="27"/>
    </row>
    <row r="16" spans="1:7" s="26" customFormat="1">
      <c r="A16" s="21"/>
      <c r="B16" s="262"/>
      <c r="C16" s="190"/>
      <c r="D16" s="28"/>
      <c r="E16" s="229"/>
      <c r="F16" s="28"/>
      <c r="G16" s="229"/>
    </row>
    <row r="17" spans="1:7" s="26" customFormat="1">
      <c r="A17" s="21" t="s">
        <v>12</v>
      </c>
      <c r="B17" s="262" t="s">
        <v>106</v>
      </c>
      <c r="C17" s="208"/>
      <c r="D17" s="27"/>
      <c r="E17" s="27"/>
      <c r="F17" s="27"/>
      <c r="G17" s="27"/>
    </row>
    <row r="18" spans="1:7" s="26" customFormat="1" ht="34.950000000000003" customHeight="1">
      <c r="A18" s="21"/>
      <c r="B18" s="262" t="s">
        <v>406</v>
      </c>
      <c r="C18" s="190" t="s">
        <v>197</v>
      </c>
      <c r="D18" s="28">
        <v>1</v>
      </c>
      <c r="E18" s="229">
        <v>600</v>
      </c>
      <c r="F18" s="28">
        <f>D18*E18</f>
        <v>600</v>
      </c>
      <c r="G18" s="27"/>
    </row>
    <row r="19" spans="1:7" s="26" customFormat="1">
      <c r="A19" s="21"/>
      <c r="B19" s="262"/>
      <c r="C19" s="208"/>
      <c r="D19" s="27"/>
      <c r="E19" s="27"/>
      <c r="F19" s="27"/>
      <c r="G19" s="229"/>
    </row>
    <row r="20" spans="1:7" s="26" customFormat="1">
      <c r="A20" s="21" t="s">
        <v>16</v>
      </c>
      <c r="B20" s="262" t="s">
        <v>343</v>
      </c>
      <c r="C20" s="208"/>
      <c r="D20" s="27"/>
      <c r="E20" s="27"/>
      <c r="F20" s="27"/>
      <c r="G20" s="229"/>
    </row>
    <row r="21" spans="1:7" s="26" customFormat="1" ht="22.5" customHeight="1">
      <c r="A21" s="21"/>
      <c r="B21" s="262" t="s">
        <v>1671</v>
      </c>
      <c r="C21" s="190" t="s">
        <v>197</v>
      </c>
      <c r="D21" s="28">
        <v>1</v>
      </c>
      <c r="E21" s="229">
        <v>700</v>
      </c>
      <c r="F21" s="28">
        <f>D21*E21</f>
        <v>700</v>
      </c>
      <c r="G21" s="229"/>
    </row>
    <row r="22" spans="1:7" s="26" customFormat="1" ht="34.950000000000003" customHeight="1">
      <c r="A22" s="21"/>
      <c r="B22" s="262"/>
      <c r="C22" s="190" t="s">
        <v>196</v>
      </c>
      <c r="D22" s="28">
        <v>1</v>
      </c>
      <c r="E22" s="229">
        <v>700</v>
      </c>
      <c r="F22" s="28">
        <f>D22*E22</f>
        <v>700</v>
      </c>
      <c r="G22" s="27"/>
    </row>
    <row r="23" spans="1:7" s="26" customFormat="1">
      <c r="A23" s="21"/>
      <c r="B23" s="262"/>
      <c r="C23" s="190"/>
      <c r="D23" s="28"/>
      <c r="E23" s="229"/>
      <c r="F23" s="28"/>
      <c r="G23" s="229"/>
    </row>
    <row r="24" spans="1:7" s="26" customFormat="1">
      <c r="A24" s="21" t="s">
        <v>18</v>
      </c>
      <c r="B24" s="262" t="s">
        <v>405</v>
      </c>
      <c r="C24" s="208"/>
      <c r="D24" s="27"/>
      <c r="E24" s="27"/>
      <c r="F24" s="27"/>
      <c r="G24" s="229"/>
    </row>
    <row r="25" spans="1:7" s="26" customFormat="1" ht="34.950000000000003" customHeight="1">
      <c r="A25" s="21"/>
      <c r="B25" s="262" t="s">
        <v>1672</v>
      </c>
      <c r="C25" s="190" t="s">
        <v>31</v>
      </c>
      <c r="D25" s="28">
        <v>5</v>
      </c>
      <c r="E25" s="229">
        <v>600</v>
      </c>
      <c r="F25" s="28">
        <f>D25*E25</f>
        <v>3000</v>
      </c>
      <c r="G25" s="27"/>
    </row>
    <row r="26" spans="1:7" s="26" customFormat="1">
      <c r="A26" s="21"/>
      <c r="B26" s="262"/>
      <c r="C26" s="190"/>
      <c r="D26" s="28"/>
      <c r="E26" s="229"/>
      <c r="F26" s="28"/>
      <c r="G26" s="229"/>
    </row>
    <row r="27" spans="1:7" s="26" customFormat="1">
      <c r="A27" s="21" t="s">
        <v>34</v>
      </c>
      <c r="B27" s="262" t="s">
        <v>1673</v>
      </c>
      <c r="C27" s="208"/>
      <c r="D27" s="27"/>
      <c r="E27" s="27"/>
      <c r="F27" s="27"/>
      <c r="G27" s="229"/>
    </row>
    <row r="28" spans="1:7" s="26" customFormat="1" ht="34.200000000000003">
      <c r="A28" s="21"/>
      <c r="B28" s="262" t="s">
        <v>2366</v>
      </c>
      <c r="C28" s="190" t="s">
        <v>31</v>
      </c>
      <c r="D28" s="28">
        <v>1</v>
      </c>
      <c r="E28" s="229">
        <v>1600</v>
      </c>
      <c r="F28" s="28">
        <f>D28*E28</f>
        <v>1600</v>
      </c>
      <c r="G28" s="27"/>
    </row>
    <row r="29" spans="1:7" s="26" customFormat="1">
      <c r="A29" s="21"/>
      <c r="B29" s="262"/>
      <c r="C29" s="190"/>
      <c r="D29" s="28"/>
      <c r="E29" s="229"/>
      <c r="F29" s="28"/>
      <c r="G29" s="229"/>
    </row>
    <row r="30" spans="1:7" s="26" customFormat="1">
      <c r="A30" s="21" t="s">
        <v>35</v>
      </c>
      <c r="B30" s="262" t="s">
        <v>407</v>
      </c>
      <c r="C30" s="208"/>
      <c r="D30" s="27"/>
      <c r="E30" s="27"/>
      <c r="F30" s="27"/>
    </row>
    <row r="31" spans="1:7" s="26" customFormat="1" ht="34.200000000000003">
      <c r="A31" s="21"/>
      <c r="B31" s="262" t="s">
        <v>2367</v>
      </c>
      <c r="C31" s="190" t="s">
        <v>31</v>
      </c>
      <c r="D31" s="28">
        <v>1</v>
      </c>
      <c r="E31" s="229">
        <v>1650</v>
      </c>
      <c r="F31" s="28">
        <f>D31*E31</f>
        <v>1650</v>
      </c>
    </row>
    <row r="32" spans="1:7" s="26" customFormat="1">
      <c r="A32" s="21"/>
      <c r="B32" s="262"/>
      <c r="C32" s="190"/>
      <c r="D32" s="28"/>
      <c r="E32" s="229"/>
      <c r="F32" s="28"/>
    </row>
    <row r="33" spans="1:6" s="26" customFormat="1">
      <c r="A33" s="21" t="s">
        <v>252</v>
      </c>
      <c r="B33" s="263" t="s">
        <v>198</v>
      </c>
      <c r="C33" s="190"/>
      <c r="D33" s="28"/>
      <c r="E33" s="229"/>
      <c r="F33" s="28"/>
    </row>
    <row r="34" spans="1:6" s="26" customFormat="1" ht="125.4">
      <c r="A34" s="21"/>
      <c r="B34" s="262" t="s">
        <v>1674</v>
      </c>
      <c r="C34" s="190"/>
      <c r="D34" s="28"/>
      <c r="E34" s="229"/>
      <c r="F34" s="28"/>
    </row>
    <row r="35" spans="1:6" s="26" customFormat="1">
      <c r="A35" s="21"/>
      <c r="B35" s="262" t="s">
        <v>1675</v>
      </c>
      <c r="C35" s="190" t="s">
        <v>33</v>
      </c>
      <c r="D35" s="28">
        <v>24</v>
      </c>
      <c r="E35" s="229">
        <v>300</v>
      </c>
      <c r="F35" s="28">
        <f>D35*E35</f>
        <v>7200</v>
      </c>
    </row>
    <row r="36" spans="1:6" s="26" customFormat="1">
      <c r="A36" s="21"/>
      <c r="B36" s="262" t="s">
        <v>408</v>
      </c>
      <c r="C36" s="190" t="s">
        <v>33</v>
      </c>
      <c r="D36" s="28">
        <v>16</v>
      </c>
      <c r="E36" s="229">
        <v>600</v>
      </c>
      <c r="F36" s="28">
        <f>D36*E36</f>
        <v>9600</v>
      </c>
    </row>
    <row r="37" spans="1:6" s="26" customFormat="1">
      <c r="A37" s="21"/>
      <c r="B37" s="262" t="s">
        <v>1676</v>
      </c>
      <c r="C37" s="190" t="s">
        <v>31</v>
      </c>
      <c r="D37" s="28">
        <v>9</v>
      </c>
      <c r="E37" s="229">
        <v>400</v>
      </c>
      <c r="F37" s="28">
        <f>D37*E37</f>
        <v>3600</v>
      </c>
    </row>
    <row r="38" spans="1:6" s="26" customFormat="1">
      <c r="A38" s="21"/>
      <c r="B38" s="262" t="s">
        <v>344</v>
      </c>
      <c r="C38" s="190" t="s">
        <v>31</v>
      </c>
      <c r="D38" s="28">
        <v>8</v>
      </c>
      <c r="E38" s="229">
        <v>800</v>
      </c>
      <c r="F38" s="28">
        <f>D38*E38</f>
        <v>6400</v>
      </c>
    </row>
    <row r="39" spans="1:6" s="26" customFormat="1" ht="12.6" thickBot="1">
      <c r="A39" s="21"/>
      <c r="B39" s="262"/>
      <c r="C39" s="190"/>
      <c r="D39" s="28"/>
      <c r="E39" s="229"/>
      <c r="F39" s="28"/>
    </row>
    <row r="40" spans="1:6" ht="12.6" thickTop="1">
      <c r="A40" s="220" t="str">
        <f>A2</f>
        <v>XII</v>
      </c>
      <c r="B40" s="232" t="str">
        <f>B2</f>
        <v>STOLARSKI RADOVI</v>
      </c>
      <c r="C40" s="205" t="s">
        <v>38</v>
      </c>
      <c r="D40" s="233"/>
      <c r="E40" s="233"/>
      <c r="F40" s="207">
        <f>SUM(F7:F39)</f>
        <v>52250</v>
      </c>
    </row>
  </sheetData>
  <sheetProtection selectLockedCells="1" selectUnlockedCells="1"/>
  <pageMargins left="0.71" right="0.71" top="0.75" bottom="0.75" header="0.51" footer="0.31"/>
  <pageSetup paperSize="9" orientation="portrait" r:id="rId1"/>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5"/>
  <sheetViews>
    <sheetView zoomScaleNormal="100" zoomScaleSheetLayoutView="100" workbookViewId="0">
      <selection activeCell="K13" sqref="K13"/>
    </sheetView>
  </sheetViews>
  <sheetFormatPr defaultColWidth="9.21875" defaultRowHeight="12"/>
  <cols>
    <col min="1" max="1" width="3.5546875" style="21" customWidth="1"/>
    <col min="2" max="2" width="47.21875" style="226" customWidth="1"/>
    <col min="3" max="3" width="6.5546875" style="25" customWidth="1"/>
    <col min="4" max="4" width="6" style="24" customWidth="1"/>
    <col min="5" max="5" width="9.21875" style="24"/>
    <col min="6" max="6" width="13.21875" style="231" customWidth="1"/>
    <col min="7" max="16384" width="9.21875" style="25"/>
  </cols>
  <sheetData>
    <row r="1" spans="1:6">
      <c r="F1" s="24"/>
    </row>
    <row r="2" spans="1:6" s="26" customFormat="1">
      <c r="A2" s="21" t="s">
        <v>101</v>
      </c>
      <c r="B2" s="22" t="s">
        <v>108</v>
      </c>
      <c r="D2" s="27"/>
      <c r="E2" s="264"/>
      <c r="F2" s="27"/>
    </row>
    <row r="3" spans="1:6" s="26" customFormat="1">
      <c r="A3" s="21"/>
      <c r="B3" s="22"/>
      <c r="D3" s="27"/>
      <c r="E3" s="264"/>
      <c r="F3" s="27"/>
    </row>
    <row r="4" spans="1:6" s="26" customFormat="1">
      <c r="A4" s="21"/>
      <c r="B4" s="22"/>
      <c r="D4" s="27"/>
      <c r="E4" s="264"/>
      <c r="F4" s="27"/>
    </row>
    <row r="5" spans="1:6" s="26" customFormat="1">
      <c r="A5" s="21"/>
      <c r="B5" s="235"/>
      <c r="C5" s="25"/>
      <c r="D5" s="24"/>
      <c r="E5" s="231"/>
      <c r="F5" s="24"/>
    </row>
    <row r="6" spans="1:6" s="26" customFormat="1">
      <c r="A6" s="21" t="s">
        <v>8</v>
      </c>
      <c r="B6" s="22" t="s">
        <v>109</v>
      </c>
      <c r="C6" s="25"/>
      <c r="D6" s="24"/>
      <c r="E6" s="265"/>
      <c r="F6" s="24"/>
    </row>
    <row r="7" spans="1:6" s="26" customFormat="1" ht="68.400000000000006">
      <c r="A7" s="21"/>
      <c r="B7" s="33" t="s">
        <v>714</v>
      </c>
      <c r="C7" s="25"/>
      <c r="D7" s="24"/>
      <c r="E7" s="265"/>
      <c r="F7" s="24"/>
    </row>
    <row r="8" spans="1:6" s="26" customFormat="1">
      <c r="A8" s="21"/>
      <c r="B8" s="235" t="s">
        <v>110</v>
      </c>
      <c r="C8" s="25" t="s">
        <v>33</v>
      </c>
      <c r="D8" s="24">
        <v>426</v>
      </c>
      <c r="E8" s="231">
        <v>60</v>
      </c>
      <c r="F8" s="28">
        <f>D8*E8</f>
        <v>25560</v>
      </c>
    </row>
    <row r="9" spans="1:6" s="26" customFormat="1">
      <c r="A9" s="21"/>
      <c r="B9" s="224"/>
      <c r="C9" s="25"/>
      <c r="D9" s="24"/>
      <c r="E9" s="24"/>
      <c r="F9" s="24"/>
    </row>
    <row r="10" spans="1:6" s="26" customFormat="1">
      <c r="A10" s="21" t="s">
        <v>11</v>
      </c>
      <c r="B10" s="22" t="s">
        <v>111</v>
      </c>
      <c r="C10" s="25"/>
      <c r="D10" s="24"/>
      <c r="E10" s="265"/>
      <c r="F10" s="24"/>
    </row>
    <row r="11" spans="1:6" s="26" customFormat="1" ht="68.400000000000006">
      <c r="A11" s="21"/>
      <c r="B11" s="33" t="s">
        <v>154</v>
      </c>
      <c r="C11" s="25"/>
      <c r="D11" s="24"/>
      <c r="E11" s="265"/>
      <c r="F11" s="24"/>
    </row>
    <row r="12" spans="1:6" s="26" customFormat="1">
      <c r="A12" s="21"/>
      <c r="B12" s="235" t="s">
        <v>112</v>
      </c>
      <c r="C12" s="25" t="s">
        <v>36</v>
      </c>
      <c r="D12" s="24">
        <v>43</v>
      </c>
      <c r="E12" s="231">
        <v>60</v>
      </c>
      <c r="F12" s="28">
        <f>D12*E12</f>
        <v>2580</v>
      </c>
    </row>
    <row r="13" spans="1:6" s="26" customFormat="1">
      <c r="A13" s="21"/>
      <c r="B13" s="224"/>
      <c r="C13" s="25"/>
      <c r="D13" s="24"/>
      <c r="E13" s="24"/>
      <c r="F13" s="24"/>
    </row>
    <row r="14" spans="1:6" ht="12.6" thickBot="1">
      <c r="B14" s="266"/>
      <c r="C14" s="234"/>
      <c r="F14" s="24"/>
    </row>
    <row r="15" spans="1:6" ht="12.6" thickTop="1">
      <c r="A15" s="220" t="str">
        <f>A2</f>
        <v>XIII</v>
      </c>
      <c r="B15" s="267" t="str">
        <f>B2</f>
        <v>LIMARSKI RADOVI</v>
      </c>
      <c r="C15" s="221" t="s">
        <v>38</v>
      </c>
      <c r="D15" s="233"/>
      <c r="E15" s="233"/>
      <c r="F15" s="207">
        <f>SUM(F5:F13)</f>
        <v>28140</v>
      </c>
    </row>
  </sheetData>
  <sheetProtection selectLockedCells="1" selectUnlockedCells="1"/>
  <pageMargins left="0.71" right="0.71" top="0.75" bottom="0.75" header="0.51" footer="0.31"/>
  <pageSetup paperSize="9" scale="92" orientation="portrait" r:id="rId1"/>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F45"/>
  <sheetViews>
    <sheetView topLeftCell="A15" zoomScaleNormal="100" zoomScaleSheetLayoutView="100" workbookViewId="0">
      <selection activeCell="I6" sqref="I6"/>
    </sheetView>
  </sheetViews>
  <sheetFormatPr defaultColWidth="9.21875" defaultRowHeight="12"/>
  <cols>
    <col min="1" max="1" width="3.5546875" style="21" customWidth="1"/>
    <col min="2" max="2" width="47.21875" style="186" customWidth="1"/>
    <col min="3" max="3" width="6.5546875" style="25" customWidth="1"/>
    <col min="4" max="4" width="7.21875" style="24" bestFit="1" customWidth="1"/>
    <col min="5" max="5" width="9.21875" style="24"/>
    <col min="6" max="6" width="12.77734375" style="231" bestFit="1" customWidth="1"/>
    <col min="7" max="16384" width="9.21875" style="25"/>
  </cols>
  <sheetData>
    <row r="2" spans="1:6" s="26" customFormat="1">
      <c r="A2" s="21" t="s">
        <v>107</v>
      </c>
      <c r="B2" s="22" t="s">
        <v>114</v>
      </c>
      <c r="D2" s="27"/>
      <c r="E2" s="264"/>
      <c r="F2" s="27"/>
    </row>
    <row r="3" spans="1:6" s="26" customFormat="1">
      <c r="A3" s="272"/>
      <c r="B3" s="186"/>
      <c r="C3" s="25"/>
      <c r="D3" s="24"/>
      <c r="E3" s="265"/>
      <c r="F3" s="24"/>
    </row>
    <row r="4" spans="1:6" s="26" customFormat="1">
      <c r="A4" s="21"/>
      <c r="B4" s="33"/>
      <c r="C4" s="210"/>
      <c r="D4" s="24"/>
      <c r="E4" s="231"/>
      <c r="F4" s="24"/>
    </row>
    <row r="5" spans="1:6" s="26" customFormat="1" ht="24">
      <c r="A5" s="21" t="s">
        <v>8</v>
      </c>
      <c r="B5" s="22" t="s">
        <v>715</v>
      </c>
      <c r="C5" s="210"/>
      <c r="D5" s="24"/>
      <c r="E5" s="231"/>
      <c r="F5" s="24"/>
    </row>
    <row r="6" spans="1:6" s="26" customFormat="1" ht="173.4">
      <c r="A6" s="21"/>
      <c r="B6" s="33" t="s">
        <v>245</v>
      </c>
      <c r="C6" s="210"/>
      <c r="D6" s="24"/>
      <c r="E6" s="231"/>
      <c r="F6" s="24"/>
    </row>
    <row r="7" spans="1:6" s="26" customFormat="1">
      <c r="A7" s="21"/>
      <c r="B7" s="33" t="s">
        <v>115</v>
      </c>
      <c r="F7" s="27"/>
    </row>
    <row r="8" spans="1:6" s="26" customFormat="1">
      <c r="A8" s="21"/>
      <c r="B8" s="33"/>
      <c r="C8" s="210" t="s">
        <v>66</v>
      </c>
      <c r="D8" s="24">
        <v>1426</v>
      </c>
      <c r="E8" s="231">
        <v>45</v>
      </c>
      <c r="F8" s="28">
        <f>D8*E8</f>
        <v>64170</v>
      </c>
    </row>
    <row r="9" spans="1:6" s="26" customFormat="1">
      <c r="A9" s="21"/>
      <c r="C9" s="210"/>
      <c r="D9" s="24"/>
      <c r="E9" s="231"/>
      <c r="F9" s="24"/>
    </row>
    <row r="10" spans="1:6" s="26" customFormat="1" ht="24">
      <c r="A10" s="21" t="s">
        <v>11</v>
      </c>
      <c r="B10" s="224" t="s">
        <v>199</v>
      </c>
      <c r="C10" s="210"/>
      <c r="D10" s="24"/>
      <c r="E10" s="231"/>
      <c r="F10" s="24"/>
    </row>
    <row r="11" spans="1:6" s="26" customFormat="1" ht="69">
      <c r="A11" s="21"/>
      <c r="B11" s="226" t="s">
        <v>116</v>
      </c>
      <c r="C11" s="210"/>
      <c r="D11" s="24"/>
      <c r="E11" s="231"/>
      <c r="F11" s="24"/>
    </row>
    <row r="12" spans="1:6" s="26" customFormat="1" ht="34.799999999999997">
      <c r="A12" s="21"/>
      <c r="B12" s="226" t="s">
        <v>117</v>
      </c>
      <c r="C12" s="210"/>
      <c r="D12" s="24"/>
      <c r="E12" s="231"/>
      <c r="F12" s="24"/>
    </row>
    <row r="13" spans="1:6" s="26" customFormat="1" ht="57.6">
      <c r="A13" s="21"/>
      <c r="B13" s="226" t="s">
        <v>118</v>
      </c>
      <c r="C13" s="210"/>
      <c r="D13" s="24"/>
      <c r="E13" s="231"/>
      <c r="F13" s="24"/>
    </row>
    <row r="14" spans="1:6" s="26" customFormat="1" ht="34.799999999999997">
      <c r="A14" s="21"/>
      <c r="B14" s="226" t="s">
        <v>119</v>
      </c>
      <c r="C14" s="210"/>
      <c r="D14" s="24"/>
      <c r="E14" s="231"/>
      <c r="F14" s="24"/>
    </row>
    <row r="15" spans="1:6" s="26" customFormat="1" ht="34.799999999999997">
      <c r="A15" s="21"/>
      <c r="B15" s="226" t="s">
        <v>120</v>
      </c>
      <c r="C15" s="210"/>
      <c r="D15" s="24"/>
      <c r="E15" s="231"/>
      <c r="F15" s="24"/>
    </row>
    <row r="16" spans="1:6" s="26" customFormat="1" ht="23.4">
      <c r="A16" s="21"/>
      <c r="B16" s="226" t="s">
        <v>121</v>
      </c>
      <c r="C16" s="210"/>
      <c r="D16" s="24"/>
      <c r="E16" s="231"/>
      <c r="F16" s="24"/>
    </row>
    <row r="17" spans="1:6" s="26" customFormat="1" ht="23.4">
      <c r="A17" s="21"/>
      <c r="B17" s="226" t="s">
        <v>122</v>
      </c>
      <c r="C17" s="210"/>
      <c r="D17" s="24"/>
      <c r="E17" s="231"/>
      <c r="F17" s="24"/>
    </row>
    <row r="18" spans="1:6" s="26" customFormat="1">
      <c r="A18" s="21"/>
      <c r="B18" s="226" t="s">
        <v>123</v>
      </c>
      <c r="C18" s="210"/>
      <c r="D18" s="24"/>
      <c r="E18" s="231"/>
      <c r="F18" s="24"/>
    </row>
    <row r="19" spans="1:6" s="26" customFormat="1">
      <c r="A19" s="21"/>
      <c r="B19" s="226" t="s">
        <v>124</v>
      </c>
      <c r="C19" s="210"/>
      <c r="D19" s="24"/>
      <c r="E19" s="231"/>
      <c r="F19" s="24"/>
    </row>
    <row r="20" spans="1:6" s="26" customFormat="1">
      <c r="A20" s="21"/>
      <c r="B20" s="33" t="s">
        <v>115</v>
      </c>
      <c r="C20" s="210"/>
      <c r="D20" s="24"/>
      <c r="E20" s="231"/>
      <c r="F20" s="24"/>
    </row>
    <row r="21" spans="1:6" s="26" customFormat="1">
      <c r="A21" s="21"/>
      <c r="B21" s="226" t="s">
        <v>125</v>
      </c>
      <c r="D21" s="247"/>
      <c r="F21" s="27"/>
    </row>
    <row r="22" spans="1:6" s="26" customFormat="1">
      <c r="A22" s="21"/>
      <c r="B22" s="226" t="s">
        <v>1045</v>
      </c>
      <c r="C22" s="210" t="s">
        <v>66</v>
      </c>
      <c r="D22" s="24">
        <v>39</v>
      </c>
      <c r="E22" s="231">
        <v>55</v>
      </c>
      <c r="F22" s="28">
        <f>D22*E22</f>
        <v>2145</v>
      </c>
    </row>
    <row r="23" spans="1:6" s="26" customFormat="1" ht="34.799999999999997">
      <c r="A23" s="21"/>
      <c r="B23" s="226" t="s">
        <v>1046</v>
      </c>
      <c r="C23" s="210" t="s">
        <v>66</v>
      </c>
      <c r="D23" s="24">
        <v>41</v>
      </c>
      <c r="E23" s="231">
        <v>65</v>
      </c>
      <c r="F23" s="28">
        <f>D23*E23</f>
        <v>2665</v>
      </c>
    </row>
    <row r="24" spans="1:6" s="26" customFormat="1">
      <c r="A24" s="21"/>
      <c r="B24" s="226"/>
      <c r="C24" s="210"/>
      <c r="D24" s="219"/>
      <c r="E24" s="231"/>
      <c r="F24" s="24"/>
    </row>
    <row r="25" spans="1:6" s="26" customFormat="1">
      <c r="A25" s="21" t="s">
        <v>16</v>
      </c>
      <c r="B25" s="224" t="s">
        <v>345</v>
      </c>
      <c r="C25" s="210"/>
      <c r="D25" s="24"/>
      <c r="E25" s="231"/>
      <c r="F25" s="24"/>
    </row>
    <row r="26" spans="1:6" s="26" customFormat="1" ht="172.8">
      <c r="A26" s="21"/>
      <c r="B26" s="230" t="s">
        <v>805</v>
      </c>
      <c r="C26" s="210"/>
      <c r="D26" s="24"/>
      <c r="E26" s="231"/>
      <c r="F26" s="24"/>
    </row>
    <row r="27" spans="1:6" s="26" customFormat="1">
      <c r="A27" s="21"/>
      <c r="B27" s="226" t="s">
        <v>124</v>
      </c>
      <c r="C27" s="210"/>
      <c r="D27" s="24"/>
      <c r="E27" s="231"/>
      <c r="F27" s="24"/>
    </row>
    <row r="28" spans="1:6" s="26" customFormat="1">
      <c r="A28" s="21"/>
      <c r="B28" s="226" t="s">
        <v>346</v>
      </c>
      <c r="C28" s="210" t="s">
        <v>66</v>
      </c>
      <c r="D28" s="24">
        <v>49</v>
      </c>
      <c r="E28" s="231">
        <v>70</v>
      </c>
      <c r="F28" s="28">
        <f>D28*E28</f>
        <v>3430</v>
      </c>
    </row>
    <row r="29" spans="1:6" s="26" customFormat="1">
      <c r="A29" s="21"/>
      <c r="B29" s="33"/>
      <c r="C29" s="210"/>
      <c r="D29" s="24"/>
      <c r="E29" s="231"/>
      <c r="F29" s="24"/>
    </row>
    <row r="30" spans="1:6" s="26" customFormat="1">
      <c r="A30" s="21" t="s">
        <v>18</v>
      </c>
      <c r="B30" s="224" t="s">
        <v>200</v>
      </c>
      <c r="C30" s="210"/>
      <c r="D30" s="24"/>
      <c r="E30" s="231"/>
      <c r="F30" s="24"/>
    </row>
    <row r="31" spans="1:6" s="26" customFormat="1" ht="103.2">
      <c r="A31" s="21"/>
      <c r="B31" s="273" t="s">
        <v>201</v>
      </c>
      <c r="C31" s="210"/>
      <c r="D31" s="24"/>
      <c r="E31" s="231"/>
      <c r="F31" s="24"/>
    </row>
    <row r="32" spans="1:6" s="26" customFormat="1" ht="34.799999999999997">
      <c r="A32" s="21"/>
      <c r="B32" s="273" t="s">
        <v>126</v>
      </c>
      <c r="C32" s="210"/>
      <c r="D32" s="24"/>
      <c r="E32" s="231"/>
      <c r="F32" s="24"/>
    </row>
    <row r="33" spans="1:6" s="26" customFormat="1" ht="34.799999999999997">
      <c r="A33" s="21"/>
      <c r="B33" s="273" t="s">
        <v>120</v>
      </c>
      <c r="C33" s="210"/>
      <c r="D33" s="24"/>
      <c r="E33" s="231"/>
      <c r="F33" s="24"/>
    </row>
    <row r="34" spans="1:6" s="26" customFormat="1" ht="23.4">
      <c r="A34" s="21"/>
      <c r="B34" s="273" t="s">
        <v>127</v>
      </c>
      <c r="C34" s="210"/>
      <c r="D34" s="24"/>
      <c r="E34" s="231"/>
      <c r="F34" s="24"/>
    </row>
    <row r="35" spans="1:6" s="26" customFormat="1" ht="23.4">
      <c r="A35" s="21"/>
      <c r="B35" s="273" t="s">
        <v>128</v>
      </c>
      <c r="C35" s="210"/>
      <c r="D35" s="24"/>
      <c r="E35" s="231"/>
      <c r="F35" s="24"/>
    </row>
    <row r="36" spans="1:6" s="26" customFormat="1">
      <c r="A36" s="21"/>
      <c r="B36" s="273" t="s">
        <v>123</v>
      </c>
      <c r="C36" s="210"/>
      <c r="D36" s="24"/>
      <c r="E36" s="231"/>
      <c r="F36" s="24"/>
    </row>
    <row r="37" spans="1:6" s="26" customFormat="1">
      <c r="A37" s="21"/>
      <c r="B37" s="273" t="s">
        <v>124</v>
      </c>
      <c r="C37" s="210"/>
      <c r="D37" s="24"/>
      <c r="E37" s="231"/>
      <c r="F37" s="24"/>
    </row>
    <row r="38" spans="1:6" s="26" customFormat="1">
      <c r="A38" s="21"/>
      <c r="B38" s="273" t="s">
        <v>129</v>
      </c>
      <c r="F38" s="27"/>
    </row>
    <row r="39" spans="1:6" s="26" customFormat="1">
      <c r="A39" s="21"/>
      <c r="B39" s="33" t="s">
        <v>1047</v>
      </c>
      <c r="C39" s="210" t="s">
        <v>66</v>
      </c>
      <c r="D39" s="24">
        <v>292</v>
      </c>
      <c r="E39" s="231">
        <v>56</v>
      </c>
      <c r="F39" s="28">
        <f t="shared" ref="F39:F41" si="0">D39*E39</f>
        <v>16352</v>
      </c>
    </row>
    <row r="40" spans="1:6" s="26" customFormat="1">
      <c r="A40" s="21"/>
      <c r="B40" s="33" t="s">
        <v>1048</v>
      </c>
      <c r="C40" s="210" t="s">
        <v>66</v>
      </c>
      <c r="D40" s="24">
        <v>318</v>
      </c>
      <c r="E40" s="231">
        <v>58</v>
      </c>
      <c r="F40" s="28">
        <f>D40*E40</f>
        <v>18444</v>
      </c>
    </row>
    <row r="41" spans="1:6" s="26" customFormat="1">
      <c r="A41" s="21"/>
      <c r="B41" s="33" t="s">
        <v>1049</v>
      </c>
      <c r="C41" s="210" t="s">
        <v>66</v>
      </c>
      <c r="D41" s="24">
        <v>67</v>
      </c>
      <c r="E41" s="231">
        <v>60</v>
      </c>
      <c r="F41" s="28">
        <f t="shared" si="0"/>
        <v>4020</v>
      </c>
    </row>
    <row r="42" spans="1:6" s="26" customFormat="1">
      <c r="A42" s="21"/>
      <c r="B42" s="33"/>
      <c r="C42" s="210"/>
      <c r="D42" s="24"/>
      <c r="E42" s="231"/>
      <c r="F42" s="24"/>
    </row>
    <row r="43" spans="1:6" s="26" customFormat="1">
      <c r="A43" s="21"/>
      <c r="B43" s="33"/>
      <c r="C43" s="210"/>
      <c r="D43" s="24"/>
      <c r="E43" s="231"/>
      <c r="F43" s="24"/>
    </row>
    <row r="44" spans="1:6" s="26" customFormat="1" ht="12.6" thickBot="1">
      <c r="A44" s="21"/>
      <c r="B44" s="186"/>
      <c r="C44" s="28"/>
      <c r="D44" s="28"/>
      <c r="E44" s="229"/>
      <c r="F44" s="28"/>
    </row>
    <row r="45" spans="1:6" ht="12.6" thickTop="1">
      <c r="A45" s="220" t="str">
        <f>A2</f>
        <v>XIV</v>
      </c>
      <c r="B45" s="232" t="str">
        <f>B2</f>
        <v>GIPSKARTONSKI RADOVI</v>
      </c>
      <c r="C45" s="221" t="s">
        <v>38</v>
      </c>
      <c r="D45" s="233"/>
      <c r="E45" s="233"/>
      <c r="F45" s="207">
        <f>SUM(F4:F44)</f>
        <v>111226</v>
      </c>
    </row>
  </sheetData>
  <sheetProtection selectLockedCells="1" selectUnlockedCells="1"/>
  <pageMargins left="0.71" right="0.71" top="0.75" bottom="0.75" header="0.51" footer="0.51"/>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F20"/>
  <sheetViews>
    <sheetView topLeftCell="A4" zoomScaleNormal="100" zoomScaleSheetLayoutView="100" workbookViewId="0">
      <selection activeCell="E9" sqref="E9"/>
    </sheetView>
  </sheetViews>
  <sheetFormatPr defaultColWidth="9.21875" defaultRowHeight="12"/>
  <cols>
    <col min="1" max="1" width="3.5546875" style="21" customWidth="1"/>
    <col min="2" max="2" width="47.21875" style="186" customWidth="1"/>
    <col min="3" max="3" width="6.5546875" style="25" customWidth="1"/>
    <col min="4" max="4" width="7" style="24" bestFit="1" customWidth="1"/>
    <col min="5" max="5" width="10.77734375" style="24" customWidth="1"/>
    <col min="6" max="6" width="13.21875" style="231" customWidth="1"/>
    <col min="7" max="16384" width="9.21875" style="25"/>
  </cols>
  <sheetData>
    <row r="2" spans="1:6" s="26" customFormat="1">
      <c r="A2" s="21" t="s">
        <v>113</v>
      </c>
      <c r="B2" s="31" t="s">
        <v>202</v>
      </c>
      <c r="D2" s="27"/>
      <c r="E2" s="27"/>
      <c r="F2" s="27"/>
    </row>
    <row r="3" spans="1:6" s="26" customFormat="1">
      <c r="A3" s="21"/>
      <c r="B3" s="31"/>
      <c r="D3" s="27"/>
      <c r="E3" s="27"/>
      <c r="F3" s="27"/>
    </row>
    <row r="4" spans="1:6" s="26" customFormat="1">
      <c r="A4" s="21"/>
      <c r="B4" s="31"/>
      <c r="D4" s="27"/>
      <c r="E4" s="27"/>
      <c r="F4" s="27"/>
    </row>
    <row r="5" spans="1:6" s="26" customFormat="1">
      <c r="A5" s="21" t="s">
        <v>8</v>
      </c>
      <c r="B5" s="218" t="s">
        <v>132</v>
      </c>
      <c r="C5" s="25"/>
      <c r="D5" s="24"/>
      <c r="E5" s="24"/>
      <c r="F5" s="24"/>
    </row>
    <row r="6" spans="1:6" s="26" customFormat="1" ht="136.80000000000001">
      <c r="A6" s="21"/>
      <c r="B6" s="33" t="s">
        <v>1050</v>
      </c>
      <c r="C6" s="25"/>
      <c r="D6" s="24"/>
      <c r="E6" s="24"/>
      <c r="F6" s="24"/>
    </row>
    <row r="7" spans="1:6" s="26" customFormat="1">
      <c r="A7" s="21"/>
      <c r="B7" s="32" t="s">
        <v>1051</v>
      </c>
      <c r="C7" s="25" t="s">
        <v>36</v>
      </c>
      <c r="D7" s="24">
        <v>652</v>
      </c>
      <c r="E7" s="24">
        <v>55</v>
      </c>
      <c r="F7" s="28">
        <f>D7*E7</f>
        <v>35860</v>
      </c>
    </row>
    <row r="8" spans="1:6" s="26" customFormat="1">
      <c r="A8" s="21"/>
      <c r="B8" s="32" t="s">
        <v>1052</v>
      </c>
      <c r="C8" s="25" t="s">
        <v>36</v>
      </c>
      <c r="D8" s="24">
        <v>78</v>
      </c>
      <c r="E8" s="24">
        <v>55</v>
      </c>
      <c r="F8" s="28">
        <f>D8*E8</f>
        <v>4290</v>
      </c>
    </row>
    <row r="9" spans="1:6" s="26" customFormat="1">
      <c r="A9" s="21"/>
      <c r="B9" s="32"/>
      <c r="C9" s="25"/>
      <c r="D9" s="24"/>
      <c r="E9" s="24"/>
      <c r="F9" s="24"/>
    </row>
    <row r="10" spans="1:6" s="26" customFormat="1">
      <c r="A10" s="21" t="s">
        <v>11</v>
      </c>
      <c r="B10" s="218" t="s">
        <v>133</v>
      </c>
      <c r="C10" s="25"/>
      <c r="D10" s="24"/>
      <c r="E10" s="24"/>
      <c r="F10" s="24"/>
    </row>
    <row r="11" spans="1:6" s="26" customFormat="1" ht="91.2">
      <c r="A11" s="272"/>
      <c r="B11" s="33" t="s">
        <v>203</v>
      </c>
      <c r="C11" s="25"/>
      <c r="D11" s="24"/>
      <c r="E11" s="24"/>
      <c r="F11" s="274"/>
    </row>
    <row r="12" spans="1:6" s="26" customFormat="1">
      <c r="A12" s="21"/>
      <c r="B12" s="235" t="s">
        <v>1053</v>
      </c>
      <c r="C12" s="25" t="s">
        <v>36</v>
      </c>
      <c r="D12" s="24">
        <v>151</v>
      </c>
      <c r="E12" s="24">
        <v>60</v>
      </c>
      <c r="F12" s="28">
        <f t="shared" ref="F12:F15" si="0">D12*E12</f>
        <v>9060</v>
      </c>
    </row>
    <row r="13" spans="1:6" s="26" customFormat="1">
      <c r="A13" s="21"/>
      <c r="B13" s="235" t="s">
        <v>1054</v>
      </c>
      <c r="C13" s="25" t="s">
        <v>36</v>
      </c>
      <c r="D13" s="24">
        <v>173</v>
      </c>
      <c r="E13" s="24">
        <v>60</v>
      </c>
      <c r="F13" s="28">
        <f t="shared" si="0"/>
        <v>10380</v>
      </c>
    </row>
    <row r="14" spans="1:6" s="26" customFormat="1">
      <c r="A14" s="21"/>
      <c r="B14" s="186" t="s">
        <v>1055</v>
      </c>
      <c r="C14" s="25" t="s">
        <v>33</v>
      </c>
      <c r="D14" s="24">
        <v>253</v>
      </c>
      <c r="E14" s="24">
        <v>25</v>
      </c>
      <c r="F14" s="28">
        <f t="shared" si="0"/>
        <v>6325</v>
      </c>
    </row>
    <row r="15" spans="1:6" s="26" customFormat="1">
      <c r="A15" s="21"/>
      <c r="B15" s="235" t="s">
        <v>1056</v>
      </c>
      <c r="C15" s="25" t="s">
        <v>36</v>
      </c>
      <c r="D15" s="24">
        <v>39</v>
      </c>
      <c r="E15" s="24">
        <v>80</v>
      </c>
      <c r="F15" s="28">
        <f t="shared" si="0"/>
        <v>3120</v>
      </c>
    </row>
    <row r="16" spans="1:6" s="26" customFormat="1">
      <c r="A16" s="21"/>
      <c r="B16" s="186"/>
      <c r="C16" s="25"/>
      <c r="D16" s="24"/>
      <c r="E16" s="24"/>
      <c r="F16" s="28"/>
    </row>
    <row r="17" spans="1:6" s="26" customFormat="1">
      <c r="A17" s="21"/>
      <c r="B17" s="275" t="s">
        <v>1057</v>
      </c>
      <c r="C17" s="25" t="s">
        <v>36</v>
      </c>
      <c r="D17" s="24">
        <v>521</v>
      </c>
      <c r="E17" s="24">
        <v>60</v>
      </c>
      <c r="F17" s="28">
        <f>D17*E17</f>
        <v>31260</v>
      </c>
    </row>
    <row r="18" spans="1:6" s="26" customFormat="1">
      <c r="A18" s="21"/>
      <c r="B18" s="275" t="s">
        <v>1058</v>
      </c>
      <c r="C18" s="25" t="s">
        <v>33</v>
      </c>
      <c r="D18" s="24">
        <v>229</v>
      </c>
      <c r="E18" s="24">
        <v>25</v>
      </c>
      <c r="F18" s="28">
        <f>D18*E18</f>
        <v>5725</v>
      </c>
    </row>
    <row r="19" spans="1:6" s="26" customFormat="1" ht="12.6" thickBot="1">
      <c r="A19" s="21"/>
      <c r="B19" s="186"/>
      <c r="C19" s="25"/>
      <c r="D19" s="24"/>
      <c r="E19" s="24"/>
      <c r="F19" s="28"/>
    </row>
    <row r="20" spans="1:6" ht="12.6" thickTop="1">
      <c r="A20" s="220" t="str">
        <f>A2</f>
        <v>XV</v>
      </c>
      <c r="B20" s="232" t="str">
        <f>B2</f>
        <v>KERAMIČARSKI RADOVI</v>
      </c>
      <c r="C20" s="221" t="s">
        <v>38</v>
      </c>
      <c r="D20" s="233"/>
      <c r="E20" s="233"/>
      <c r="F20" s="207">
        <f>SUM(F6:F19)</f>
        <v>106020</v>
      </c>
    </row>
  </sheetData>
  <sheetProtection selectLockedCells="1" selectUnlockedCells="1"/>
  <pageMargins left="0.71" right="0.71" top="0.75" bottom="0.75" header="0.51" footer="0.51"/>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6194-8014-492C-8CC4-5A018E6938FC}">
  <dimension ref="A2:F99"/>
  <sheetViews>
    <sheetView topLeftCell="A77" zoomScaleNormal="100" zoomScaleSheetLayoutView="100" workbookViewId="0">
      <selection activeCell="E61" sqref="E61"/>
    </sheetView>
  </sheetViews>
  <sheetFormatPr defaultColWidth="9.21875" defaultRowHeight="12"/>
  <cols>
    <col min="1" max="1" width="3.5546875" style="283" customWidth="1"/>
    <col min="2" max="2" width="47.21875" style="275" customWidth="1"/>
    <col min="3" max="3" width="6.5546875" style="289" customWidth="1"/>
    <col min="4" max="4" width="7" style="290" bestFit="1" customWidth="1"/>
    <col min="5" max="5" width="10.77734375" style="291" customWidth="1"/>
    <col min="6" max="6" width="13.21875" style="291" customWidth="1"/>
    <col min="7" max="16384" width="9.21875" style="289"/>
  </cols>
  <sheetData>
    <row r="2" spans="1:6" s="285" customFormat="1">
      <c r="A2" s="283" t="s">
        <v>130</v>
      </c>
      <c r="B2" s="284" t="s">
        <v>131</v>
      </c>
      <c r="D2" s="286"/>
      <c r="E2" s="287"/>
      <c r="F2" s="287"/>
    </row>
    <row r="3" spans="1:6" s="285" customFormat="1">
      <c r="A3" s="283"/>
      <c r="B3" s="284"/>
      <c r="D3" s="286"/>
      <c r="E3" s="287"/>
      <c r="F3" s="287"/>
    </row>
    <row r="4" spans="1:6" s="285" customFormat="1">
      <c r="A4" s="283"/>
      <c r="B4" s="276" t="s">
        <v>410</v>
      </c>
      <c r="D4" s="286"/>
      <c r="E4" s="287"/>
      <c r="F4" s="287"/>
    </row>
    <row r="5" spans="1:6" s="285" customFormat="1" ht="57">
      <c r="A5" s="283"/>
      <c r="B5" s="277" t="s">
        <v>411</v>
      </c>
      <c r="D5" s="286"/>
      <c r="E5" s="287"/>
      <c r="F5" s="287"/>
    </row>
    <row r="6" spans="1:6" s="285" customFormat="1" ht="45.6">
      <c r="A6" s="283"/>
      <c r="B6" s="277" t="s">
        <v>412</v>
      </c>
      <c r="D6" s="286"/>
      <c r="E6" s="287"/>
      <c r="F6" s="287"/>
    </row>
    <row r="7" spans="1:6" s="285" customFormat="1">
      <c r="A7" s="283"/>
      <c r="B7" s="276" t="s">
        <v>413</v>
      </c>
      <c r="D7" s="286"/>
      <c r="E7" s="287"/>
      <c r="F7" s="287"/>
    </row>
    <row r="8" spans="1:6" s="285" customFormat="1" ht="22.8">
      <c r="A8" s="283"/>
      <c r="B8" s="277" t="s">
        <v>414</v>
      </c>
      <c r="D8" s="286"/>
      <c r="E8" s="287"/>
      <c r="F8" s="287"/>
    </row>
    <row r="9" spans="1:6" s="285" customFormat="1" ht="57">
      <c r="A9" s="283"/>
      <c r="B9" s="277" t="s">
        <v>415</v>
      </c>
      <c r="D9" s="286"/>
      <c r="E9" s="287"/>
      <c r="F9" s="287"/>
    </row>
    <row r="10" spans="1:6" s="285" customFormat="1" ht="34.200000000000003">
      <c r="A10" s="283"/>
      <c r="B10" s="277" t="s">
        <v>416</v>
      </c>
      <c r="D10" s="286"/>
      <c r="E10" s="287"/>
      <c r="F10" s="287"/>
    </row>
    <row r="11" spans="1:6" s="285" customFormat="1" ht="22.8">
      <c r="A11" s="283"/>
      <c r="B11" s="278" t="s">
        <v>417</v>
      </c>
      <c r="D11" s="286"/>
      <c r="E11" s="287"/>
      <c r="F11" s="287"/>
    </row>
    <row r="12" spans="1:6" s="285" customFormat="1" ht="34.200000000000003">
      <c r="A12" s="283"/>
      <c r="B12" s="278" t="s">
        <v>1104</v>
      </c>
      <c r="D12" s="286"/>
      <c r="E12" s="287"/>
      <c r="F12" s="287"/>
    </row>
    <row r="13" spans="1:6" s="285" customFormat="1">
      <c r="A13" s="283"/>
      <c r="B13" s="278" t="s">
        <v>418</v>
      </c>
      <c r="D13" s="286"/>
      <c r="E13" s="287"/>
      <c r="F13" s="287"/>
    </row>
    <row r="14" spans="1:6" s="285" customFormat="1" ht="34.200000000000003">
      <c r="A14" s="283"/>
      <c r="B14" s="277" t="s">
        <v>419</v>
      </c>
      <c r="D14" s="286"/>
      <c r="E14" s="287"/>
      <c r="F14" s="287"/>
    </row>
    <row r="15" spans="1:6" s="285" customFormat="1" ht="45.6">
      <c r="A15" s="283"/>
      <c r="B15" s="277" t="s">
        <v>420</v>
      </c>
      <c r="D15" s="286"/>
      <c r="E15" s="287"/>
      <c r="F15" s="287"/>
    </row>
    <row r="16" spans="1:6" s="285" customFormat="1" ht="45.6">
      <c r="A16" s="283"/>
      <c r="B16" s="277" t="s">
        <v>421</v>
      </c>
      <c r="D16" s="286"/>
      <c r="E16" s="287"/>
      <c r="F16" s="287"/>
    </row>
    <row r="17" spans="1:6" s="285" customFormat="1" ht="68.400000000000006">
      <c r="A17" s="283"/>
      <c r="B17" s="277" t="s">
        <v>422</v>
      </c>
      <c r="D17" s="286"/>
      <c r="E17" s="287"/>
      <c r="F17" s="287"/>
    </row>
    <row r="18" spans="1:6" s="285" customFormat="1" ht="34.200000000000003">
      <c r="A18" s="283"/>
      <c r="B18" s="277" t="s">
        <v>423</v>
      </c>
      <c r="D18" s="286"/>
      <c r="E18" s="287"/>
      <c r="F18" s="287"/>
    </row>
    <row r="19" spans="1:6" s="285" customFormat="1" ht="22.8">
      <c r="A19" s="283"/>
      <c r="B19" s="277" t="s">
        <v>424</v>
      </c>
      <c r="D19" s="286"/>
      <c r="E19" s="287"/>
      <c r="F19" s="287"/>
    </row>
    <row r="20" spans="1:6" s="285" customFormat="1" ht="68.400000000000006">
      <c r="A20" s="283"/>
      <c r="B20" s="277" t="s">
        <v>425</v>
      </c>
      <c r="D20" s="286"/>
      <c r="E20" s="287"/>
      <c r="F20" s="287"/>
    </row>
    <row r="21" spans="1:6" s="285" customFormat="1">
      <c r="A21" s="283"/>
      <c r="B21" s="277"/>
      <c r="D21" s="286"/>
      <c r="E21" s="287"/>
      <c r="F21" s="287"/>
    </row>
    <row r="22" spans="1:6" s="285" customFormat="1">
      <c r="A22" s="283"/>
      <c r="B22" s="276" t="s">
        <v>426</v>
      </c>
      <c r="D22" s="286"/>
      <c r="E22" s="287"/>
      <c r="F22" s="287"/>
    </row>
    <row r="23" spans="1:6" s="285" customFormat="1" ht="57">
      <c r="A23" s="283"/>
      <c r="B23" s="277" t="s">
        <v>427</v>
      </c>
      <c r="D23" s="286"/>
      <c r="E23" s="287"/>
      <c r="F23" s="287"/>
    </row>
    <row r="24" spans="1:6" s="285" customFormat="1" ht="34.200000000000003">
      <c r="A24" s="283"/>
      <c r="B24" s="277" t="s">
        <v>428</v>
      </c>
      <c r="D24" s="286"/>
      <c r="E24" s="287"/>
      <c r="F24" s="287"/>
    </row>
    <row r="25" spans="1:6" s="285" customFormat="1" ht="34.200000000000003">
      <c r="A25" s="283"/>
      <c r="B25" s="277" t="s">
        <v>429</v>
      </c>
      <c r="D25" s="286"/>
      <c r="E25" s="287"/>
      <c r="F25" s="287"/>
    </row>
    <row r="26" spans="1:6" s="285" customFormat="1" ht="45.6">
      <c r="A26" s="283"/>
      <c r="B26" s="277" t="s">
        <v>430</v>
      </c>
      <c r="D26" s="286"/>
      <c r="E26" s="287"/>
      <c r="F26" s="287"/>
    </row>
    <row r="27" spans="1:6" s="285" customFormat="1" ht="22.8">
      <c r="A27" s="283"/>
      <c r="B27" s="277" t="s">
        <v>431</v>
      </c>
      <c r="D27" s="286"/>
      <c r="E27" s="287"/>
      <c r="F27" s="287"/>
    </row>
    <row r="28" spans="1:6" s="285" customFormat="1" ht="22.8">
      <c r="A28" s="283"/>
      <c r="B28" s="277" t="s">
        <v>432</v>
      </c>
      <c r="D28" s="286"/>
      <c r="E28" s="287"/>
      <c r="F28" s="287"/>
    </row>
    <row r="29" spans="1:6" s="285" customFormat="1" ht="45.6">
      <c r="A29" s="283"/>
      <c r="B29" s="277" t="s">
        <v>433</v>
      </c>
      <c r="D29" s="286"/>
      <c r="E29" s="287"/>
      <c r="F29" s="287"/>
    </row>
    <row r="30" spans="1:6" s="285" customFormat="1">
      <c r="A30" s="283"/>
      <c r="B30" s="284"/>
      <c r="D30" s="286"/>
      <c r="E30" s="287"/>
      <c r="F30" s="287"/>
    </row>
    <row r="31" spans="1:6" s="285" customFormat="1">
      <c r="A31" s="283"/>
      <c r="B31" s="279" t="s">
        <v>350</v>
      </c>
      <c r="C31" s="279"/>
      <c r="D31" s="279"/>
      <c r="E31" s="280"/>
      <c r="F31" s="287"/>
    </row>
    <row r="32" spans="1:6" s="285" customFormat="1">
      <c r="A32" s="283"/>
      <c r="B32" s="281"/>
      <c r="C32" s="281"/>
      <c r="D32" s="281"/>
      <c r="E32" s="282"/>
      <c r="F32" s="287"/>
    </row>
    <row r="33" spans="1:6" s="285" customFormat="1">
      <c r="A33" s="283" t="s">
        <v>8</v>
      </c>
      <c r="B33" s="288" t="s">
        <v>1059</v>
      </c>
      <c r="C33" s="289"/>
      <c r="D33" s="290"/>
      <c r="E33" s="291"/>
      <c r="F33" s="291"/>
    </row>
    <row r="34" spans="1:6" s="285" customFormat="1" ht="22.8">
      <c r="A34" s="283"/>
      <c r="B34" s="292" t="s">
        <v>1060</v>
      </c>
      <c r="C34" s="289"/>
      <c r="D34" s="290"/>
      <c r="E34" s="291"/>
      <c r="F34" s="291"/>
    </row>
    <row r="35" spans="1:6" s="285" customFormat="1">
      <c r="A35" s="283"/>
      <c r="B35" s="293"/>
      <c r="C35" s="289"/>
      <c r="D35" s="290"/>
      <c r="E35" s="291"/>
      <c r="F35" s="291"/>
    </row>
    <row r="36" spans="1:6" s="285" customFormat="1" ht="34.200000000000003">
      <c r="A36" s="283"/>
      <c r="B36" s="293" t="s">
        <v>1061</v>
      </c>
      <c r="C36" s="289"/>
      <c r="D36" s="290"/>
      <c r="E36" s="291"/>
      <c r="F36" s="291"/>
    </row>
    <row r="37" spans="1:6" s="285" customFormat="1">
      <c r="A37" s="283"/>
      <c r="B37" s="293"/>
      <c r="C37" s="289"/>
      <c r="D37" s="290"/>
      <c r="E37" s="291"/>
      <c r="F37" s="291"/>
    </row>
    <row r="38" spans="1:6" s="285" customFormat="1">
      <c r="A38" s="283"/>
      <c r="B38" s="293" t="s">
        <v>1062</v>
      </c>
      <c r="C38" s="289"/>
      <c r="D38" s="290"/>
      <c r="E38" s="291"/>
      <c r="F38" s="291"/>
    </row>
    <row r="39" spans="1:6" s="285" customFormat="1">
      <c r="A39" s="283"/>
      <c r="B39" s="294" t="s">
        <v>1105</v>
      </c>
      <c r="C39" s="289"/>
      <c r="D39" s="290"/>
      <c r="E39" s="291"/>
      <c r="F39" s="291"/>
    </row>
    <row r="40" spans="1:6" s="285" customFormat="1">
      <c r="A40" s="283"/>
      <c r="B40" s="294" t="s">
        <v>1106</v>
      </c>
      <c r="C40" s="289"/>
      <c r="D40" s="290"/>
      <c r="E40" s="291"/>
      <c r="F40" s="291"/>
    </row>
    <row r="41" spans="1:6" s="285" customFormat="1">
      <c r="A41" s="283"/>
      <c r="B41" s="295" t="s">
        <v>1063</v>
      </c>
      <c r="C41" s="289"/>
      <c r="D41" s="290"/>
      <c r="E41" s="291"/>
      <c r="F41" s="291"/>
    </row>
    <row r="42" spans="1:6" s="285" customFormat="1">
      <c r="A42" s="283"/>
      <c r="B42" s="294" t="s">
        <v>1107</v>
      </c>
      <c r="C42" s="289"/>
      <c r="D42" s="290"/>
      <c r="E42" s="291"/>
      <c r="F42" s="291"/>
    </row>
    <row r="43" spans="1:6" s="285" customFormat="1">
      <c r="A43" s="283"/>
      <c r="B43" s="294" t="s">
        <v>1064</v>
      </c>
      <c r="C43" s="289"/>
      <c r="D43" s="290"/>
      <c r="E43" s="291"/>
      <c r="F43" s="291"/>
    </row>
    <row r="44" spans="1:6" s="285" customFormat="1" ht="23.4">
      <c r="A44" s="283"/>
      <c r="B44" s="294" t="s">
        <v>1065</v>
      </c>
      <c r="C44" s="289"/>
      <c r="D44" s="290"/>
      <c r="E44" s="291"/>
      <c r="F44" s="291"/>
    </row>
    <row r="45" spans="1:6" s="285" customFormat="1" ht="23.4">
      <c r="A45" s="283"/>
      <c r="B45" s="294" t="s">
        <v>1108</v>
      </c>
      <c r="C45" s="289"/>
      <c r="D45" s="290"/>
      <c r="E45" s="291"/>
      <c r="F45" s="291"/>
    </row>
    <row r="46" spans="1:6" s="285" customFormat="1" ht="22.8">
      <c r="A46" s="283"/>
      <c r="B46" s="296" t="s">
        <v>1066</v>
      </c>
      <c r="C46" s="289"/>
      <c r="D46" s="290"/>
      <c r="E46" s="291"/>
      <c r="F46" s="291"/>
    </row>
    <row r="47" spans="1:6" s="285" customFormat="1" ht="22.8">
      <c r="A47" s="283"/>
      <c r="B47" s="296" t="s">
        <v>1067</v>
      </c>
      <c r="C47" s="289"/>
      <c r="D47" s="290"/>
      <c r="E47" s="291"/>
      <c r="F47" s="291"/>
    </row>
    <row r="48" spans="1:6" s="285" customFormat="1">
      <c r="A48" s="283"/>
      <c r="B48" s="297" t="s">
        <v>1068</v>
      </c>
      <c r="C48" s="289"/>
      <c r="D48" s="290"/>
      <c r="E48" s="291"/>
      <c r="F48" s="291"/>
    </row>
    <row r="49" spans="1:6" s="285" customFormat="1">
      <c r="A49" s="283"/>
      <c r="B49" s="294" t="s">
        <v>1069</v>
      </c>
      <c r="C49" s="289"/>
      <c r="D49" s="290"/>
      <c r="E49" s="291"/>
      <c r="F49" s="291"/>
    </row>
    <row r="50" spans="1:6" s="285" customFormat="1" ht="22.8">
      <c r="A50" s="283"/>
      <c r="B50" s="296" t="s">
        <v>1070</v>
      </c>
      <c r="C50" s="289"/>
      <c r="D50" s="290"/>
      <c r="E50" s="291"/>
      <c r="F50" s="291"/>
    </row>
    <row r="51" spans="1:6" s="285" customFormat="1" ht="22.8">
      <c r="A51" s="283"/>
      <c r="B51" s="296" t="s">
        <v>1071</v>
      </c>
      <c r="C51" s="289"/>
      <c r="D51" s="290"/>
      <c r="E51" s="291"/>
      <c r="F51" s="291"/>
    </row>
    <row r="52" spans="1:6" s="285" customFormat="1">
      <c r="A52" s="283"/>
      <c r="B52" s="295" t="s">
        <v>1072</v>
      </c>
      <c r="C52" s="289"/>
      <c r="D52" s="290"/>
      <c r="E52" s="291"/>
      <c r="F52" s="291"/>
    </row>
    <row r="53" spans="1:6" s="285" customFormat="1" ht="22.8">
      <c r="A53" s="283"/>
      <c r="B53" s="295" t="s">
        <v>1073</v>
      </c>
      <c r="C53" s="289"/>
      <c r="D53" s="290"/>
      <c r="E53" s="291"/>
      <c r="F53" s="291"/>
    </row>
    <row r="54" spans="1:6" s="285" customFormat="1" ht="23.4">
      <c r="A54" s="283"/>
      <c r="B54" s="294" t="s">
        <v>1109</v>
      </c>
      <c r="C54" s="289"/>
      <c r="D54" s="290"/>
      <c r="E54" s="291"/>
      <c r="F54" s="291"/>
    </row>
    <row r="55" spans="1:6" s="285" customFormat="1">
      <c r="A55" s="283"/>
      <c r="B55" s="294" t="s">
        <v>1074</v>
      </c>
      <c r="C55" s="289"/>
      <c r="D55" s="290"/>
      <c r="E55" s="291"/>
      <c r="F55" s="291"/>
    </row>
    <row r="56" spans="1:6" s="285" customFormat="1" ht="22.8">
      <c r="A56" s="283"/>
      <c r="B56" s="295" t="s">
        <v>1110</v>
      </c>
      <c r="C56" s="289"/>
      <c r="D56" s="290"/>
      <c r="E56" s="291"/>
      <c r="F56" s="291"/>
    </row>
    <row r="57" spans="1:6" s="285" customFormat="1">
      <c r="A57" s="283"/>
      <c r="B57" s="295" t="s">
        <v>1075</v>
      </c>
      <c r="C57" s="289"/>
      <c r="D57" s="290"/>
      <c r="E57" s="291"/>
      <c r="F57" s="291"/>
    </row>
    <row r="58" spans="1:6" s="285" customFormat="1">
      <c r="A58" s="283"/>
      <c r="B58" s="294" t="s">
        <v>1111</v>
      </c>
      <c r="C58" s="289"/>
      <c r="D58" s="290"/>
      <c r="E58" s="291"/>
      <c r="F58" s="291"/>
    </row>
    <row r="59" spans="1:6" s="285" customFormat="1" ht="23.4">
      <c r="A59" s="283"/>
      <c r="B59" s="294" t="s">
        <v>1076</v>
      </c>
      <c r="C59" s="289"/>
      <c r="D59" s="290"/>
      <c r="E59" s="291"/>
      <c r="F59" s="291"/>
    </row>
    <row r="60" spans="1:6" s="285" customFormat="1">
      <c r="A60" s="283"/>
      <c r="B60" s="294"/>
      <c r="C60" s="289" t="s">
        <v>36</v>
      </c>
      <c r="D60" s="290">
        <v>925</v>
      </c>
      <c r="E60" s="291">
        <v>80</v>
      </c>
      <c r="F60" s="298">
        <f t="shared" ref="F60" si="0">D60*E60</f>
        <v>74000</v>
      </c>
    </row>
    <row r="61" spans="1:6" s="285" customFormat="1">
      <c r="A61" s="283"/>
      <c r="B61" s="293"/>
      <c r="C61" s="289"/>
      <c r="D61" s="290"/>
      <c r="E61" s="291"/>
      <c r="F61" s="298"/>
    </row>
    <row r="62" spans="1:6" s="285" customFormat="1">
      <c r="A62" s="283" t="s">
        <v>11</v>
      </c>
      <c r="B62" s="288" t="s">
        <v>1077</v>
      </c>
      <c r="C62" s="289"/>
      <c r="D62" s="290"/>
      <c r="E62" s="291"/>
      <c r="F62" s="291"/>
    </row>
    <row r="63" spans="1:6" s="285" customFormat="1">
      <c r="A63" s="299"/>
      <c r="B63" s="300" t="s">
        <v>1078</v>
      </c>
      <c r="C63" s="289"/>
      <c r="D63" s="290"/>
      <c r="E63" s="291"/>
      <c r="F63" s="301"/>
    </row>
    <row r="64" spans="1:6" s="285" customFormat="1">
      <c r="A64" s="299"/>
      <c r="B64" s="300"/>
      <c r="C64" s="289"/>
      <c r="D64" s="290"/>
      <c r="E64" s="291"/>
      <c r="F64" s="301"/>
    </row>
    <row r="65" spans="1:6" s="285" customFormat="1">
      <c r="A65" s="299"/>
      <c r="B65" s="295" t="s">
        <v>1079</v>
      </c>
      <c r="C65" s="289"/>
      <c r="D65" s="290"/>
      <c r="E65" s="291"/>
      <c r="F65" s="301"/>
    </row>
    <row r="66" spans="1:6" s="285" customFormat="1">
      <c r="A66" s="299"/>
      <c r="B66" s="294" t="s">
        <v>1080</v>
      </c>
      <c r="C66" s="289"/>
      <c r="D66" s="290"/>
      <c r="E66" s="291"/>
      <c r="F66" s="301"/>
    </row>
    <row r="67" spans="1:6" s="285" customFormat="1">
      <c r="A67" s="299"/>
      <c r="B67" s="294" t="s">
        <v>1081</v>
      </c>
      <c r="C67" s="289"/>
      <c r="D67" s="290"/>
      <c r="E67" s="291"/>
      <c r="F67" s="301"/>
    </row>
    <row r="68" spans="1:6" s="285" customFormat="1">
      <c r="A68" s="299"/>
      <c r="B68" s="294" t="s">
        <v>1082</v>
      </c>
      <c r="C68" s="289"/>
      <c r="D68" s="290"/>
      <c r="E68" s="291"/>
      <c r="F68" s="301"/>
    </row>
    <row r="69" spans="1:6" s="285" customFormat="1">
      <c r="A69" s="299"/>
      <c r="B69" s="294"/>
      <c r="C69" s="289"/>
      <c r="D69" s="290"/>
      <c r="E69" s="291"/>
      <c r="F69" s="301"/>
    </row>
    <row r="70" spans="1:6" s="285" customFormat="1" ht="25.05" customHeight="1">
      <c r="A70" s="299"/>
      <c r="B70" s="302" t="s">
        <v>1083</v>
      </c>
      <c r="C70" s="289"/>
      <c r="D70" s="290"/>
      <c r="E70" s="291"/>
      <c r="F70" s="301"/>
    </row>
    <row r="71" spans="1:6" s="285" customFormat="1">
      <c r="A71" s="299"/>
      <c r="B71" s="289"/>
      <c r="C71" s="289"/>
      <c r="D71" s="290"/>
      <c r="E71" s="291"/>
      <c r="F71" s="301"/>
    </row>
    <row r="72" spans="1:6" s="285" customFormat="1">
      <c r="A72" s="299"/>
      <c r="B72" s="300" t="s">
        <v>1084</v>
      </c>
      <c r="C72" s="289"/>
      <c r="D72" s="290"/>
      <c r="E72" s="291"/>
      <c r="F72" s="301"/>
    </row>
    <row r="73" spans="1:6" s="285" customFormat="1">
      <c r="A73" s="283"/>
      <c r="B73" s="300"/>
      <c r="C73" s="289" t="s">
        <v>33</v>
      </c>
      <c r="D73" s="290">
        <v>698</v>
      </c>
      <c r="E73" s="291">
        <v>20</v>
      </c>
      <c r="F73" s="298">
        <f>D73*E73</f>
        <v>13960</v>
      </c>
    </row>
    <row r="74" spans="1:6" s="285" customFormat="1">
      <c r="A74" s="283"/>
      <c r="B74" s="300"/>
      <c r="C74" s="289"/>
      <c r="D74" s="290"/>
      <c r="E74" s="291"/>
      <c r="F74" s="298"/>
    </row>
    <row r="75" spans="1:6" s="285" customFormat="1">
      <c r="A75" s="283" t="s">
        <v>12</v>
      </c>
      <c r="B75" s="288" t="s">
        <v>204</v>
      </c>
      <c r="C75" s="289"/>
      <c r="D75" s="290"/>
      <c r="E75" s="291"/>
      <c r="F75" s="291"/>
    </row>
    <row r="76" spans="1:6" s="285" customFormat="1">
      <c r="A76" s="283"/>
      <c r="B76" s="129" t="s">
        <v>1085</v>
      </c>
      <c r="C76" s="289"/>
      <c r="D76" s="290"/>
      <c r="E76" s="291"/>
      <c r="F76" s="291"/>
    </row>
    <row r="77" spans="1:6" s="285" customFormat="1" ht="57">
      <c r="A77" s="283"/>
      <c r="B77" s="129" t="s">
        <v>1086</v>
      </c>
      <c r="C77" s="289"/>
      <c r="D77" s="290"/>
      <c r="E77" s="291"/>
      <c r="F77" s="291"/>
    </row>
    <row r="78" spans="1:6" s="285" customFormat="1">
      <c r="A78" s="283"/>
      <c r="B78" s="295" t="s">
        <v>1087</v>
      </c>
      <c r="C78" s="289"/>
      <c r="D78" s="290"/>
      <c r="E78" s="291"/>
      <c r="F78" s="291"/>
    </row>
    <row r="79" spans="1:6" s="285" customFormat="1">
      <c r="A79" s="283"/>
      <c r="B79" s="295" t="s">
        <v>1088</v>
      </c>
      <c r="C79" s="289"/>
      <c r="D79" s="290"/>
      <c r="E79" s="291"/>
      <c r="F79" s="291"/>
    </row>
    <row r="80" spans="1:6" s="285" customFormat="1">
      <c r="A80" s="283"/>
      <c r="B80" s="295" t="s">
        <v>1089</v>
      </c>
      <c r="C80" s="289"/>
      <c r="D80" s="290"/>
      <c r="E80" s="291"/>
      <c r="F80" s="291"/>
    </row>
    <row r="81" spans="1:6" s="285" customFormat="1">
      <c r="A81" s="283"/>
      <c r="B81" s="295" t="s">
        <v>1090</v>
      </c>
      <c r="C81" s="289"/>
      <c r="D81" s="290"/>
      <c r="E81" s="291"/>
      <c r="F81" s="291"/>
    </row>
    <row r="82" spans="1:6" s="285" customFormat="1">
      <c r="A82" s="283"/>
      <c r="B82" s="295" t="s">
        <v>1091</v>
      </c>
      <c r="C82" s="289"/>
      <c r="D82" s="290"/>
      <c r="E82" s="291"/>
      <c r="F82" s="291"/>
    </row>
    <row r="83" spans="1:6" s="285" customFormat="1">
      <c r="A83" s="283"/>
      <c r="B83" s="295" t="s">
        <v>1092</v>
      </c>
      <c r="C83" s="289"/>
      <c r="D83" s="290"/>
      <c r="E83" s="291"/>
      <c r="F83" s="291"/>
    </row>
    <row r="84" spans="1:6" s="285" customFormat="1">
      <c r="A84" s="283"/>
      <c r="B84" s="295" t="s">
        <v>1093</v>
      </c>
      <c r="C84" s="289"/>
      <c r="D84" s="290"/>
      <c r="E84" s="291"/>
      <c r="F84" s="291"/>
    </row>
    <row r="85" spans="1:6" s="285" customFormat="1">
      <c r="A85" s="283"/>
      <c r="B85" s="295" t="s">
        <v>1094</v>
      </c>
      <c r="C85" s="289"/>
      <c r="D85" s="290"/>
      <c r="E85" s="291"/>
      <c r="F85" s="291"/>
    </row>
    <row r="86" spans="1:6" s="285" customFormat="1" ht="22.8">
      <c r="A86" s="283"/>
      <c r="B86" s="295" t="s">
        <v>1095</v>
      </c>
      <c r="C86" s="289"/>
      <c r="D86" s="290"/>
      <c r="E86" s="291"/>
      <c r="F86" s="291"/>
    </row>
    <row r="87" spans="1:6" s="285" customFormat="1">
      <c r="A87" s="283"/>
      <c r="B87" s="295" t="s">
        <v>1096</v>
      </c>
      <c r="C87" s="289"/>
      <c r="D87" s="290"/>
      <c r="E87" s="291"/>
      <c r="F87" s="291"/>
    </row>
    <row r="88" spans="1:6" s="285" customFormat="1" ht="22.8">
      <c r="A88" s="283"/>
      <c r="B88" s="295" t="s">
        <v>1097</v>
      </c>
      <c r="C88" s="289"/>
      <c r="D88" s="290"/>
      <c r="E88" s="291"/>
      <c r="F88" s="291"/>
    </row>
    <row r="89" spans="1:6" s="285" customFormat="1">
      <c r="A89" s="283"/>
      <c r="B89" s="295" t="s">
        <v>1098</v>
      </c>
      <c r="C89" s="289"/>
      <c r="D89" s="290"/>
      <c r="E89" s="291"/>
      <c r="F89" s="291"/>
    </row>
    <row r="90" spans="1:6" s="285" customFormat="1">
      <c r="A90" s="283"/>
      <c r="B90" s="295" t="s">
        <v>1099</v>
      </c>
      <c r="C90" s="289"/>
      <c r="D90" s="290"/>
      <c r="E90" s="291"/>
      <c r="F90" s="291"/>
    </row>
    <row r="91" spans="1:6" s="285" customFormat="1" ht="22.8">
      <c r="A91" s="283"/>
      <c r="B91" s="295" t="s">
        <v>1100</v>
      </c>
      <c r="C91" s="289"/>
      <c r="D91" s="290"/>
      <c r="E91" s="291"/>
      <c r="F91" s="291"/>
    </row>
    <row r="92" spans="1:6" s="285" customFormat="1" ht="22.8">
      <c r="A92" s="283"/>
      <c r="B92" s="295" t="s">
        <v>1101</v>
      </c>
      <c r="C92" s="289"/>
      <c r="D92" s="290"/>
      <c r="E92" s="291"/>
      <c r="F92" s="291"/>
    </row>
    <row r="93" spans="1:6" s="285" customFormat="1" ht="22.8">
      <c r="A93" s="283"/>
      <c r="B93" s="295" t="s">
        <v>1102</v>
      </c>
      <c r="C93" s="289"/>
      <c r="D93" s="290"/>
      <c r="E93" s="291"/>
      <c r="F93" s="291"/>
    </row>
    <row r="94" spans="1:6" s="285" customFormat="1">
      <c r="A94" s="283"/>
      <c r="B94" s="293"/>
      <c r="C94" s="289"/>
      <c r="D94" s="290"/>
      <c r="E94" s="291"/>
      <c r="F94" s="291"/>
    </row>
    <row r="95" spans="1:6" s="285" customFormat="1" ht="22.8">
      <c r="A95" s="283"/>
      <c r="B95" s="293" t="s">
        <v>1103</v>
      </c>
      <c r="C95" s="289"/>
      <c r="D95" s="290"/>
      <c r="E95" s="291"/>
      <c r="F95" s="291"/>
    </row>
    <row r="96" spans="1:6" s="285" customFormat="1">
      <c r="A96" s="299"/>
      <c r="B96" s="303"/>
      <c r="C96" s="289"/>
      <c r="D96" s="290"/>
      <c r="E96" s="291"/>
      <c r="F96" s="301"/>
    </row>
    <row r="97" spans="1:6" s="285" customFormat="1">
      <c r="A97" s="283"/>
      <c r="B97" s="300"/>
      <c r="C97" s="289" t="s">
        <v>36</v>
      </c>
      <c r="D97" s="290">
        <v>3</v>
      </c>
      <c r="E97" s="291">
        <v>1500</v>
      </c>
      <c r="F97" s="298">
        <f>D97*E97</f>
        <v>4500</v>
      </c>
    </row>
    <row r="98" spans="1:6" s="285" customFormat="1" ht="12.6" thickBot="1">
      <c r="A98" s="283"/>
      <c r="B98" s="300"/>
      <c r="C98" s="289"/>
      <c r="D98" s="290"/>
      <c r="E98" s="291"/>
      <c r="F98" s="291"/>
    </row>
    <row r="99" spans="1:6" ht="12.6" thickTop="1">
      <c r="A99" s="304" t="str">
        <f>A2</f>
        <v>XVI</v>
      </c>
      <c r="B99" s="305" t="str">
        <f>B2</f>
        <v>PODOPOLAGAČKI RADOVI</v>
      </c>
      <c r="C99" s="306" t="s">
        <v>38</v>
      </c>
      <c r="D99" s="307"/>
      <c r="E99" s="308"/>
      <c r="F99" s="309">
        <f>SUM(F34:F98)</f>
        <v>92460</v>
      </c>
    </row>
  </sheetData>
  <sheetProtection selectLockedCells="1" selectUnlockedCells="1"/>
  <pageMargins left="0.71" right="0.71" top="0.75" bottom="0.75" header="0.51" footer="0.51"/>
  <pageSetup paperSize="9" orientation="portrait" r:id="rId1"/>
  <headerFooter alignWithMargins="0"/>
  <rowBreaks count="3" manualBreakCount="3">
    <brk id="21" max="5" man="1"/>
    <brk id="32" max="5" man="1"/>
    <brk id="74" max="5"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8"/>
  <sheetViews>
    <sheetView zoomScaleNormal="100" zoomScaleSheetLayoutView="100" workbookViewId="0">
      <selection activeCell="E17" sqref="E17"/>
    </sheetView>
  </sheetViews>
  <sheetFormatPr defaultColWidth="9.21875" defaultRowHeight="12"/>
  <cols>
    <col min="1" max="1" width="3.5546875" style="21" customWidth="1"/>
    <col min="2" max="2" width="47.21875" style="186" customWidth="1"/>
    <col min="3" max="3" width="6.5546875" style="25" customWidth="1"/>
    <col min="4" max="4" width="11.44140625" style="24" customWidth="1"/>
    <col min="5" max="5" width="8" style="24" customWidth="1"/>
    <col min="6" max="6" width="13.21875" style="231" customWidth="1"/>
    <col min="7" max="16384" width="9.21875" style="25"/>
  </cols>
  <sheetData>
    <row r="1" spans="1:6">
      <c r="F1" s="24"/>
    </row>
    <row r="2" spans="1:6" s="26" customFormat="1">
      <c r="A2" s="188" t="s">
        <v>134</v>
      </c>
      <c r="B2" s="208" t="s">
        <v>135</v>
      </c>
      <c r="D2" s="24"/>
      <c r="E2" s="24"/>
      <c r="F2" s="24"/>
    </row>
    <row r="3" spans="1:6" s="26" customFormat="1">
      <c r="A3" s="188"/>
      <c r="B3" s="208"/>
      <c r="D3" s="24"/>
      <c r="E3" s="24"/>
      <c r="F3" s="24"/>
    </row>
    <row r="4" spans="1:6" s="26" customFormat="1">
      <c r="A4" s="188"/>
      <c r="B4" s="29"/>
      <c r="C4" s="210"/>
      <c r="D4" s="24"/>
      <c r="E4" s="24"/>
      <c r="F4" s="24"/>
    </row>
    <row r="5" spans="1:6" s="26" customFormat="1">
      <c r="A5" s="188" t="s">
        <v>8</v>
      </c>
      <c r="B5" s="30" t="s">
        <v>205</v>
      </c>
      <c r="C5" s="210"/>
      <c r="D5" s="24"/>
      <c r="E5" s="24"/>
      <c r="F5" s="24"/>
    </row>
    <row r="6" spans="1:6" s="26" customFormat="1" ht="100.95" customHeight="1">
      <c r="A6" s="188"/>
      <c r="B6" s="29" t="s">
        <v>243</v>
      </c>
      <c r="C6" s="210"/>
      <c r="D6" s="24"/>
      <c r="E6" s="24"/>
      <c r="F6" s="24"/>
    </row>
    <row r="7" spans="1:6" s="26" customFormat="1">
      <c r="A7" s="188"/>
      <c r="B7" s="29" t="s">
        <v>136</v>
      </c>
      <c r="C7" s="210"/>
      <c r="D7" s="24"/>
      <c r="E7" s="24"/>
      <c r="F7" s="24"/>
    </row>
    <row r="8" spans="1:6" s="26" customFormat="1">
      <c r="A8" s="188"/>
      <c r="B8" s="29" t="s">
        <v>137</v>
      </c>
      <c r="C8" s="210"/>
      <c r="D8" s="24"/>
      <c r="E8" s="24"/>
      <c r="F8" s="24"/>
    </row>
    <row r="9" spans="1:6" s="26" customFormat="1">
      <c r="A9" s="188"/>
      <c r="B9" s="29" t="s">
        <v>138</v>
      </c>
      <c r="C9" s="210"/>
      <c r="D9" s="24"/>
      <c r="E9" s="24"/>
      <c r="F9" s="24"/>
    </row>
    <row r="10" spans="1:6" s="26" customFormat="1">
      <c r="A10" s="188"/>
      <c r="B10" s="29" t="s">
        <v>139</v>
      </c>
      <c r="C10" s="210"/>
      <c r="D10" s="219"/>
      <c r="E10" s="24"/>
      <c r="F10" s="24"/>
    </row>
    <row r="11" spans="1:6" s="26" customFormat="1">
      <c r="A11" s="188"/>
      <c r="B11" s="29"/>
      <c r="C11" s="210" t="s">
        <v>66</v>
      </c>
      <c r="D11" s="24">
        <v>2538</v>
      </c>
      <c r="E11" s="24">
        <v>14</v>
      </c>
      <c r="F11" s="28">
        <f>D11*E11</f>
        <v>35532</v>
      </c>
    </row>
    <row r="12" spans="1:6" s="26" customFormat="1">
      <c r="A12" s="188"/>
      <c r="B12" s="29"/>
      <c r="C12" s="210"/>
      <c r="D12" s="219"/>
      <c r="E12" s="24"/>
      <c r="F12" s="24"/>
    </row>
    <row r="13" spans="1:6" s="26" customFormat="1">
      <c r="A13" s="188" t="s">
        <v>11</v>
      </c>
      <c r="B13" s="30" t="s">
        <v>140</v>
      </c>
      <c r="C13" s="210"/>
      <c r="D13" s="219"/>
      <c r="E13" s="24"/>
      <c r="F13" s="24"/>
    </row>
    <row r="14" spans="1:6" s="26" customFormat="1" ht="91.2">
      <c r="A14" s="188"/>
      <c r="B14" s="29" t="s">
        <v>244</v>
      </c>
      <c r="C14" s="210"/>
      <c r="D14" s="219"/>
      <c r="E14" s="24"/>
      <c r="F14" s="24"/>
    </row>
    <row r="15" spans="1:6" s="26" customFormat="1">
      <c r="A15" s="188"/>
      <c r="B15" s="29" t="s">
        <v>41</v>
      </c>
      <c r="C15" s="210" t="s">
        <v>66</v>
      </c>
      <c r="D15" s="24">
        <v>1097</v>
      </c>
      <c r="E15" s="24">
        <v>7</v>
      </c>
      <c r="F15" s="28">
        <f>D15*E15</f>
        <v>7679</v>
      </c>
    </row>
    <row r="16" spans="1:6" s="26" customFormat="1">
      <c r="A16" s="21"/>
      <c r="B16" s="186" t="s">
        <v>206</v>
      </c>
      <c r="C16" s="210" t="s">
        <v>66</v>
      </c>
      <c r="D16" s="24">
        <v>1527</v>
      </c>
      <c r="E16" s="24">
        <v>7</v>
      </c>
      <c r="F16" s="28">
        <f>D16*E16</f>
        <v>10689</v>
      </c>
    </row>
    <row r="17" spans="1:6" s="26" customFormat="1" ht="12.6" thickBot="1">
      <c r="A17" s="21"/>
      <c r="B17" s="186"/>
      <c r="C17" s="28"/>
      <c r="D17" s="28"/>
      <c r="E17" s="24"/>
      <c r="F17" s="28"/>
    </row>
    <row r="18" spans="1:6" ht="12.6" thickTop="1">
      <c r="A18" s="220" t="str">
        <f>A2</f>
        <v>XVII</v>
      </c>
      <c r="B18" s="232" t="str">
        <f>B2</f>
        <v>SOBOSLIKARSKI I LIČILAČKI RADOVI</v>
      </c>
      <c r="C18" s="221" t="s">
        <v>38</v>
      </c>
      <c r="D18" s="233"/>
      <c r="E18" s="233"/>
      <c r="F18" s="207">
        <f>SUM(F6:F17)</f>
        <v>53900</v>
      </c>
    </row>
  </sheetData>
  <sheetProtection selectLockedCells="1" selectUnlockedCells="1"/>
  <pageMargins left="0.71" right="0.71" top="0.75" bottom="0.75" header="0.51" footer="0.51"/>
  <pageSetup paperSize="9" scale="9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9"/>
  <sheetViews>
    <sheetView zoomScaleNormal="100" zoomScaleSheetLayoutView="115" workbookViewId="0">
      <selection activeCell="E7" sqref="E7"/>
    </sheetView>
  </sheetViews>
  <sheetFormatPr defaultColWidth="9.21875" defaultRowHeight="11.4"/>
  <cols>
    <col min="1" max="1" width="3.5546875" style="25" customWidth="1"/>
    <col min="2" max="2" width="31.21875" style="25" bestFit="1" customWidth="1"/>
    <col min="3" max="3" width="9.21875" style="25"/>
    <col min="4" max="5" width="9.21875" style="25" bestFit="1" customWidth="1"/>
    <col min="6" max="6" width="11.44140625" style="25" bestFit="1" customWidth="1"/>
    <col min="7" max="16384" width="9.21875" style="25"/>
  </cols>
  <sheetData>
    <row r="1" spans="1:6" ht="12">
      <c r="A1" s="222"/>
      <c r="B1" s="186"/>
      <c r="D1" s="24"/>
      <c r="E1" s="24"/>
      <c r="F1" s="24"/>
    </row>
    <row r="2" spans="1:6" ht="12">
      <c r="A2" s="26" t="s">
        <v>145</v>
      </c>
      <c r="B2" s="188" t="s">
        <v>434</v>
      </c>
      <c r="C2" s="26"/>
      <c r="D2" s="24"/>
      <c r="E2" s="265"/>
      <c r="F2" s="24"/>
    </row>
    <row r="3" spans="1:6">
      <c r="F3" s="24"/>
    </row>
    <row r="4" spans="1:6" ht="12">
      <c r="A4" s="310" t="s">
        <v>8</v>
      </c>
      <c r="B4" s="311" t="s">
        <v>320</v>
      </c>
      <c r="F4" s="24"/>
    </row>
    <row r="5" spans="1:6" ht="34.200000000000003">
      <c r="A5" s="310"/>
      <c r="B5" s="312" t="s">
        <v>144</v>
      </c>
      <c r="F5" s="24"/>
    </row>
    <row r="6" spans="1:6">
      <c r="B6" s="25" t="s">
        <v>207</v>
      </c>
      <c r="C6" s="25" t="s">
        <v>31</v>
      </c>
      <c r="D6" s="25">
        <v>8</v>
      </c>
      <c r="E6" s="313">
        <v>200</v>
      </c>
      <c r="F6" s="28">
        <f>D6*E6</f>
        <v>1600</v>
      </c>
    </row>
    <row r="7" spans="1:6">
      <c r="F7" s="24"/>
    </row>
    <row r="8" spans="1:6">
      <c r="F8" s="24"/>
    </row>
    <row r="9" spans="1:6" ht="12">
      <c r="A9" s="222" t="str">
        <f>A2</f>
        <v>XIX</v>
      </c>
      <c r="B9" s="314" t="str">
        <f>B2</f>
        <v>RAZNI RADOVI</v>
      </c>
      <c r="C9" s="227" t="s">
        <v>38</v>
      </c>
      <c r="D9" s="228"/>
      <c r="E9" s="228"/>
      <c r="F9" s="315">
        <f>SUM(F6:F8)</f>
        <v>1600</v>
      </c>
    </row>
  </sheetData>
  <pageMargins left="0.71" right="0.71" top="0.75" bottom="0.75" header="0.31" footer="0.31"/>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4079-230F-47D4-B63D-1C6B82B4DE6B}">
  <dimension ref="A1:F63"/>
  <sheetViews>
    <sheetView topLeftCell="A20" zoomScaleNormal="100" zoomScaleSheetLayoutView="100" workbookViewId="0">
      <selection activeCell="E61" sqref="E61"/>
    </sheetView>
  </sheetViews>
  <sheetFormatPr defaultColWidth="9.21875" defaultRowHeight="11.4"/>
  <cols>
    <col min="1" max="1" width="3.5546875" style="25" customWidth="1"/>
    <col min="2" max="2" width="31.21875" style="25" bestFit="1" customWidth="1"/>
    <col min="3" max="3" width="9.21875" style="25"/>
    <col min="4" max="4" width="9.21875" style="24" bestFit="1" customWidth="1"/>
    <col min="5" max="5" width="9.21875" style="25" bestFit="1" customWidth="1"/>
    <col min="6" max="6" width="11.44140625" style="25" bestFit="1" customWidth="1"/>
    <col min="7" max="16384" width="9.21875" style="25"/>
  </cols>
  <sheetData>
    <row r="1" spans="1:6" ht="12">
      <c r="A1" s="222"/>
      <c r="B1" s="186"/>
      <c r="E1" s="24"/>
      <c r="F1" s="24"/>
    </row>
    <row r="2" spans="1:6" ht="12">
      <c r="A2" s="26" t="s">
        <v>270</v>
      </c>
      <c r="B2" s="188" t="s">
        <v>353</v>
      </c>
      <c r="C2" s="26"/>
      <c r="E2" s="265"/>
      <c r="F2" s="24"/>
    </row>
    <row r="3" spans="1:6">
      <c r="F3" s="24"/>
    </row>
    <row r="4" spans="1:6" ht="12">
      <c r="B4" s="316" t="s">
        <v>355</v>
      </c>
      <c r="F4" s="24"/>
    </row>
    <row r="5" spans="1:6" ht="22.8">
      <c r="B5" s="317" t="s">
        <v>356</v>
      </c>
      <c r="F5" s="24"/>
    </row>
    <row r="6" spans="1:6">
      <c r="B6" s="317"/>
      <c r="F6" s="24"/>
    </row>
    <row r="7" spans="1:6" ht="24">
      <c r="A7" s="310" t="s">
        <v>8</v>
      </c>
      <c r="B7" s="318" t="s">
        <v>357</v>
      </c>
      <c r="F7" s="24"/>
    </row>
    <row r="8" spans="1:6" ht="45.6">
      <c r="A8" s="310"/>
      <c r="B8" s="319" t="s">
        <v>358</v>
      </c>
      <c r="F8" s="24"/>
    </row>
    <row r="9" spans="1:6">
      <c r="B9" s="320" t="s">
        <v>359</v>
      </c>
      <c r="C9" s="25" t="s">
        <v>40</v>
      </c>
      <c r="D9" s="24">
        <v>987</v>
      </c>
      <c r="E9" s="313">
        <v>15</v>
      </c>
      <c r="F9" s="28">
        <f>D9*E9</f>
        <v>14805</v>
      </c>
    </row>
    <row r="10" spans="1:6">
      <c r="F10" s="24"/>
    </row>
    <row r="11" spans="1:6" ht="12">
      <c r="A11" s="310" t="s">
        <v>11</v>
      </c>
      <c r="B11" s="318" t="s">
        <v>360</v>
      </c>
      <c r="F11" s="24"/>
    </row>
    <row r="12" spans="1:6" ht="114">
      <c r="A12" s="310"/>
      <c r="B12" s="320" t="s">
        <v>361</v>
      </c>
      <c r="F12" s="24"/>
    </row>
    <row r="13" spans="1:6">
      <c r="B13" s="320" t="s">
        <v>362</v>
      </c>
      <c r="C13" s="25" t="s">
        <v>31</v>
      </c>
      <c r="D13" s="24">
        <v>25</v>
      </c>
      <c r="E13" s="313">
        <v>100</v>
      </c>
      <c r="F13" s="28">
        <f>D13*E13</f>
        <v>2500</v>
      </c>
    </row>
    <row r="14" spans="1:6">
      <c r="F14" s="24"/>
    </row>
    <row r="15" spans="1:6" ht="12">
      <c r="A15" s="310" t="s">
        <v>12</v>
      </c>
      <c r="B15" s="318" t="s">
        <v>776</v>
      </c>
      <c r="F15" s="24"/>
    </row>
    <row r="16" spans="1:6" ht="79.8">
      <c r="A16" s="310"/>
      <c r="B16" s="320" t="s">
        <v>777</v>
      </c>
      <c r="F16" s="24"/>
    </row>
    <row r="17" spans="1:6">
      <c r="B17" s="320" t="s">
        <v>362</v>
      </c>
      <c r="C17" s="25" t="s">
        <v>31</v>
      </c>
      <c r="D17" s="24">
        <v>30</v>
      </c>
      <c r="E17" s="313">
        <v>50</v>
      </c>
      <c r="F17" s="28">
        <f>D17*E17</f>
        <v>1500</v>
      </c>
    </row>
    <row r="18" spans="1:6">
      <c r="F18" s="24"/>
    </row>
    <row r="19" spans="1:6" ht="12">
      <c r="A19" s="310" t="s">
        <v>16</v>
      </c>
      <c r="B19" s="318" t="s">
        <v>363</v>
      </c>
      <c r="F19" s="24"/>
    </row>
    <row r="20" spans="1:6" ht="68.400000000000006">
      <c r="A20" s="310"/>
      <c r="B20" s="320" t="s">
        <v>364</v>
      </c>
      <c r="F20" s="24"/>
    </row>
    <row r="21" spans="1:6">
      <c r="B21" s="320" t="s">
        <v>362</v>
      </c>
      <c r="C21" s="25" t="s">
        <v>31</v>
      </c>
      <c r="D21" s="24">
        <v>150</v>
      </c>
      <c r="E21" s="313">
        <v>10</v>
      </c>
      <c r="F21" s="28">
        <f>D21*E21</f>
        <v>1500</v>
      </c>
    </row>
    <row r="22" spans="1:6">
      <c r="F22" s="24"/>
    </row>
    <row r="23" spans="1:6" ht="12">
      <c r="A23" s="310" t="s">
        <v>18</v>
      </c>
      <c r="B23" s="318" t="s">
        <v>365</v>
      </c>
      <c r="F23" s="24"/>
    </row>
    <row r="24" spans="1:6" ht="68.400000000000006">
      <c r="A24" s="310"/>
      <c r="B24" s="319" t="s">
        <v>366</v>
      </c>
      <c r="F24" s="24"/>
    </row>
    <row r="25" spans="1:6" ht="136.80000000000001">
      <c r="A25" s="310"/>
      <c r="B25" s="319" t="s">
        <v>367</v>
      </c>
      <c r="F25" s="24"/>
    </row>
    <row r="26" spans="1:6" ht="34.200000000000003">
      <c r="A26" s="310"/>
      <c r="B26" s="319" t="s">
        <v>368</v>
      </c>
      <c r="F26" s="24"/>
    </row>
    <row r="27" spans="1:6" ht="12">
      <c r="A27" s="310"/>
      <c r="B27" s="319" t="s">
        <v>362</v>
      </c>
      <c r="F27" s="24"/>
    </row>
    <row r="28" spans="1:6" ht="12">
      <c r="A28" s="310"/>
      <c r="B28" s="321" t="s">
        <v>369</v>
      </c>
      <c r="C28" s="322"/>
      <c r="F28" s="24"/>
    </row>
    <row r="29" spans="1:6" ht="12">
      <c r="A29" s="310"/>
      <c r="B29" s="319" t="s">
        <v>2369</v>
      </c>
      <c r="F29" s="24"/>
    </row>
    <row r="30" spans="1:6" ht="12">
      <c r="A30" s="310"/>
      <c r="B30" s="323" t="s">
        <v>778</v>
      </c>
      <c r="C30" s="322" t="s">
        <v>31</v>
      </c>
      <c r="D30" s="24">
        <v>5</v>
      </c>
      <c r="E30" s="313">
        <v>200</v>
      </c>
      <c r="F30" s="28">
        <f t="shared" ref="F30:F36" si="0">D30*E30</f>
        <v>1000</v>
      </c>
    </row>
    <row r="31" spans="1:6" ht="12">
      <c r="A31" s="310"/>
      <c r="B31" s="324" t="s">
        <v>779</v>
      </c>
      <c r="C31" s="322" t="s">
        <v>31</v>
      </c>
      <c r="D31" s="24">
        <v>5</v>
      </c>
      <c r="E31" s="313">
        <v>200</v>
      </c>
      <c r="F31" s="28">
        <f t="shared" si="0"/>
        <v>1000</v>
      </c>
    </row>
    <row r="32" spans="1:6" ht="12">
      <c r="A32" s="310"/>
      <c r="B32" s="324" t="s">
        <v>780</v>
      </c>
      <c r="C32" s="322" t="s">
        <v>31</v>
      </c>
      <c r="D32" s="24">
        <v>3</v>
      </c>
      <c r="E32" s="313">
        <v>200</v>
      </c>
      <c r="F32" s="28">
        <f t="shared" si="0"/>
        <v>600</v>
      </c>
    </row>
    <row r="33" spans="1:6" ht="12">
      <c r="A33" s="310"/>
      <c r="B33" s="324" t="s">
        <v>781</v>
      </c>
      <c r="C33" s="322" t="s">
        <v>31</v>
      </c>
      <c r="D33" s="24">
        <v>3</v>
      </c>
      <c r="E33" s="313">
        <v>200</v>
      </c>
      <c r="F33" s="28">
        <f t="shared" si="0"/>
        <v>600</v>
      </c>
    </row>
    <row r="34" spans="1:6" ht="12">
      <c r="A34" s="310"/>
      <c r="B34" s="324" t="s">
        <v>782</v>
      </c>
      <c r="C34" s="322" t="s">
        <v>31</v>
      </c>
      <c r="D34" s="24">
        <v>3</v>
      </c>
      <c r="E34" s="313">
        <v>200</v>
      </c>
      <c r="F34" s="28">
        <f t="shared" si="0"/>
        <v>600</v>
      </c>
    </row>
    <row r="35" spans="1:6" ht="12">
      <c r="A35" s="310"/>
      <c r="B35" s="324" t="s">
        <v>783</v>
      </c>
      <c r="C35" s="322" t="s">
        <v>31</v>
      </c>
      <c r="D35" s="24">
        <v>3</v>
      </c>
      <c r="E35" s="313">
        <v>200</v>
      </c>
      <c r="F35" s="28">
        <f t="shared" si="0"/>
        <v>600</v>
      </c>
    </row>
    <row r="36" spans="1:6" ht="12">
      <c r="A36" s="310"/>
      <c r="B36" s="324" t="s">
        <v>784</v>
      </c>
      <c r="C36" s="322" t="s">
        <v>31</v>
      </c>
      <c r="D36" s="24">
        <v>3</v>
      </c>
      <c r="E36" s="313">
        <v>200</v>
      </c>
      <c r="F36" s="28">
        <f t="shared" si="0"/>
        <v>600</v>
      </c>
    </row>
    <row r="37" spans="1:6" ht="12">
      <c r="A37" s="310"/>
      <c r="B37" s="324"/>
      <c r="C37" s="322"/>
      <c r="E37" s="313"/>
      <c r="F37" s="28"/>
    </row>
    <row r="38" spans="1:6" ht="12">
      <c r="A38" s="310"/>
      <c r="B38" s="321" t="s">
        <v>370</v>
      </c>
      <c r="C38" s="322"/>
      <c r="E38" s="313"/>
      <c r="F38" s="28"/>
    </row>
    <row r="39" spans="1:6" ht="22.8">
      <c r="A39" s="310"/>
      <c r="B39" s="324" t="s">
        <v>785</v>
      </c>
      <c r="C39" s="322" t="s">
        <v>31</v>
      </c>
      <c r="D39" s="24">
        <v>30</v>
      </c>
      <c r="E39" s="313">
        <v>60</v>
      </c>
      <c r="F39" s="28">
        <f>D39*E39</f>
        <v>1800</v>
      </c>
    </row>
    <row r="40" spans="1:6" ht="12">
      <c r="A40" s="310"/>
      <c r="B40" s="324"/>
      <c r="C40" s="322"/>
      <c r="E40" s="313"/>
      <c r="F40" s="28"/>
    </row>
    <row r="41" spans="1:6" ht="12">
      <c r="A41" s="310"/>
      <c r="B41" s="321" t="s">
        <v>371</v>
      </c>
      <c r="C41" s="322"/>
      <c r="E41" s="313"/>
      <c r="F41" s="28"/>
    </row>
    <row r="42" spans="1:6" ht="22.8">
      <c r="A42" s="310"/>
      <c r="B42" s="324" t="s">
        <v>372</v>
      </c>
      <c r="C42" s="322" t="s">
        <v>31</v>
      </c>
      <c r="D42" s="24">
        <v>25</v>
      </c>
      <c r="E42" s="313">
        <v>10</v>
      </c>
      <c r="F42" s="28">
        <f>D42*E42</f>
        <v>250</v>
      </c>
    </row>
    <row r="43" spans="1:6" ht="22.8">
      <c r="A43" s="310"/>
      <c r="B43" s="324" t="s">
        <v>373</v>
      </c>
      <c r="C43" s="322" t="s">
        <v>31</v>
      </c>
      <c r="D43" s="24">
        <v>25</v>
      </c>
      <c r="E43" s="313">
        <v>10</v>
      </c>
      <c r="F43" s="28">
        <f>D43*E43</f>
        <v>250</v>
      </c>
    </row>
    <row r="44" spans="1:6" ht="22.8">
      <c r="A44" s="310"/>
      <c r="B44" s="324" t="s">
        <v>374</v>
      </c>
      <c r="C44" s="322" t="s">
        <v>31</v>
      </c>
      <c r="D44" s="24">
        <v>25</v>
      </c>
      <c r="E44" s="313">
        <v>10</v>
      </c>
      <c r="F44" s="28">
        <f>D44*E44</f>
        <v>250</v>
      </c>
    </row>
    <row r="45" spans="1:6" ht="12">
      <c r="A45" s="310"/>
      <c r="B45" s="324"/>
      <c r="C45" s="322"/>
      <c r="E45" s="313"/>
      <c r="F45" s="28"/>
    </row>
    <row r="46" spans="1:6" ht="24">
      <c r="A46" s="310"/>
      <c r="B46" s="321" t="s">
        <v>375</v>
      </c>
      <c r="C46" s="322"/>
      <c r="E46" s="313"/>
      <c r="F46" s="28"/>
    </row>
    <row r="47" spans="1:6" ht="34.200000000000003">
      <c r="A47" s="310"/>
      <c r="B47" s="324" t="s">
        <v>376</v>
      </c>
      <c r="C47" s="322" t="s">
        <v>31</v>
      </c>
      <c r="D47" s="24">
        <v>25</v>
      </c>
      <c r="E47" s="313">
        <v>10</v>
      </c>
      <c r="F47" s="28">
        <f>D47*E47</f>
        <v>250</v>
      </c>
    </row>
    <row r="48" spans="1:6" ht="22.8">
      <c r="A48" s="310"/>
      <c r="B48" s="324" t="s">
        <v>377</v>
      </c>
      <c r="C48" s="322" t="s">
        <v>31</v>
      </c>
      <c r="D48" s="24">
        <v>25</v>
      </c>
      <c r="E48" s="313">
        <v>10</v>
      </c>
      <c r="F48" s="28">
        <f>D48*E48</f>
        <v>250</v>
      </c>
    </row>
    <row r="49" spans="1:6" ht="22.8">
      <c r="A49" s="310"/>
      <c r="B49" s="324" t="s">
        <v>378</v>
      </c>
      <c r="C49" s="322" t="s">
        <v>31</v>
      </c>
      <c r="D49" s="24">
        <v>25</v>
      </c>
      <c r="E49" s="313">
        <v>10</v>
      </c>
      <c r="F49" s="28">
        <f>D49*E49</f>
        <v>250</v>
      </c>
    </row>
    <row r="50" spans="1:6" ht="12">
      <c r="A50" s="209"/>
      <c r="B50" s="186"/>
      <c r="C50" s="210"/>
      <c r="E50" s="24"/>
      <c r="F50" s="24"/>
    </row>
    <row r="51" spans="1:6" ht="12">
      <c r="A51" s="21" t="s">
        <v>23</v>
      </c>
      <c r="B51" s="214" t="s">
        <v>795</v>
      </c>
      <c r="C51" s="210"/>
      <c r="E51" s="24"/>
      <c r="F51" s="24"/>
    </row>
    <row r="52" spans="1:6" ht="12">
      <c r="A52" s="21"/>
      <c r="B52" s="325" t="s">
        <v>796</v>
      </c>
      <c r="C52" s="216"/>
      <c r="E52" s="24"/>
      <c r="F52" s="24"/>
    </row>
    <row r="53" spans="1:6" ht="22.8">
      <c r="A53" s="21"/>
      <c r="B53" s="326" t="s">
        <v>797</v>
      </c>
      <c r="C53" s="216"/>
      <c r="E53" s="24"/>
      <c r="F53" s="24"/>
    </row>
    <row r="54" spans="1:6" ht="22.8">
      <c r="A54" s="209"/>
      <c r="B54" s="238" t="s">
        <v>798</v>
      </c>
      <c r="C54" s="216"/>
      <c r="D54" s="211"/>
      <c r="E54" s="24"/>
      <c r="F54" s="24"/>
    </row>
    <row r="55" spans="1:6" ht="22.8">
      <c r="A55" s="209"/>
      <c r="B55" s="327" t="s">
        <v>799</v>
      </c>
      <c r="C55" s="216"/>
      <c r="D55" s="211"/>
      <c r="E55" s="24"/>
      <c r="F55" s="24"/>
    </row>
    <row r="56" spans="1:6" ht="12">
      <c r="A56" s="209"/>
      <c r="B56" s="328" t="s">
        <v>800</v>
      </c>
      <c r="C56" s="216"/>
      <c r="D56" s="211"/>
      <c r="E56" s="24"/>
      <c r="F56" s="24"/>
    </row>
    <row r="57" spans="1:6" ht="12">
      <c r="A57" s="209"/>
      <c r="B57" s="328" t="s">
        <v>801</v>
      </c>
      <c r="C57" s="216"/>
      <c r="D57" s="211"/>
      <c r="E57" s="24"/>
      <c r="F57" s="24"/>
    </row>
    <row r="58" spans="1:6" ht="12">
      <c r="A58" s="209"/>
      <c r="B58" s="328" t="s">
        <v>802</v>
      </c>
      <c r="C58" s="216"/>
      <c r="D58" s="211"/>
      <c r="E58" s="24"/>
      <c r="F58" s="24"/>
    </row>
    <row r="59" spans="1:6" ht="22.8">
      <c r="A59" s="209"/>
      <c r="B59" s="328" t="s">
        <v>803</v>
      </c>
      <c r="C59" s="216"/>
      <c r="D59" s="211"/>
      <c r="E59" s="24"/>
      <c r="F59" s="24"/>
    </row>
    <row r="60" spans="1:6" ht="36">
      <c r="A60" s="209"/>
      <c r="B60" s="329" t="s">
        <v>804</v>
      </c>
      <c r="C60" s="330" t="s">
        <v>66</v>
      </c>
      <c r="D60" s="211">
        <v>3526</v>
      </c>
      <c r="E60" s="24">
        <v>4</v>
      </c>
      <c r="F60" s="28">
        <f>D60*E60</f>
        <v>14104</v>
      </c>
    </row>
    <row r="61" spans="1:6" ht="12">
      <c r="A61" s="310"/>
      <c r="B61" s="324"/>
      <c r="C61" s="322"/>
      <c r="E61" s="313"/>
      <c r="F61" s="28"/>
    </row>
    <row r="62" spans="1:6">
      <c r="F62" s="24"/>
    </row>
    <row r="63" spans="1:6" ht="12">
      <c r="A63" s="1014" t="str">
        <f>A2</f>
        <v>XX</v>
      </c>
      <c r="B63" s="1011" t="str">
        <f>B2</f>
        <v>HORTIKULTURA</v>
      </c>
      <c r="C63" s="1012" t="s">
        <v>38</v>
      </c>
      <c r="D63" s="1013"/>
      <c r="E63" s="1013"/>
      <c r="F63" s="1015">
        <f>SUM(F9:F62)</f>
        <v>42709</v>
      </c>
    </row>
  </sheetData>
  <pageMargins left="0.71" right="0.71" top="0.75" bottom="0.75" header="0.31" footer="0.31"/>
  <pageSetup paperSize="9" orientation="portrait" r:id="rId1"/>
  <rowBreaks count="2" manualBreakCount="2">
    <brk id="22" max="5" man="1"/>
    <brk id="50" max="5"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7"/>
  <sheetViews>
    <sheetView zoomScaleNormal="100" zoomScaleSheetLayoutView="100" workbookViewId="0">
      <selection activeCell="E7" sqref="E7"/>
    </sheetView>
  </sheetViews>
  <sheetFormatPr defaultColWidth="9.21875" defaultRowHeight="12"/>
  <cols>
    <col min="1" max="1" width="3.5546875" style="21" customWidth="1"/>
    <col min="2" max="2" width="47.21875" style="186" customWidth="1"/>
    <col min="3" max="3" width="6.5546875" style="25" customWidth="1"/>
    <col min="4" max="4" width="6" style="24" customWidth="1"/>
    <col min="5" max="5" width="11.21875" style="24" bestFit="1" customWidth="1"/>
    <col min="6" max="6" width="13.21875" style="231" customWidth="1"/>
    <col min="7" max="16384" width="9.21875" style="25"/>
  </cols>
  <sheetData>
    <row r="1" spans="1:6">
      <c r="F1" s="24"/>
    </row>
    <row r="2" spans="1:6" s="26" customFormat="1">
      <c r="A2" s="21" t="s">
        <v>354</v>
      </c>
      <c r="B2" s="22" t="s">
        <v>146</v>
      </c>
      <c r="D2" s="27"/>
      <c r="E2" s="27"/>
      <c r="F2" s="27"/>
    </row>
    <row r="3" spans="1:6" s="26" customFormat="1">
      <c r="A3" s="21"/>
      <c r="B3" s="22"/>
      <c r="D3" s="27"/>
      <c r="E3" s="27"/>
      <c r="F3" s="27"/>
    </row>
    <row r="4" spans="1:6" s="26" customFormat="1">
      <c r="A4" s="21" t="s">
        <v>8</v>
      </c>
      <c r="B4" s="22" t="s">
        <v>2448</v>
      </c>
      <c r="C4" s="1016"/>
      <c r="D4" s="25"/>
      <c r="E4" s="231"/>
      <c r="F4" s="24"/>
    </row>
    <row r="5" spans="1:6" s="26" customFormat="1">
      <c r="A5" s="21"/>
      <c r="B5" s="238" t="s">
        <v>1112</v>
      </c>
      <c r="C5" s="1016"/>
      <c r="D5" s="235"/>
      <c r="E5" s="1017"/>
      <c r="F5" s="24"/>
    </row>
    <row r="6" spans="1:6" s="26" customFormat="1" ht="13.2">
      <c r="A6" s="21"/>
      <c r="B6" s="186" t="s">
        <v>148</v>
      </c>
      <c r="C6" s="28" t="s">
        <v>31</v>
      </c>
      <c r="D6" s="28">
        <v>1</v>
      </c>
      <c r="E6" s="229">
        <v>30000</v>
      </c>
      <c r="F6" s="46">
        <f>E6*D6</f>
        <v>30000</v>
      </c>
    </row>
    <row r="7" spans="1:6" s="26" customFormat="1">
      <c r="A7" s="21"/>
      <c r="B7" s="22"/>
      <c r="D7" s="27"/>
      <c r="E7" s="27"/>
      <c r="F7" s="27"/>
    </row>
    <row r="8" spans="1:6" s="26" customFormat="1">
      <c r="A8" s="21" t="s">
        <v>11</v>
      </c>
      <c r="B8" s="22" t="s">
        <v>147</v>
      </c>
      <c r="C8" s="1016"/>
      <c r="D8" s="25"/>
      <c r="E8" s="231"/>
      <c r="F8" s="24"/>
    </row>
    <row r="9" spans="1:6" s="26" customFormat="1">
      <c r="A9" s="21"/>
      <c r="B9" s="238" t="s">
        <v>257</v>
      </c>
      <c r="C9" s="1016"/>
      <c r="D9" s="235"/>
      <c r="E9" s="1017"/>
      <c r="F9" s="24"/>
    </row>
    <row r="10" spans="1:6" s="26" customFormat="1" ht="13.2">
      <c r="A10" s="21"/>
      <c r="B10" s="186" t="s">
        <v>148</v>
      </c>
      <c r="C10" s="28" t="s">
        <v>31</v>
      </c>
      <c r="D10" s="28">
        <v>1</v>
      </c>
      <c r="E10" s="229">
        <v>5000</v>
      </c>
      <c r="F10" s="46">
        <f>E10*D10</f>
        <v>5000</v>
      </c>
    </row>
    <row r="11" spans="1:6" s="26" customFormat="1">
      <c r="A11" s="21"/>
      <c r="B11" s="186"/>
      <c r="C11" s="28"/>
      <c r="D11" s="28"/>
      <c r="E11" s="229"/>
      <c r="F11" s="28"/>
    </row>
    <row r="12" spans="1:6" s="26" customFormat="1">
      <c r="A12" s="21" t="s">
        <v>12</v>
      </c>
      <c r="B12" s="22" t="s">
        <v>149</v>
      </c>
      <c r="C12" s="1016"/>
      <c r="D12" s="25"/>
      <c r="E12" s="231"/>
      <c r="F12" s="24"/>
    </row>
    <row r="13" spans="1:6" s="26" customFormat="1" ht="22.8">
      <c r="A13" s="21"/>
      <c r="B13" s="238" t="s">
        <v>150</v>
      </c>
      <c r="C13" s="1016"/>
      <c r="D13" s="235"/>
      <c r="E13" s="1017"/>
      <c r="F13" s="24"/>
    </row>
    <row r="14" spans="1:6" s="26" customFormat="1" ht="13.2">
      <c r="A14" s="21"/>
      <c r="B14" s="186" t="s">
        <v>148</v>
      </c>
      <c r="C14" s="28" t="s">
        <v>31</v>
      </c>
      <c r="D14" s="28">
        <v>1</v>
      </c>
      <c r="E14" s="229">
        <v>2000</v>
      </c>
      <c r="F14" s="46">
        <f>E14*D14</f>
        <v>2000</v>
      </c>
    </row>
    <row r="15" spans="1:6" s="26" customFormat="1">
      <c r="A15" s="21"/>
      <c r="B15" s="186"/>
      <c r="C15" s="28"/>
      <c r="D15" s="28"/>
      <c r="E15" s="229"/>
      <c r="F15" s="28"/>
    </row>
    <row r="16" spans="1:6" s="26" customFormat="1">
      <c r="A16" s="21"/>
      <c r="B16" s="186"/>
      <c r="C16" s="1016"/>
      <c r="D16" s="25"/>
      <c r="E16" s="231"/>
      <c r="F16" s="24"/>
    </row>
    <row r="17" spans="1:6">
      <c r="A17" s="21" t="str">
        <f>A2</f>
        <v>XXI</v>
      </c>
      <c r="B17" s="314" t="str">
        <f>B2</f>
        <v>DOKUMENTACIJA</v>
      </c>
      <c r="C17" s="227" t="s">
        <v>38</v>
      </c>
      <c r="D17" s="228"/>
      <c r="E17" s="228"/>
      <c r="F17" s="1018">
        <f>SUM(F2:F16)</f>
        <v>37000</v>
      </c>
    </row>
  </sheetData>
  <sheetProtection selectLockedCells="1" selectUnlockedCells="1"/>
  <conditionalFormatting sqref="F6">
    <cfRule type="cellIs" dxfId="2" priority="7" stopIfTrue="1" operator="greaterThan">
      <formula>0</formula>
    </cfRule>
  </conditionalFormatting>
  <conditionalFormatting sqref="F10">
    <cfRule type="cellIs" dxfId="1" priority="12" stopIfTrue="1" operator="greaterThan">
      <formula>0</formula>
    </cfRule>
  </conditionalFormatting>
  <conditionalFormatting sqref="F14">
    <cfRule type="cellIs" dxfId="0" priority="11" stopIfTrue="1" operator="greaterThan">
      <formula>0</formula>
    </cfRule>
  </conditionalFormatting>
  <pageMargins left="0.71" right="0.71" top="1.3" bottom="0.75" header="0.51" footer="0.31"/>
  <pageSetup paperSize="9" scale="95" orientation="portrait" r:id="rId1"/>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50"/>
  <sheetViews>
    <sheetView topLeftCell="A11" zoomScaleNormal="100" zoomScaleSheetLayoutView="100" workbookViewId="0">
      <selection activeCell="G29" sqref="G29"/>
    </sheetView>
  </sheetViews>
  <sheetFormatPr defaultColWidth="9.21875" defaultRowHeight="13.2"/>
  <cols>
    <col min="1" max="1" width="3.21875" style="3" customWidth="1"/>
    <col min="2" max="2" width="5.77734375" style="3" customWidth="1"/>
    <col min="3" max="3" width="48.21875" style="3" customWidth="1"/>
    <col min="4" max="4" width="5.77734375" style="3" customWidth="1"/>
    <col min="5" max="5" width="24.44140625" style="140" customWidth="1"/>
    <col min="6" max="16384" width="9.21875" style="3"/>
  </cols>
  <sheetData>
    <row r="1" spans="1:5" ht="14.1" customHeight="1">
      <c r="A1" s="4"/>
      <c r="B1" s="4"/>
      <c r="C1" s="1"/>
      <c r="D1" s="2"/>
      <c r="E1" s="138"/>
    </row>
    <row r="2" spans="1:5" ht="14.1" customHeight="1">
      <c r="A2" s="4"/>
      <c r="B2" s="4"/>
      <c r="C2" s="1"/>
      <c r="D2" s="2"/>
      <c r="E2" s="138"/>
    </row>
    <row r="3" spans="1:5" ht="13.8" thickBot="1">
      <c r="A3" s="5"/>
      <c r="B3" s="5"/>
      <c r="C3" s="8"/>
      <c r="D3" s="8"/>
      <c r="E3" s="139"/>
    </row>
    <row r="4" spans="1:5">
      <c r="A4" s="6"/>
      <c r="B4" s="7"/>
      <c r="C4" s="1"/>
      <c r="D4" s="1"/>
      <c r="E4" s="138"/>
    </row>
    <row r="5" spans="1:5">
      <c r="A5" s="6"/>
      <c r="B5" s="7"/>
      <c r="C5" s="1"/>
      <c r="D5" s="1"/>
      <c r="E5" s="138"/>
    </row>
    <row r="6" spans="1:5" ht="21">
      <c r="C6" s="9" t="s">
        <v>151</v>
      </c>
    </row>
    <row r="7" spans="1:5">
      <c r="C7" s="4"/>
      <c r="D7" s="4"/>
      <c r="E7" s="141"/>
    </row>
    <row r="9" spans="1:5" s="10" customFormat="1" ht="14.4" thickBot="1">
      <c r="B9" s="11" t="str">
        <f>'I PRIPR'!A41</f>
        <v>I</v>
      </c>
      <c r="C9" s="12" t="str">
        <f>'I PRIPR'!B41</f>
        <v xml:space="preserve">UREĐENJE RADILIŠTA I PRIPREMNI RADOVI </v>
      </c>
      <c r="D9" s="13"/>
      <c r="E9" s="142">
        <f>'I PRIPR'!F41</f>
        <v>17500</v>
      </c>
    </row>
    <row r="10" spans="1:5" s="10" customFormat="1" ht="13.8">
      <c r="B10" s="14"/>
      <c r="C10" s="14"/>
      <c r="E10" s="142"/>
    </row>
    <row r="11" spans="1:5" s="10" customFormat="1" ht="14.4" thickBot="1">
      <c r="B11" s="11" t="str">
        <f>'II ZEM'!A52</f>
        <v>II</v>
      </c>
      <c r="C11" s="12" t="str">
        <f>'II ZEM'!B52</f>
        <v xml:space="preserve">ZEMLJANI RADOVI </v>
      </c>
      <c r="D11" s="15"/>
      <c r="E11" s="142">
        <f>'II ZEM'!F52</f>
        <v>270855.2</v>
      </c>
    </row>
    <row r="12" spans="1:5" s="10" customFormat="1" ht="13.8">
      <c r="B12" s="14"/>
      <c r="C12" s="14"/>
      <c r="E12" s="142"/>
    </row>
    <row r="13" spans="1:5" s="10" customFormat="1" ht="14.4" thickBot="1">
      <c r="B13" s="11" t="str">
        <f>'III OPL_KOLNIK'!A100</f>
        <v>III</v>
      </c>
      <c r="C13" s="11" t="str">
        <f>'III OPL_KOLNIK'!B100</f>
        <v>PJEŠAČKO KOLNIČKA KONSTRUKCIJA</v>
      </c>
      <c r="D13" s="13"/>
      <c r="E13" s="142">
        <f>'III OPL_KOLNIK'!F100</f>
        <v>334375</v>
      </c>
    </row>
    <row r="14" spans="1:5" s="10" customFormat="1" ht="13.8">
      <c r="B14" s="14"/>
      <c r="C14" s="14"/>
      <c r="E14" s="142"/>
    </row>
    <row r="15" spans="1:5" s="10" customFormat="1" ht="14.4" thickBot="1">
      <c r="B15" s="11" t="str">
        <f>'IV AB RADOVI'!A74</f>
        <v>IV</v>
      </c>
      <c r="C15" s="12" t="str">
        <f>'IV AB RADOVI'!B74</f>
        <v>BETONSKI I ARMIRANOBETONSKI RADOVI</v>
      </c>
      <c r="D15" s="13"/>
      <c r="E15" s="142">
        <f>'IV AB RADOVI'!F74</f>
        <v>1113493.8</v>
      </c>
    </row>
    <row r="16" spans="1:5" s="10" customFormat="1" ht="13.8">
      <c r="E16" s="142"/>
    </row>
    <row r="17" spans="2:5" s="10" customFormat="1" ht="14.4" thickBot="1">
      <c r="B17" s="11" t="str">
        <f>'V ZIDARSKI'!A39</f>
        <v>V</v>
      </c>
      <c r="C17" s="11" t="str">
        <f>'V ZIDARSKI'!B39</f>
        <v>ZIDARSKI RADOVI</v>
      </c>
      <c r="D17" s="13"/>
      <c r="E17" s="142">
        <f>'V ZIDARSKI'!F39</f>
        <v>205945</v>
      </c>
    </row>
    <row r="18" spans="2:5" s="10" customFormat="1" ht="13.8">
      <c r="E18" s="142"/>
    </row>
    <row r="19" spans="2:5" s="10" customFormat="1" ht="14.4" thickBot="1">
      <c r="B19" s="11" t="str">
        <f>'VI IZOLAT'!A36</f>
        <v>VI</v>
      </c>
      <c r="C19" s="11" t="str">
        <f>'VI IZOLAT'!B2</f>
        <v>IZOLATERSKI RADOVI</v>
      </c>
      <c r="D19" s="13"/>
      <c r="E19" s="142">
        <f>'VI IZOLAT'!F36</f>
        <v>97618</v>
      </c>
    </row>
    <row r="20" spans="2:5" s="10" customFormat="1" ht="13.8">
      <c r="E20" s="142"/>
    </row>
    <row r="21" spans="2:5" s="10" customFormat="1" ht="14.4" thickBot="1">
      <c r="B21" s="11" t="str">
        <f>'VII KROV'!A15</f>
        <v>VII</v>
      </c>
      <c r="C21" s="11" t="str">
        <f>'VII KROV'!B15</f>
        <v>KROV</v>
      </c>
      <c r="D21" s="13"/>
      <c r="E21" s="142">
        <f>'VII KROV'!F15</f>
        <v>156725</v>
      </c>
    </row>
    <row r="22" spans="2:5" s="10" customFormat="1" ht="13.8">
      <c r="E22" s="142"/>
    </row>
    <row r="23" spans="2:5" s="10" customFormat="1" ht="14.4" thickBot="1">
      <c r="B23" s="11" t="str">
        <f>'VIII FASADA'!A21</f>
        <v>VIII</v>
      </c>
      <c r="C23" s="12" t="str">
        <f>'VIII FASADA'!B21</f>
        <v>FASADERSKI RADOVI</v>
      </c>
      <c r="D23" s="13"/>
      <c r="E23" s="142">
        <f>'VIII FASADA'!F21</f>
        <v>165030</v>
      </c>
    </row>
    <row r="24" spans="2:5" s="10" customFormat="1" ht="13.8">
      <c r="E24" s="142"/>
    </row>
    <row r="25" spans="2:5" s="10" customFormat="1" ht="14.4" thickBot="1">
      <c r="B25" s="695" t="str">
        <f>'IX BRAV'!A30</f>
        <v>IX</v>
      </c>
      <c r="C25" s="12" t="str">
        <f>'IX BRAV'!B30</f>
        <v>BRAVARSKI RADOVI</v>
      </c>
      <c r="D25" s="13"/>
      <c r="E25" s="142">
        <f>'IX BRAV'!F30</f>
        <v>33300</v>
      </c>
    </row>
    <row r="26" spans="2:5" s="10" customFormat="1" ht="13.8">
      <c r="B26" s="696"/>
      <c r="E26" s="142"/>
    </row>
    <row r="27" spans="2:5" s="10" customFormat="1" ht="14.4" thickBot="1">
      <c r="B27" s="697" t="str">
        <f>'X ALU BRAVARIJA'!A136</f>
        <v>X</v>
      </c>
      <c r="C27" s="12" t="str">
        <f>'X ALU BRAVARIJA'!B136</f>
        <v>ALUMINIJSKA STOLARIJA</v>
      </c>
      <c r="D27" s="13"/>
      <c r="E27" s="142">
        <f>'X ALU BRAVARIJA'!F136</f>
        <v>188650</v>
      </c>
    </row>
    <row r="28" spans="2:5" s="10" customFormat="1" ht="13.8">
      <c r="B28" s="696"/>
      <c r="E28" s="142"/>
    </row>
    <row r="29" spans="2:5" s="10" customFormat="1" ht="14.4" thickBot="1">
      <c r="B29" s="697" t="str">
        <f>'XI POŽARNA BRAVARIJA'!A17</f>
        <v>XI</v>
      </c>
      <c r="C29" s="12" t="str">
        <f>'XI POŽARNA BRAVARIJA'!B17</f>
        <v>POŽARNA BRAVARIJA</v>
      </c>
      <c r="D29" s="13"/>
      <c r="E29" s="142">
        <f>'XI POŽARNA BRAVARIJA'!F17</f>
        <v>3000</v>
      </c>
    </row>
    <row r="30" spans="2:5" s="10" customFormat="1" ht="13.8">
      <c r="B30" s="696"/>
      <c r="E30" s="142"/>
    </row>
    <row r="31" spans="2:5" s="10" customFormat="1" ht="14.4" thickBot="1">
      <c r="B31" s="695" t="str">
        <f>'XII STOLARIJA'!A40</f>
        <v>XII</v>
      </c>
      <c r="C31" s="15" t="str">
        <f>'XII STOLARIJA'!B40</f>
        <v>STOLARSKI RADOVI</v>
      </c>
      <c r="D31" s="13"/>
      <c r="E31" s="142">
        <f>'XII STOLARIJA'!F40</f>
        <v>52250</v>
      </c>
    </row>
    <row r="32" spans="2:5" s="10" customFormat="1" ht="13.8">
      <c r="B32" s="696"/>
      <c r="C32" s="16"/>
      <c r="E32" s="142"/>
    </row>
    <row r="33" spans="2:5" s="10" customFormat="1" ht="14.4" thickBot="1">
      <c r="B33" s="695" t="str">
        <f>'XIII LIMAR'!A15</f>
        <v>XIII</v>
      </c>
      <c r="C33" s="15" t="str">
        <f>'XIII LIMAR'!B15</f>
        <v>LIMARSKI RADOVI</v>
      </c>
      <c r="D33" s="13"/>
      <c r="E33" s="142">
        <f>'XIII LIMAR'!F15</f>
        <v>28140</v>
      </c>
    </row>
    <row r="34" spans="2:5" s="10" customFormat="1" ht="13.8">
      <c r="B34" s="696"/>
      <c r="C34" s="16"/>
      <c r="E34" s="142"/>
    </row>
    <row r="35" spans="2:5" s="10" customFormat="1" ht="14.4" thickBot="1">
      <c r="B35" s="695" t="str">
        <f>'XIV GK'!A45</f>
        <v>XIV</v>
      </c>
      <c r="C35" s="15" t="str">
        <f>'XIV GK'!B45</f>
        <v>GIPSKARTONSKI RADOVI</v>
      </c>
      <c r="D35" s="13"/>
      <c r="E35" s="142">
        <f>'XIV GK'!F45</f>
        <v>111226</v>
      </c>
    </row>
    <row r="36" spans="2:5" s="10" customFormat="1" ht="13.8">
      <c r="B36" s="696"/>
      <c r="C36" s="16"/>
      <c r="E36" s="142"/>
    </row>
    <row r="37" spans="2:5" s="10" customFormat="1" ht="14.4" thickBot="1">
      <c r="B37" s="695" t="str">
        <f>'XV KERAMIKA'!A20</f>
        <v>XV</v>
      </c>
      <c r="C37" s="15" t="str">
        <f>'XV KERAMIKA'!B2</f>
        <v>KERAMIČARSKI RADOVI</v>
      </c>
      <c r="D37" s="13"/>
      <c r="E37" s="142">
        <f>'XV KERAMIKA'!F20</f>
        <v>106020</v>
      </c>
    </row>
    <row r="38" spans="2:5" s="10" customFormat="1" ht="13.8">
      <c r="B38" s="696"/>
      <c r="C38" s="16"/>
      <c r="E38" s="142"/>
    </row>
    <row r="39" spans="2:5" s="10" customFormat="1" ht="14.4" thickBot="1">
      <c r="B39" s="695" t="str">
        <f>'XVI PODOPOL'!A99</f>
        <v>XVI</v>
      </c>
      <c r="C39" s="15" t="str">
        <f>'XVI PODOPOL'!B99</f>
        <v>PODOPOLAGAČKI RADOVI</v>
      </c>
      <c r="D39" s="13"/>
      <c r="E39" s="142">
        <f>'XVI PODOPOL'!F99</f>
        <v>92460</v>
      </c>
    </row>
    <row r="40" spans="2:5" s="10" customFormat="1" ht="13.8">
      <c r="B40" s="696"/>
      <c r="C40" s="16"/>
      <c r="E40" s="142"/>
    </row>
    <row r="41" spans="2:5" s="10" customFormat="1" ht="14.4" thickBot="1">
      <c r="B41" s="695" t="str">
        <f>'XVII SOBOSLIK'!A18</f>
        <v>XVII</v>
      </c>
      <c r="C41" s="15" t="str">
        <f>'XVII SOBOSLIK'!B18</f>
        <v>SOBOSLIKARSKI I LIČILAČKI RADOVI</v>
      </c>
      <c r="D41" s="13"/>
      <c r="E41" s="142">
        <f>'XVII SOBOSLIK'!F18</f>
        <v>53900</v>
      </c>
    </row>
    <row r="42" spans="2:5" s="10" customFormat="1" ht="13.8">
      <c r="B42" s="696"/>
      <c r="C42" s="16"/>
      <c r="E42" s="142"/>
    </row>
    <row r="43" spans="2:5" s="10" customFormat="1" ht="14.4" thickBot="1">
      <c r="B43" s="695" t="str">
        <f>'XVIII RAZNI RADOVI'!A9</f>
        <v>XIX</v>
      </c>
      <c r="C43" s="15" t="str">
        <f>'XVIII RAZNI RADOVI'!B2</f>
        <v>RAZNI RADOVI</v>
      </c>
      <c r="D43" s="13"/>
      <c r="E43" s="142">
        <f>'XVIII RAZNI RADOVI'!F9</f>
        <v>1600</v>
      </c>
    </row>
    <row r="44" spans="2:5" s="10" customFormat="1" ht="13.8">
      <c r="B44" s="696"/>
      <c r="C44" s="16"/>
      <c r="E44" s="142"/>
    </row>
    <row r="45" spans="2:5" s="10" customFormat="1" ht="14.4" thickBot="1">
      <c r="B45" s="695" t="str">
        <f>'XX HORTIKULTURA'!A63</f>
        <v>XX</v>
      </c>
      <c r="C45" s="15" t="str">
        <f>'XX HORTIKULTURA'!B2</f>
        <v>HORTIKULTURA</v>
      </c>
      <c r="D45" s="13"/>
      <c r="E45" s="142">
        <f>'XX HORTIKULTURA'!F63</f>
        <v>42709</v>
      </c>
    </row>
    <row r="46" spans="2:5" s="10" customFormat="1" ht="13.8">
      <c r="B46" s="696"/>
      <c r="C46" s="16"/>
      <c r="E46" s="142"/>
    </row>
    <row r="47" spans="2:5" s="10" customFormat="1" ht="14.4" thickBot="1">
      <c r="B47" s="695" t="str">
        <f>'XXI DOKUMENT'!A17</f>
        <v>XXI</v>
      </c>
      <c r="C47" s="15" t="str">
        <f>'XXI DOKUMENT'!B17</f>
        <v>DOKUMENTACIJA</v>
      </c>
      <c r="D47" s="13"/>
      <c r="E47" s="142">
        <f>'XXI DOKUMENT'!F17</f>
        <v>37000</v>
      </c>
    </row>
    <row r="48" spans="2:5" s="10" customFormat="1" ht="13.8">
      <c r="C48" s="16"/>
      <c r="E48" s="142"/>
    </row>
    <row r="50" spans="1:5" ht="17.399999999999999">
      <c r="A50" s="17"/>
      <c r="B50" s="18" t="s">
        <v>152</v>
      </c>
      <c r="C50" s="19"/>
      <c r="D50" s="20"/>
      <c r="E50" s="143">
        <f>SUM(E9:E47)</f>
        <v>3111797</v>
      </c>
    </row>
  </sheetData>
  <sheetProtection selectLockedCells="1" selectUnlockedCells="1"/>
  <pageMargins left="0.98" right="0.39" top="0.39" bottom="1.18" header="0.51" footer="0.31"/>
  <pageSetup paperSize="9" scale="90" orientation="portrait" r:id="rId1"/>
  <headerFooter alignWithMargins="0">
    <oddFooter>&amp;R&amp;9&amp;P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5DAA-391E-4457-8257-A210099D9A65}">
  <dimension ref="A1:H392"/>
  <sheetViews>
    <sheetView topLeftCell="A379" zoomScaleNormal="100" zoomScaleSheetLayoutView="100" workbookViewId="0">
      <selection activeCell="K354" sqref="K354"/>
    </sheetView>
  </sheetViews>
  <sheetFormatPr defaultColWidth="8.77734375" defaultRowHeight="11.4"/>
  <cols>
    <col min="1" max="1" width="6.21875" style="60" customWidth="1"/>
    <col min="2" max="2" width="33.21875" style="136" customWidth="1"/>
    <col min="3" max="3" width="8.77734375" style="60"/>
    <col min="4" max="4" width="8.77734375" style="60" bestFit="1" customWidth="1"/>
    <col min="5" max="5" width="8.88671875" style="60" bestFit="1" customWidth="1"/>
    <col min="6" max="6" width="12.77734375" style="60" bestFit="1" customWidth="1"/>
    <col min="7" max="16384" width="8.77734375" style="60"/>
  </cols>
  <sheetData>
    <row r="1" spans="1:6" ht="12">
      <c r="A1" s="55"/>
      <c r="B1" s="124" t="s">
        <v>242</v>
      </c>
      <c r="C1" s="57"/>
      <c r="D1" s="58"/>
      <c r="E1" s="47"/>
      <c r="F1" s="59"/>
    </row>
    <row r="2" spans="1:6" ht="12">
      <c r="A2" s="48"/>
      <c r="B2" s="1132" t="s">
        <v>2447</v>
      </c>
      <c r="C2" s="1133"/>
      <c r="D2" s="1133"/>
      <c r="E2" s="1133"/>
      <c r="F2" s="1133"/>
    </row>
    <row r="3" spans="1:6" ht="12">
      <c r="A3" s="101"/>
      <c r="B3" s="114" t="s">
        <v>2460</v>
      </c>
      <c r="C3" s="114"/>
      <c r="D3" s="114"/>
      <c r="E3" s="114"/>
      <c r="F3" s="114"/>
    </row>
    <row r="4" spans="1:6" ht="12">
      <c r="A4" s="101"/>
      <c r="B4" s="114" t="s">
        <v>491</v>
      </c>
      <c r="C4" s="114"/>
      <c r="D4" s="114"/>
      <c r="E4" s="114"/>
      <c r="F4" s="114"/>
    </row>
    <row r="5" spans="1:6" ht="12">
      <c r="A5" s="48"/>
      <c r="B5" s="118"/>
      <c r="C5" s="113"/>
      <c r="D5" s="113"/>
      <c r="E5" s="61"/>
      <c r="F5" s="61"/>
    </row>
    <row r="6" spans="1:6" ht="22.5" customHeight="1">
      <c r="A6" s="48"/>
      <c r="B6" s="1134" t="s">
        <v>629</v>
      </c>
      <c r="C6" s="1134"/>
      <c r="D6" s="1134"/>
      <c r="E6" s="1134"/>
      <c r="F6" s="51"/>
    </row>
    <row r="7" spans="1:6" ht="12">
      <c r="A7" s="48"/>
      <c r="B7" s="1131" t="s">
        <v>564</v>
      </c>
      <c r="C7" s="1131"/>
      <c r="D7" s="1131"/>
      <c r="E7" s="1131"/>
      <c r="F7" s="51"/>
    </row>
    <row r="8" spans="1:6" ht="12">
      <c r="A8" s="48"/>
      <c r="B8" s="1131" t="s">
        <v>565</v>
      </c>
      <c r="C8" s="1131"/>
      <c r="D8" s="1131"/>
      <c r="E8" s="1131"/>
      <c r="F8" s="51"/>
    </row>
    <row r="9" spans="1:6" ht="12">
      <c r="A9" s="48"/>
      <c r="B9" s="1131" t="s">
        <v>566</v>
      </c>
      <c r="C9" s="1131"/>
      <c r="D9" s="1131"/>
      <c r="E9" s="1131"/>
      <c r="F9" s="51"/>
    </row>
    <row r="10" spans="1:6" ht="12">
      <c r="A10" s="48"/>
      <c r="B10" s="1131" t="s">
        <v>630</v>
      </c>
      <c r="C10" s="1131"/>
      <c r="D10" s="1131"/>
      <c r="E10" s="1131"/>
      <c r="F10" s="51"/>
    </row>
    <row r="11" spans="1:6" ht="12">
      <c r="A11" s="48"/>
      <c r="B11" s="1131" t="s">
        <v>241</v>
      </c>
      <c r="C11" s="1131"/>
      <c r="D11" s="1131"/>
      <c r="E11" s="1131"/>
      <c r="F11" s="51"/>
    </row>
    <row r="12" spans="1:6" ht="12">
      <c r="A12" s="48"/>
      <c r="B12" s="1131" t="s">
        <v>567</v>
      </c>
      <c r="C12" s="1131"/>
      <c r="D12" s="1131"/>
      <c r="E12" s="1131"/>
      <c r="F12" s="51"/>
    </row>
    <row r="13" spans="1:6" ht="12">
      <c r="A13" s="48"/>
      <c r="B13" s="1131" t="s">
        <v>568</v>
      </c>
      <c r="C13" s="1131"/>
      <c r="D13" s="1131"/>
      <c r="E13" s="1131"/>
      <c r="F13" s="51"/>
    </row>
    <row r="14" spans="1:6" ht="12">
      <c r="A14" s="48"/>
      <c r="B14" s="1131" t="s">
        <v>569</v>
      </c>
      <c r="C14" s="1131"/>
      <c r="D14" s="1131"/>
      <c r="E14" s="1131"/>
      <c r="F14" s="51"/>
    </row>
    <row r="15" spans="1:6" ht="12">
      <c r="A15" s="48"/>
      <c r="B15" s="1131" t="s">
        <v>570</v>
      </c>
      <c r="C15" s="1131"/>
      <c r="D15" s="1131"/>
      <c r="E15" s="1131"/>
      <c r="F15" s="51"/>
    </row>
    <row r="16" spans="1:6" ht="12">
      <c r="A16" s="48"/>
      <c r="B16" s="1131" t="s">
        <v>571</v>
      </c>
      <c r="C16" s="1131"/>
      <c r="D16" s="1131"/>
      <c r="E16" s="1131"/>
      <c r="F16" s="51"/>
    </row>
    <row r="17" spans="1:6" ht="12">
      <c r="A17" s="48"/>
      <c r="B17" s="1131" t="s">
        <v>572</v>
      </c>
      <c r="C17" s="1131"/>
      <c r="D17" s="1131"/>
      <c r="E17" s="1131"/>
      <c r="F17" s="51"/>
    </row>
    <row r="18" spans="1:6" ht="12">
      <c r="A18" s="48"/>
      <c r="B18" s="1131" t="s">
        <v>573</v>
      </c>
      <c r="C18" s="1131"/>
      <c r="D18" s="1131"/>
      <c r="E18" s="1131"/>
      <c r="F18" s="51"/>
    </row>
    <row r="19" spans="1:6" ht="12">
      <c r="A19" s="48"/>
      <c r="B19" s="1131" t="s">
        <v>631</v>
      </c>
      <c r="C19" s="1131"/>
      <c r="D19" s="1131"/>
      <c r="E19" s="1131"/>
      <c r="F19" s="51"/>
    </row>
    <row r="20" spans="1:6" ht="12.6">
      <c r="A20" s="48"/>
      <c r="B20" s="1134" t="s">
        <v>632</v>
      </c>
      <c r="C20" s="1134"/>
      <c r="D20" s="1134"/>
      <c r="E20" s="1134"/>
      <c r="F20" s="51"/>
    </row>
    <row r="21" spans="1:6" ht="12">
      <c r="A21" s="48"/>
      <c r="B21" s="1131" t="s">
        <v>633</v>
      </c>
      <c r="C21" s="1131"/>
      <c r="D21" s="1131"/>
      <c r="E21" s="1131"/>
      <c r="F21" s="51"/>
    </row>
    <row r="22" spans="1:6" ht="12">
      <c r="A22" s="48"/>
      <c r="B22" s="1131" t="s">
        <v>574</v>
      </c>
      <c r="C22" s="1131"/>
      <c r="D22" s="1131"/>
      <c r="E22" s="1131"/>
      <c r="F22" s="51"/>
    </row>
    <row r="23" spans="1:6" ht="12">
      <c r="A23" s="48"/>
      <c r="B23" s="1131" t="s">
        <v>575</v>
      </c>
      <c r="C23" s="1131"/>
      <c r="D23" s="1131"/>
      <c r="E23" s="1131"/>
      <c r="F23" s="51"/>
    </row>
    <row r="24" spans="1:6" ht="12">
      <c r="A24" s="48"/>
      <c r="B24" s="1131" t="s">
        <v>576</v>
      </c>
      <c r="C24" s="1131"/>
      <c r="D24" s="1131"/>
      <c r="E24" s="1131"/>
      <c r="F24" s="51"/>
    </row>
    <row r="25" spans="1:6" ht="22.95" customHeight="1">
      <c r="A25" s="48"/>
      <c r="B25" s="1134" t="s">
        <v>634</v>
      </c>
      <c r="C25" s="1134"/>
      <c r="D25" s="1134"/>
      <c r="E25" s="1134"/>
      <c r="F25" s="51"/>
    </row>
    <row r="26" spans="1:6" ht="12">
      <c r="A26" s="48"/>
      <c r="B26" s="116"/>
      <c r="C26" s="113"/>
      <c r="D26" s="113"/>
      <c r="E26" s="51"/>
      <c r="F26" s="51"/>
    </row>
    <row r="27" spans="1:6" ht="12">
      <c r="A27" s="48"/>
      <c r="B27" s="125"/>
      <c r="C27" s="49"/>
      <c r="D27" s="50"/>
      <c r="E27" s="51"/>
      <c r="F27" s="51"/>
    </row>
    <row r="28" spans="1:6" ht="12">
      <c r="A28" s="62" t="s">
        <v>8</v>
      </c>
      <c r="B28" s="126" t="s">
        <v>577</v>
      </c>
      <c r="C28" s="63"/>
      <c r="D28" s="64"/>
      <c r="E28" s="65"/>
      <c r="F28" s="65"/>
    </row>
    <row r="29" spans="1:6" s="123" customFormat="1" ht="12">
      <c r="A29" s="119"/>
      <c r="B29" s="127"/>
      <c r="C29" s="120"/>
      <c r="D29" s="121"/>
      <c r="E29" s="122"/>
      <c r="F29" s="122"/>
    </row>
    <row r="30" spans="1:6" s="123" customFormat="1" ht="12">
      <c r="A30" s="82" t="s">
        <v>231</v>
      </c>
      <c r="B30" s="128" t="s">
        <v>1113</v>
      </c>
      <c r="C30" s="83"/>
      <c r="D30" s="84"/>
      <c r="E30" s="85"/>
      <c r="F30" s="85"/>
    </row>
    <row r="31" spans="1:6" s="123" customFormat="1" ht="68.400000000000006">
      <c r="A31" s="86" t="s">
        <v>240</v>
      </c>
      <c r="B31" s="129" t="s">
        <v>1114</v>
      </c>
      <c r="C31" s="90" t="s">
        <v>31</v>
      </c>
      <c r="D31" s="91">
        <v>3</v>
      </c>
      <c r="E31" s="88">
        <v>260</v>
      </c>
      <c r="F31" s="89">
        <f t="shared" ref="F31:F42" si="0">IF(D31="","",D31*E31)</f>
        <v>780</v>
      </c>
    </row>
    <row r="32" spans="1:6" s="123" customFormat="1" ht="68.400000000000006">
      <c r="A32" s="86" t="s">
        <v>239</v>
      </c>
      <c r="B32" s="129" t="s">
        <v>1115</v>
      </c>
      <c r="C32" s="90" t="s">
        <v>31</v>
      </c>
      <c r="D32" s="91">
        <v>1</v>
      </c>
      <c r="E32" s="88">
        <v>240</v>
      </c>
      <c r="F32" s="89">
        <f t="shared" ref="F32" si="1">IF(D32="","",D32*E32)</f>
        <v>240</v>
      </c>
    </row>
    <row r="33" spans="1:6" s="123" customFormat="1" ht="45.6">
      <c r="A33" s="86" t="s">
        <v>238</v>
      </c>
      <c r="B33" s="129" t="s">
        <v>347</v>
      </c>
      <c r="C33" s="90" t="s">
        <v>31</v>
      </c>
      <c r="D33" s="91">
        <v>3</v>
      </c>
      <c r="E33" s="88">
        <v>222</v>
      </c>
      <c r="F33" s="89">
        <f t="shared" si="0"/>
        <v>666</v>
      </c>
    </row>
    <row r="34" spans="1:6" s="123" customFormat="1" ht="45.6">
      <c r="A34" s="86" t="s">
        <v>237</v>
      </c>
      <c r="B34" s="129" t="s">
        <v>348</v>
      </c>
      <c r="C34" s="90" t="s">
        <v>31</v>
      </c>
      <c r="D34" s="91">
        <v>3</v>
      </c>
      <c r="E34" s="88">
        <v>240</v>
      </c>
      <c r="F34" s="89">
        <f t="shared" si="0"/>
        <v>720</v>
      </c>
    </row>
    <row r="35" spans="1:6" s="123" customFormat="1" ht="57">
      <c r="A35" s="86" t="s">
        <v>236</v>
      </c>
      <c r="B35" s="129" t="s">
        <v>716</v>
      </c>
      <c r="C35" s="90" t="s">
        <v>31</v>
      </c>
      <c r="D35" s="91">
        <v>6</v>
      </c>
      <c r="E35" s="88">
        <v>504</v>
      </c>
      <c r="F35" s="89">
        <f t="shared" si="0"/>
        <v>3024</v>
      </c>
    </row>
    <row r="36" spans="1:6" s="123" customFormat="1" ht="68.400000000000006">
      <c r="A36" s="86" t="s">
        <v>235</v>
      </c>
      <c r="B36" s="129" t="s">
        <v>636</v>
      </c>
      <c r="C36" s="90" t="s">
        <v>31</v>
      </c>
      <c r="D36" s="91">
        <v>3</v>
      </c>
      <c r="E36" s="88">
        <v>420</v>
      </c>
      <c r="F36" s="89">
        <f t="shared" si="0"/>
        <v>1260</v>
      </c>
    </row>
    <row r="37" spans="1:6" s="123" customFormat="1" ht="34.200000000000003">
      <c r="A37" s="86" t="s">
        <v>234</v>
      </c>
      <c r="B37" s="130" t="s">
        <v>637</v>
      </c>
      <c r="C37" s="90" t="s">
        <v>31</v>
      </c>
      <c r="D37" s="91">
        <v>3</v>
      </c>
      <c r="E37" s="88">
        <v>40</v>
      </c>
      <c r="F37" s="89">
        <f t="shared" si="0"/>
        <v>120</v>
      </c>
    </row>
    <row r="38" spans="1:6" s="123" customFormat="1" ht="57">
      <c r="A38" s="86" t="s">
        <v>233</v>
      </c>
      <c r="B38" s="129" t="s">
        <v>642</v>
      </c>
      <c r="C38" s="87" t="s">
        <v>31</v>
      </c>
      <c r="D38" s="91">
        <v>12</v>
      </c>
      <c r="E38" s="88">
        <v>160</v>
      </c>
      <c r="F38" s="89">
        <f t="shared" si="0"/>
        <v>1920</v>
      </c>
    </row>
    <row r="39" spans="1:6" s="123" customFormat="1" ht="79.2">
      <c r="A39" s="86" t="s">
        <v>232</v>
      </c>
      <c r="B39" s="131" t="s">
        <v>224</v>
      </c>
      <c r="C39" s="71" t="s">
        <v>31</v>
      </c>
      <c r="D39" s="68">
        <v>2</v>
      </c>
      <c r="E39" s="69">
        <v>880</v>
      </c>
      <c r="F39" s="70">
        <f t="shared" si="0"/>
        <v>1760</v>
      </c>
    </row>
    <row r="40" spans="1:6" s="123" customFormat="1" ht="26.4">
      <c r="A40" s="86" t="s">
        <v>226</v>
      </c>
      <c r="B40" s="131" t="s">
        <v>223</v>
      </c>
      <c r="C40" s="71" t="s">
        <v>31</v>
      </c>
      <c r="D40" s="68">
        <v>2</v>
      </c>
      <c r="E40" s="69">
        <v>119</v>
      </c>
      <c r="F40" s="70">
        <f t="shared" si="0"/>
        <v>238</v>
      </c>
    </row>
    <row r="41" spans="1:6" s="123" customFormat="1" ht="22.8">
      <c r="A41" s="86" t="s">
        <v>717</v>
      </c>
      <c r="B41" s="129" t="s">
        <v>2431</v>
      </c>
      <c r="C41" s="87" t="s">
        <v>31</v>
      </c>
      <c r="D41" s="91">
        <v>2</v>
      </c>
      <c r="E41" s="88">
        <v>40</v>
      </c>
      <c r="F41" s="89">
        <f t="shared" si="0"/>
        <v>80</v>
      </c>
    </row>
    <row r="42" spans="1:6" s="123" customFormat="1" ht="34.200000000000003">
      <c r="A42" s="86" t="s">
        <v>1116</v>
      </c>
      <c r="B42" s="129" t="s">
        <v>222</v>
      </c>
      <c r="C42" s="87" t="s">
        <v>31</v>
      </c>
      <c r="D42" s="91">
        <v>2</v>
      </c>
      <c r="E42" s="88">
        <v>35</v>
      </c>
      <c r="F42" s="89">
        <f t="shared" si="0"/>
        <v>70</v>
      </c>
    </row>
    <row r="43" spans="1:6" s="123" customFormat="1" ht="12">
      <c r="A43" s="82" t="s">
        <v>231</v>
      </c>
      <c r="B43" s="128" t="s">
        <v>1117</v>
      </c>
      <c r="C43" s="83"/>
      <c r="D43" s="84"/>
      <c r="E43" s="85"/>
      <c r="F43" s="92">
        <f>SUM(F31:F42)</f>
        <v>10878</v>
      </c>
    </row>
    <row r="44" spans="1:6" s="123" customFormat="1">
      <c r="A44" s="86"/>
      <c r="B44" s="129"/>
      <c r="C44" s="90"/>
      <c r="D44" s="91"/>
      <c r="E44" s="88"/>
      <c r="F44" s="89"/>
    </row>
    <row r="45" spans="1:6" ht="12">
      <c r="A45" s="62" t="s">
        <v>718</v>
      </c>
      <c r="B45" s="126" t="s">
        <v>635</v>
      </c>
      <c r="C45" s="63"/>
      <c r="D45" s="64"/>
      <c r="E45" s="65"/>
      <c r="F45" s="65"/>
    </row>
    <row r="46" spans="1:6" ht="68.400000000000006">
      <c r="A46" s="66" t="s">
        <v>230</v>
      </c>
      <c r="B46" s="118" t="s">
        <v>1118</v>
      </c>
      <c r="C46" s="67" t="s">
        <v>31</v>
      </c>
      <c r="D46" s="68">
        <v>1</v>
      </c>
      <c r="E46" s="69">
        <v>250</v>
      </c>
      <c r="F46" s="70">
        <f t="shared" ref="F46:F253" si="2">IF(D46="","",D46*E46)</f>
        <v>250</v>
      </c>
    </row>
    <row r="47" spans="1:6" ht="45.6">
      <c r="A47" s="66" t="s">
        <v>229</v>
      </c>
      <c r="B47" s="118" t="s">
        <v>347</v>
      </c>
      <c r="C47" s="67" t="s">
        <v>31</v>
      </c>
      <c r="D47" s="68">
        <v>1</v>
      </c>
      <c r="E47" s="69">
        <v>222</v>
      </c>
      <c r="F47" s="70">
        <f t="shared" si="2"/>
        <v>222</v>
      </c>
    </row>
    <row r="48" spans="1:6" ht="45.6">
      <c r="A48" s="66" t="s">
        <v>228</v>
      </c>
      <c r="B48" s="118" t="s">
        <v>348</v>
      </c>
      <c r="C48" s="67" t="s">
        <v>31</v>
      </c>
      <c r="D48" s="68">
        <v>1</v>
      </c>
      <c r="E48" s="88">
        <v>240</v>
      </c>
      <c r="F48" s="70">
        <f t="shared" si="2"/>
        <v>240</v>
      </c>
    </row>
    <row r="49" spans="1:6" ht="68.400000000000006">
      <c r="A49" s="66" t="s">
        <v>227</v>
      </c>
      <c r="B49" s="118" t="s">
        <v>636</v>
      </c>
      <c r="C49" s="67" t="s">
        <v>31</v>
      </c>
      <c r="D49" s="68">
        <v>1</v>
      </c>
      <c r="E49" s="69">
        <v>420</v>
      </c>
      <c r="F49" s="70">
        <f t="shared" si="2"/>
        <v>420</v>
      </c>
    </row>
    <row r="50" spans="1:6" ht="34.200000000000003">
      <c r="A50" s="66" t="s">
        <v>435</v>
      </c>
      <c r="B50" s="132" t="s">
        <v>637</v>
      </c>
      <c r="C50" s="67" t="s">
        <v>31</v>
      </c>
      <c r="D50" s="68">
        <v>1</v>
      </c>
      <c r="E50" s="88">
        <v>40</v>
      </c>
      <c r="F50" s="70">
        <f t="shared" si="2"/>
        <v>40</v>
      </c>
    </row>
    <row r="51" spans="1:6" ht="45.6">
      <c r="A51" s="66" t="s">
        <v>436</v>
      </c>
      <c r="B51" s="118" t="s">
        <v>638</v>
      </c>
      <c r="C51" s="71" t="s">
        <v>31</v>
      </c>
      <c r="D51" s="68">
        <v>1</v>
      </c>
      <c r="E51" s="69">
        <v>270</v>
      </c>
      <c r="F51" s="70">
        <f t="shared" si="2"/>
        <v>270</v>
      </c>
    </row>
    <row r="52" spans="1:6" ht="79.2">
      <c r="A52" s="66" t="s">
        <v>437</v>
      </c>
      <c r="B52" s="131" t="s">
        <v>224</v>
      </c>
      <c r="C52" s="71" t="s">
        <v>31</v>
      </c>
      <c r="D52" s="68">
        <v>1</v>
      </c>
      <c r="E52" s="69">
        <v>880</v>
      </c>
      <c r="F52" s="70">
        <f t="shared" si="2"/>
        <v>880</v>
      </c>
    </row>
    <row r="53" spans="1:6" ht="26.4">
      <c r="A53" s="66" t="s">
        <v>438</v>
      </c>
      <c r="B53" s="131" t="s">
        <v>223</v>
      </c>
      <c r="C53" s="71" t="s">
        <v>31</v>
      </c>
      <c r="D53" s="68">
        <v>1</v>
      </c>
      <c r="E53" s="69">
        <v>119</v>
      </c>
      <c r="F53" s="70">
        <f t="shared" ref="F53" si="3">IF(D53="","",D53*E53)</f>
        <v>119</v>
      </c>
    </row>
    <row r="54" spans="1:6" ht="22.8">
      <c r="A54" s="66" t="s">
        <v>439</v>
      </c>
      <c r="B54" s="118" t="s">
        <v>2431</v>
      </c>
      <c r="C54" s="71" t="s">
        <v>31</v>
      </c>
      <c r="D54" s="68">
        <v>1</v>
      </c>
      <c r="E54" s="88">
        <v>40</v>
      </c>
      <c r="F54" s="70">
        <f t="shared" si="2"/>
        <v>40</v>
      </c>
    </row>
    <row r="55" spans="1:6" ht="34.200000000000003">
      <c r="A55" s="66" t="s">
        <v>643</v>
      </c>
      <c r="B55" s="118" t="s">
        <v>222</v>
      </c>
      <c r="C55" s="71" t="s">
        <v>31</v>
      </c>
      <c r="D55" s="68">
        <v>1</v>
      </c>
      <c r="E55" s="88">
        <v>35</v>
      </c>
      <c r="F55" s="70">
        <f t="shared" si="2"/>
        <v>35</v>
      </c>
    </row>
    <row r="56" spans="1:6" ht="12">
      <c r="A56" s="62" t="s">
        <v>718</v>
      </c>
      <c r="B56" s="126" t="s">
        <v>639</v>
      </c>
      <c r="C56" s="63"/>
      <c r="D56" s="64"/>
      <c r="E56" s="65"/>
      <c r="F56" s="72">
        <f>SUM(F46:F55)</f>
        <v>2516</v>
      </c>
    </row>
    <row r="57" spans="1:6">
      <c r="A57" s="66"/>
      <c r="B57" s="118"/>
      <c r="C57" s="67"/>
      <c r="D57" s="68"/>
      <c r="E57" s="69"/>
      <c r="F57" s="70"/>
    </row>
    <row r="58" spans="1:6" ht="12">
      <c r="A58" s="62" t="s">
        <v>719</v>
      </c>
      <c r="B58" s="126" t="s">
        <v>559</v>
      </c>
      <c r="C58" s="63"/>
      <c r="D58" s="64"/>
      <c r="E58" s="65"/>
      <c r="F58" s="65"/>
    </row>
    <row r="59" spans="1:6" ht="68.400000000000006">
      <c r="A59" s="66" t="s">
        <v>225</v>
      </c>
      <c r="B59" s="118" t="s">
        <v>1121</v>
      </c>
      <c r="C59" s="67" t="s">
        <v>31</v>
      </c>
      <c r="D59" s="68">
        <v>4</v>
      </c>
      <c r="E59" s="69">
        <v>260</v>
      </c>
      <c r="F59" s="70">
        <f t="shared" ref="F59:F68" si="4">IF(D59="","",D59*E59)</f>
        <v>1040</v>
      </c>
    </row>
    <row r="60" spans="1:6" ht="45.6">
      <c r="A60" s="66" t="s">
        <v>720</v>
      </c>
      <c r="B60" s="118" t="s">
        <v>347</v>
      </c>
      <c r="C60" s="67" t="s">
        <v>31</v>
      </c>
      <c r="D60" s="68">
        <v>4</v>
      </c>
      <c r="E60" s="69">
        <v>222</v>
      </c>
      <c r="F60" s="70">
        <f t="shared" si="4"/>
        <v>888</v>
      </c>
    </row>
    <row r="61" spans="1:6" ht="45.6">
      <c r="A61" s="66" t="s">
        <v>721</v>
      </c>
      <c r="B61" s="118" t="s">
        <v>348</v>
      </c>
      <c r="C61" s="67" t="s">
        <v>31</v>
      </c>
      <c r="D61" s="68">
        <v>4</v>
      </c>
      <c r="E61" s="88">
        <v>240</v>
      </c>
      <c r="F61" s="70">
        <f t="shared" si="4"/>
        <v>960</v>
      </c>
    </row>
    <row r="62" spans="1:6" ht="79.8">
      <c r="A62" s="66" t="s">
        <v>722</v>
      </c>
      <c r="B62" s="118" t="s">
        <v>640</v>
      </c>
      <c r="C62" s="78" t="s">
        <v>31</v>
      </c>
      <c r="D62" s="78">
        <v>3</v>
      </c>
      <c r="E62" s="75">
        <v>215</v>
      </c>
      <c r="F62" s="70">
        <f t="shared" si="4"/>
        <v>645</v>
      </c>
    </row>
    <row r="63" spans="1:6" ht="102.6">
      <c r="A63" s="66" t="s">
        <v>723</v>
      </c>
      <c r="B63" s="118" t="s">
        <v>2432</v>
      </c>
      <c r="C63" s="71" t="s">
        <v>31</v>
      </c>
      <c r="D63" s="68">
        <v>4</v>
      </c>
      <c r="E63" s="69">
        <v>290</v>
      </c>
      <c r="F63" s="70">
        <f t="shared" ref="F63" si="5">IF(D63="","",D63*E63)</f>
        <v>1160</v>
      </c>
    </row>
    <row r="64" spans="1:6" ht="57">
      <c r="A64" s="66" t="s">
        <v>724</v>
      </c>
      <c r="B64" s="118" t="s">
        <v>642</v>
      </c>
      <c r="C64" s="71" t="s">
        <v>31</v>
      </c>
      <c r="D64" s="68">
        <v>16</v>
      </c>
      <c r="E64" s="69">
        <v>160</v>
      </c>
      <c r="F64" s="70">
        <f>IF(D64="","",D64*E64)</f>
        <v>2560</v>
      </c>
    </row>
    <row r="65" spans="1:6" ht="57">
      <c r="A65" s="66" t="s">
        <v>725</v>
      </c>
      <c r="B65" s="118" t="s">
        <v>641</v>
      </c>
      <c r="C65" s="67" t="s">
        <v>31</v>
      </c>
      <c r="D65" s="68">
        <v>3</v>
      </c>
      <c r="E65" s="69">
        <v>410</v>
      </c>
      <c r="F65" s="70">
        <f>IF(D65="","",D65*E65)</f>
        <v>1230</v>
      </c>
    </row>
    <row r="66" spans="1:6" ht="45.6">
      <c r="A66" s="66" t="s">
        <v>726</v>
      </c>
      <c r="B66" s="132" t="s">
        <v>560</v>
      </c>
      <c r="C66" s="67" t="s">
        <v>31</v>
      </c>
      <c r="D66" s="68">
        <v>1</v>
      </c>
      <c r="E66" s="88">
        <v>40</v>
      </c>
      <c r="F66" s="70">
        <f>IF(D66="","",D66*E66)</f>
        <v>40</v>
      </c>
    </row>
    <row r="67" spans="1:6" ht="22.8">
      <c r="A67" s="66" t="s">
        <v>1119</v>
      </c>
      <c r="B67" s="118" t="s">
        <v>2431</v>
      </c>
      <c r="C67" s="71" t="s">
        <v>31</v>
      </c>
      <c r="D67" s="68">
        <v>1</v>
      </c>
      <c r="E67" s="88">
        <v>40</v>
      </c>
      <c r="F67" s="70">
        <f t="shared" si="4"/>
        <v>40</v>
      </c>
    </row>
    <row r="68" spans="1:6" ht="34.200000000000003">
      <c r="A68" s="66" t="s">
        <v>1120</v>
      </c>
      <c r="B68" s="118" t="s">
        <v>222</v>
      </c>
      <c r="C68" s="71" t="s">
        <v>31</v>
      </c>
      <c r="D68" s="68">
        <v>1</v>
      </c>
      <c r="E68" s="88">
        <v>35</v>
      </c>
      <c r="F68" s="70">
        <f t="shared" si="4"/>
        <v>35</v>
      </c>
    </row>
    <row r="69" spans="1:6" ht="12">
      <c r="A69" s="62" t="s">
        <v>719</v>
      </c>
      <c r="B69" s="126" t="s">
        <v>561</v>
      </c>
      <c r="C69" s="63"/>
      <c r="D69" s="64"/>
      <c r="E69" s="65"/>
      <c r="F69" s="72">
        <f>SUM(F59:F68)</f>
        <v>8598</v>
      </c>
    </row>
    <row r="70" spans="1:6" ht="12">
      <c r="A70" s="48"/>
      <c r="B70" s="125"/>
      <c r="C70" s="49"/>
      <c r="D70" s="50"/>
      <c r="E70" s="61"/>
      <c r="F70" s="70"/>
    </row>
    <row r="71" spans="1:6" ht="12">
      <c r="A71" s="62" t="s">
        <v>727</v>
      </c>
      <c r="B71" s="126" t="s">
        <v>440</v>
      </c>
      <c r="C71" s="63"/>
      <c r="D71" s="64"/>
      <c r="E71" s="65"/>
      <c r="F71" s="65"/>
    </row>
    <row r="72" spans="1:6" ht="102.6">
      <c r="A72" s="66" t="s">
        <v>728</v>
      </c>
      <c r="B72" s="133" t="s">
        <v>1122</v>
      </c>
      <c r="C72" s="79" t="s">
        <v>31</v>
      </c>
      <c r="D72" s="80">
        <v>20</v>
      </c>
      <c r="E72" s="81">
        <v>89</v>
      </c>
      <c r="F72" s="70">
        <f>IF(D72="","",D72*E72)</f>
        <v>1780</v>
      </c>
    </row>
    <row r="73" spans="1:6" ht="102.6">
      <c r="A73" s="66" t="s">
        <v>729</v>
      </c>
      <c r="B73" s="133" t="s">
        <v>349</v>
      </c>
      <c r="C73" s="79" t="s">
        <v>31</v>
      </c>
      <c r="D73" s="80">
        <v>10</v>
      </c>
      <c r="E73" s="81">
        <v>139</v>
      </c>
      <c r="F73" s="70">
        <f>IF(D73="","",D73*E73)</f>
        <v>1390</v>
      </c>
    </row>
    <row r="74" spans="1:6" ht="45.6">
      <c r="A74" s="66" t="s">
        <v>730</v>
      </c>
      <c r="B74" s="118" t="s">
        <v>644</v>
      </c>
      <c r="C74" s="79" t="s">
        <v>31</v>
      </c>
      <c r="D74" s="80">
        <v>2</v>
      </c>
      <c r="E74" s="69">
        <v>284</v>
      </c>
      <c r="F74" s="70">
        <f>IF(D74="","",D74*E74)</f>
        <v>568</v>
      </c>
    </row>
    <row r="75" spans="1:6" ht="12">
      <c r="A75" s="62" t="s">
        <v>578</v>
      </c>
      <c r="B75" s="126" t="s">
        <v>441</v>
      </c>
      <c r="C75" s="63"/>
      <c r="D75" s="64"/>
      <c r="E75" s="65"/>
      <c r="F75" s="72">
        <f>SUM(F72:F74)</f>
        <v>3738</v>
      </c>
    </row>
    <row r="76" spans="1:6">
      <c r="A76" s="66"/>
      <c r="B76" s="118"/>
      <c r="C76" s="79"/>
      <c r="D76" s="80"/>
      <c r="E76" s="69"/>
      <c r="F76" s="70"/>
    </row>
    <row r="77" spans="1:6" ht="12">
      <c r="A77" s="62" t="s">
        <v>8</v>
      </c>
      <c r="B77" s="126" t="s">
        <v>579</v>
      </c>
      <c r="C77" s="63"/>
      <c r="D77" s="64"/>
      <c r="E77" s="65"/>
      <c r="F77" s="72">
        <f>F56+F69+F75+F43</f>
        <v>25730</v>
      </c>
    </row>
    <row r="78" spans="1:6" ht="12">
      <c r="A78" s="48"/>
      <c r="B78" s="125"/>
      <c r="C78" s="49"/>
      <c r="D78" s="50"/>
      <c r="E78" s="51"/>
      <c r="F78" s="52"/>
    </row>
    <row r="79" spans="1:6" ht="12">
      <c r="A79" s="62" t="s">
        <v>11</v>
      </c>
      <c r="B79" s="126" t="s">
        <v>580</v>
      </c>
      <c r="C79" s="63"/>
      <c r="D79" s="64"/>
      <c r="E79" s="65"/>
      <c r="F79" s="72"/>
    </row>
    <row r="80" spans="1:6">
      <c r="A80" s="66"/>
      <c r="B80" s="134"/>
      <c r="C80" s="67"/>
      <c r="D80" s="76"/>
      <c r="E80" s="61"/>
      <c r="F80" s="70"/>
    </row>
    <row r="81" spans="1:6" ht="12">
      <c r="A81" s="62" t="s">
        <v>582</v>
      </c>
      <c r="B81" s="126" t="s">
        <v>731</v>
      </c>
      <c r="C81" s="63"/>
      <c r="D81" s="64"/>
      <c r="E81" s="65"/>
      <c r="F81" s="65"/>
    </row>
    <row r="82" spans="1:6" ht="79.8">
      <c r="A82" s="66" t="s">
        <v>497</v>
      </c>
      <c r="B82" s="118" t="s">
        <v>2433</v>
      </c>
      <c r="C82" s="71" t="s">
        <v>31</v>
      </c>
      <c r="D82" s="73">
        <v>4</v>
      </c>
      <c r="E82" s="69">
        <v>141</v>
      </c>
      <c r="F82" s="70">
        <f t="shared" ref="F82:F184" si="6">IF(D82="","",D82*E82)</f>
        <v>564</v>
      </c>
    </row>
    <row r="83" spans="1:6" ht="79.8">
      <c r="A83" s="66" t="s">
        <v>498</v>
      </c>
      <c r="B83" s="118" t="s">
        <v>2444</v>
      </c>
      <c r="C83" s="67" t="s">
        <v>31</v>
      </c>
      <c r="D83" s="68">
        <v>4</v>
      </c>
      <c r="E83" s="69">
        <v>129</v>
      </c>
      <c r="F83" s="70">
        <f t="shared" si="6"/>
        <v>516</v>
      </c>
    </row>
    <row r="84" spans="1:6" ht="91.2">
      <c r="A84" s="66" t="s">
        <v>499</v>
      </c>
      <c r="B84" s="118" t="s">
        <v>2377</v>
      </c>
      <c r="C84" s="67" t="s">
        <v>31</v>
      </c>
      <c r="D84" s="68">
        <v>20</v>
      </c>
      <c r="E84" s="69">
        <v>39</v>
      </c>
      <c r="F84" s="70">
        <f t="shared" si="6"/>
        <v>780</v>
      </c>
    </row>
    <row r="85" spans="1:6" ht="57">
      <c r="A85" s="66" t="s">
        <v>500</v>
      </c>
      <c r="B85" s="132" t="s">
        <v>645</v>
      </c>
      <c r="C85" s="71" t="s">
        <v>31</v>
      </c>
      <c r="D85" s="73">
        <v>20</v>
      </c>
      <c r="E85" s="69">
        <v>46</v>
      </c>
      <c r="F85" s="70">
        <f t="shared" si="6"/>
        <v>920</v>
      </c>
    </row>
    <row r="86" spans="1:6">
      <c r="A86" s="66" t="s">
        <v>501</v>
      </c>
      <c r="B86" s="118" t="s">
        <v>502</v>
      </c>
      <c r="C86" s="74" t="s">
        <v>31</v>
      </c>
      <c r="D86" s="74">
        <v>20</v>
      </c>
      <c r="E86" s="75">
        <v>6.1</v>
      </c>
      <c r="F86" s="70">
        <f t="shared" si="6"/>
        <v>122</v>
      </c>
    </row>
    <row r="87" spans="1:6">
      <c r="A87" s="66" t="s">
        <v>503</v>
      </c>
      <c r="B87" s="118" t="s">
        <v>504</v>
      </c>
      <c r="C87" s="74" t="s">
        <v>31</v>
      </c>
      <c r="D87" s="74">
        <v>40</v>
      </c>
      <c r="E87" s="75">
        <v>11.2</v>
      </c>
      <c r="F87" s="70">
        <f t="shared" si="6"/>
        <v>448</v>
      </c>
    </row>
    <row r="88" spans="1:6">
      <c r="A88" s="66" t="s">
        <v>505</v>
      </c>
      <c r="B88" s="118" t="s">
        <v>2465</v>
      </c>
      <c r="C88" s="74" t="s">
        <v>31</v>
      </c>
      <c r="D88" s="74">
        <v>20</v>
      </c>
      <c r="E88" s="75">
        <v>13.2</v>
      </c>
      <c r="F88" s="70">
        <f t="shared" si="6"/>
        <v>264</v>
      </c>
    </row>
    <row r="89" spans="1:6" ht="22.8">
      <c r="A89" s="66" t="s">
        <v>506</v>
      </c>
      <c r="B89" s="118" t="s">
        <v>2466</v>
      </c>
      <c r="C89" s="74" t="s">
        <v>31</v>
      </c>
      <c r="D89" s="74">
        <v>40</v>
      </c>
      <c r="E89" s="75">
        <v>12.2</v>
      </c>
      <c r="F89" s="70">
        <f t="shared" si="6"/>
        <v>488</v>
      </c>
    </row>
    <row r="90" spans="1:6" ht="34.200000000000003">
      <c r="A90" s="66" t="s">
        <v>507</v>
      </c>
      <c r="B90" s="132" t="s">
        <v>508</v>
      </c>
      <c r="C90" s="71" t="s">
        <v>31</v>
      </c>
      <c r="D90" s="73">
        <v>2</v>
      </c>
      <c r="E90" s="69">
        <v>54</v>
      </c>
      <c r="F90" s="70">
        <f t="shared" si="6"/>
        <v>108</v>
      </c>
    </row>
    <row r="91" spans="1:6" ht="148.19999999999999">
      <c r="A91" s="66" t="s">
        <v>509</v>
      </c>
      <c r="B91" s="132" t="s">
        <v>2376</v>
      </c>
      <c r="C91" s="71" t="s">
        <v>31</v>
      </c>
      <c r="D91" s="73">
        <v>1</v>
      </c>
      <c r="E91" s="69">
        <v>193</v>
      </c>
      <c r="F91" s="70">
        <f t="shared" si="6"/>
        <v>193</v>
      </c>
    </row>
    <row r="92" spans="1:6" ht="22.8">
      <c r="A92" s="66" t="s">
        <v>510</v>
      </c>
      <c r="B92" s="132" t="s">
        <v>2467</v>
      </c>
      <c r="C92" s="71" t="s">
        <v>31</v>
      </c>
      <c r="D92" s="73">
        <v>4</v>
      </c>
      <c r="E92" s="69">
        <v>9.5</v>
      </c>
      <c r="F92" s="70">
        <f t="shared" si="6"/>
        <v>38</v>
      </c>
    </row>
    <row r="93" spans="1:6" ht="22.8">
      <c r="A93" s="66" t="s">
        <v>511</v>
      </c>
      <c r="B93" s="132" t="s">
        <v>2468</v>
      </c>
      <c r="C93" s="71" t="s">
        <v>31</v>
      </c>
      <c r="D93" s="73">
        <v>8</v>
      </c>
      <c r="E93" s="69">
        <v>7</v>
      </c>
      <c r="F93" s="70">
        <f t="shared" si="6"/>
        <v>56</v>
      </c>
    </row>
    <row r="94" spans="1:6" ht="125.4">
      <c r="A94" s="66" t="s">
        <v>512</v>
      </c>
      <c r="B94" s="132" t="s">
        <v>2428</v>
      </c>
      <c r="C94" s="71" t="s">
        <v>31</v>
      </c>
      <c r="D94" s="73">
        <v>1</v>
      </c>
      <c r="E94" s="69">
        <v>320</v>
      </c>
      <c r="F94" s="70">
        <f t="shared" si="6"/>
        <v>320</v>
      </c>
    </row>
    <row r="95" spans="1:6" ht="79.8">
      <c r="A95" s="66" t="s">
        <v>513</v>
      </c>
      <c r="B95" s="118" t="s">
        <v>2434</v>
      </c>
      <c r="C95" s="71" t="s">
        <v>31</v>
      </c>
      <c r="D95" s="73">
        <v>1</v>
      </c>
      <c r="E95" s="69">
        <v>219</v>
      </c>
      <c r="F95" s="70">
        <f t="shared" si="6"/>
        <v>219</v>
      </c>
    </row>
    <row r="96" spans="1:6" ht="45.6">
      <c r="A96" s="66" t="s">
        <v>514</v>
      </c>
      <c r="B96" s="118" t="s">
        <v>2378</v>
      </c>
      <c r="C96" s="71" t="s">
        <v>31</v>
      </c>
      <c r="D96" s="73">
        <v>2</v>
      </c>
      <c r="E96" s="69">
        <v>86</v>
      </c>
      <c r="F96" s="70">
        <f t="shared" si="6"/>
        <v>172</v>
      </c>
    </row>
    <row r="97" spans="1:6" ht="68.400000000000006">
      <c r="A97" s="66" t="s">
        <v>515</v>
      </c>
      <c r="B97" s="118" t="s">
        <v>2435</v>
      </c>
      <c r="C97" s="71" t="s">
        <v>31</v>
      </c>
      <c r="D97" s="73">
        <v>2</v>
      </c>
      <c r="E97" s="69">
        <v>338</v>
      </c>
      <c r="F97" s="70">
        <f t="shared" ref="F97" si="7">IF(D97="","",D97*E97)</f>
        <v>676</v>
      </c>
    </row>
    <row r="98" spans="1:6" ht="22.8">
      <c r="A98" s="66" t="s">
        <v>516</v>
      </c>
      <c r="B98" s="118" t="s">
        <v>646</v>
      </c>
      <c r="C98" s="67" t="s">
        <v>31</v>
      </c>
      <c r="D98" s="93">
        <v>2</v>
      </c>
      <c r="E98" s="75">
        <v>124</v>
      </c>
      <c r="F98" s="70">
        <f t="shared" si="6"/>
        <v>248</v>
      </c>
    </row>
    <row r="99" spans="1:6" ht="22.8">
      <c r="A99" s="66" t="s">
        <v>517</v>
      </c>
      <c r="B99" s="118" t="s">
        <v>647</v>
      </c>
      <c r="C99" s="67" t="s">
        <v>31</v>
      </c>
      <c r="D99" s="93">
        <v>1</v>
      </c>
      <c r="E99" s="75">
        <v>214</v>
      </c>
      <c r="F99" s="70">
        <f t="shared" si="6"/>
        <v>214</v>
      </c>
    </row>
    <row r="100" spans="1:6">
      <c r="A100" s="66" t="s">
        <v>518</v>
      </c>
      <c r="B100" s="118" t="s">
        <v>648</v>
      </c>
      <c r="C100" s="67" t="s">
        <v>31</v>
      </c>
      <c r="D100" s="93">
        <v>1</v>
      </c>
      <c r="E100" s="75">
        <v>110</v>
      </c>
      <c r="F100" s="70">
        <f t="shared" si="6"/>
        <v>110</v>
      </c>
    </row>
    <row r="101" spans="1:6">
      <c r="A101" s="66" t="s">
        <v>519</v>
      </c>
      <c r="B101" s="118" t="s">
        <v>649</v>
      </c>
      <c r="C101" s="67" t="s">
        <v>31</v>
      </c>
      <c r="D101" s="93">
        <v>1</v>
      </c>
      <c r="E101" s="75">
        <v>78</v>
      </c>
      <c r="F101" s="70">
        <f t="shared" si="6"/>
        <v>78</v>
      </c>
    </row>
    <row r="102" spans="1:6" ht="114">
      <c r="A102" s="66" t="s">
        <v>520</v>
      </c>
      <c r="B102" s="118" t="s">
        <v>2379</v>
      </c>
      <c r="C102" s="67" t="s">
        <v>31</v>
      </c>
      <c r="D102" s="68">
        <v>1</v>
      </c>
      <c r="E102" s="69">
        <v>222</v>
      </c>
      <c r="F102" s="70">
        <f t="shared" si="6"/>
        <v>222</v>
      </c>
    </row>
    <row r="103" spans="1:6" ht="22.8">
      <c r="A103" s="66" t="s">
        <v>521</v>
      </c>
      <c r="B103" s="118" t="s">
        <v>650</v>
      </c>
      <c r="C103" s="79" t="s">
        <v>31</v>
      </c>
      <c r="D103" s="80">
        <v>1</v>
      </c>
      <c r="E103" s="69">
        <v>136</v>
      </c>
      <c r="F103" s="70">
        <f t="shared" si="6"/>
        <v>136</v>
      </c>
    </row>
    <row r="104" spans="1:6" ht="22.8">
      <c r="A104" s="66" t="s">
        <v>522</v>
      </c>
      <c r="B104" s="118" t="s">
        <v>651</v>
      </c>
      <c r="C104" s="79" t="s">
        <v>31</v>
      </c>
      <c r="D104" s="80">
        <v>1</v>
      </c>
      <c r="E104" s="69">
        <v>68</v>
      </c>
      <c r="F104" s="70">
        <f t="shared" si="6"/>
        <v>68</v>
      </c>
    </row>
    <row r="105" spans="1:6" ht="68.400000000000006">
      <c r="A105" s="66" t="s">
        <v>523</v>
      </c>
      <c r="B105" s="132" t="s">
        <v>2380</v>
      </c>
      <c r="C105" s="71" t="s">
        <v>31</v>
      </c>
      <c r="D105" s="73">
        <v>1</v>
      </c>
      <c r="E105" s="69">
        <v>119</v>
      </c>
      <c r="F105" s="70">
        <f t="shared" si="6"/>
        <v>119</v>
      </c>
    </row>
    <row r="106" spans="1:6" ht="22.8">
      <c r="A106" s="66" t="s">
        <v>524</v>
      </c>
      <c r="B106" s="132" t="s">
        <v>652</v>
      </c>
      <c r="C106" s="71" t="s">
        <v>31</v>
      </c>
      <c r="D106" s="73">
        <v>4</v>
      </c>
      <c r="E106" s="69">
        <v>32</v>
      </c>
      <c r="F106" s="70">
        <f t="shared" si="6"/>
        <v>128</v>
      </c>
    </row>
    <row r="107" spans="1:6" ht="91.2">
      <c r="A107" s="66" t="s">
        <v>525</v>
      </c>
      <c r="B107" s="118" t="s">
        <v>653</v>
      </c>
      <c r="C107" s="78" t="s">
        <v>31</v>
      </c>
      <c r="D107" s="94">
        <v>1</v>
      </c>
      <c r="E107" s="70">
        <v>570</v>
      </c>
      <c r="F107" s="70">
        <f t="shared" si="6"/>
        <v>570</v>
      </c>
    </row>
    <row r="108" spans="1:6" ht="68.400000000000006">
      <c r="A108" s="66" t="s">
        <v>526</v>
      </c>
      <c r="B108" s="118" t="s">
        <v>2381</v>
      </c>
      <c r="C108" s="78" t="s">
        <v>31</v>
      </c>
      <c r="D108" s="94">
        <v>15</v>
      </c>
      <c r="E108" s="70">
        <v>19</v>
      </c>
      <c r="F108" s="70">
        <f t="shared" si="6"/>
        <v>285</v>
      </c>
    </row>
    <row r="109" spans="1:6" ht="79.8">
      <c r="A109" s="66" t="s">
        <v>527</v>
      </c>
      <c r="B109" s="118" t="s">
        <v>654</v>
      </c>
      <c r="C109" s="78" t="s">
        <v>31</v>
      </c>
      <c r="D109" s="94">
        <v>1</v>
      </c>
      <c r="E109" s="70">
        <v>395</v>
      </c>
      <c r="F109" s="70">
        <f t="shared" si="6"/>
        <v>395</v>
      </c>
    </row>
    <row r="110" spans="1:6" ht="68.400000000000006">
      <c r="A110" s="66" t="s">
        <v>528</v>
      </c>
      <c r="B110" s="132" t="s">
        <v>655</v>
      </c>
      <c r="C110" s="71" t="s">
        <v>31</v>
      </c>
      <c r="D110" s="73">
        <v>1</v>
      </c>
      <c r="E110" s="69">
        <v>695</v>
      </c>
      <c r="F110" s="70">
        <f t="shared" si="6"/>
        <v>695</v>
      </c>
    </row>
    <row r="111" spans="1:6" ht="182.4">
      <c r="A111" s="66" t="s">
        <v>529</v>
      </c>
      <c r="B111" s="132" t="s">
        <v>2382</v>
      </c>
      <c r="C111" s="67" t="s">
        <v>31</v>
      </c>
      <c r="D111" s="68">
        <v>1</v>
      </c>
      <c r="E111" s="69">
        <v>340</v>
      </c>
      <c r="F111" s="70">
        <f t="shared" si="6"/>
        <v>340</v>
      </c>
    </row>
    <row r="112" spans="1:6" ht="34.200000000000003">
      <c r="A112" s="66" t="s">
        <v>530</v>
      </c>
      <c r="B112" s="132" t="s">
        <v>656</v>
      </c>
      <c r="C112" s="67" t="s">
        <v>31</v>
      </c>
      <c r="D112" s="68">
        <v>2</v>
      </c>
      <c r="E112" s="69">
        <v>161</v>
      </c>
      <c r="F112" s="70">
        <f t="shared" si="6"/>
        <v>322</v>
      </c>
    </row>
    <row r="113" spans="1:6" ht="136.80000000000001">
      <c r="A113" s="66" t="s">
        <v>531</v>
      </c>
      <c r="B113" s="132" t="s">
        <v>2383</v>
      </c>
      <c r="C113" s="71" t="s">
        <v>31</v>
      </c>
      <c r="D113" s="73">
        <v>1</v>
      </c>
      <c r="E113" s="69">
        <v>395</v>
      </c>
      <c r="F113" s="70">
        <f t="shared" si="6"/>
        <v>395</v>
      </c>
    </row>
    <row r="114" spans="1:6" ht="91.2">
      <c r="A114" s="66" t="s">
        <v>532</v>
      </c>
      <c r="B114" s="118" t="s">
        <v>2384</v>
      </c>
      <c r="C114" s="71" t="s">
        <v>31</v>
      </c>
      <c r="D114" s="73">
        <v>1</v>
      </c>
      <c r="E114" s="69">
        <v>145</v>
      </c>
      <c r="F114" s="70">
        <f t="shared" si="6"/>
        <v>145</v>
      </c>
    </row>
    <row r="115" spans="1:6" ht="102.6">
      <c r="A115" s="66" t="s">
        <v>533</v>
      </c>
      <c r="B115" s="118" t="s">
        <v>2385</v>
      </c>
      <c r="C115" s="71" t="s">
        <v>534</v>
      </c>
      <c r="D115" s="73">
        <v>1</v>
      </c>
      <c r="E115" s="69">
        <v>42</v>
      </c>
      <c r="F115" s="70">
        <f t="shared" si="6"/>
        <v>42</v>
      </c>
    </row>
    <row r="116" spans="1:6" ht="22.8">
      <c r="A116" s="66" t="s">
        <v>535</v>
      </c>
      <c r="B116" s="118" t="s">
        <v>657</v>
      </c>
      <c r="C116" s="71" t="s">
        <v>31</v>
      </c>
      <c r="D116" s="73">
        <v>1</v>
      </c>
      <c r="E116" s="69">
        <v>280</v>
      </c>
      <c r="F116" s="70">
        <f t="shared" si="6"/>
        <v>280</v>
      </c>
    </row>
    <row r="117" spans="1:6" ht="34.200000000000003">
      <c r="A117" s="66" t="s">
        <v>536</v>
      </c>
      <c r="B117" s="115" t="s">
        <v>658</v>
      </c>
      <c r="C117" s="71" t="s">
        <v>534</v>
      </c>
      <c r="D117" s="73">
        <v>1</v>
      </c>
      <c r="E117" s="69">
        <v>64</v>
      </c>
      <c r="F117" s="70">
        <f t="shared" si="6"/>
        <v>64</v>
      </c>
    </row>
    <row r="118" spans="1:6" ht="34.200000000000003">
      <c r="A118" s="66" t="s">
        <v>537</v>
      </c>
      <c r="B118" s="115" t="s">
        <v>659</v>
      </c>
      <c r="C118" s="71" t="s">
        <v>534</v>
      </c>
      <c r="D118" s="73">
        <v>1</v>
      </c>
      <c r="E118" s="69">
        <v>75</v>
      </c>
      <c r="F118" s="70">
        <f t="shared" si="6"/>
        <v>75</v>
      </c>
    </row>
    <row r="119" spans="1:6" ht="22.8">
      <c r="A119" s="66" t="s">
        <v>538</v>
      </c>
      <c r="B119" s="115" t="s">
        <v>660</v>
      </c>
      <c r="C119" s="71" t="s">
        <v>31</v>
      </c>
      <c r="D119" s="73">
        <v>1</v>
      </c>
      <c r="E119" s="69">
        <v>42</v>
      </c>
      <c r="F119" s="70">
        <f t="shared" si="6"/>
        <v>42</v>
      </c>
    </row>
    <row r="120" spans="1:6" ht="57">
      <c r="A120" s="66" t="s">
        <v>539</v>
      </c>
      <c r="B120" s="115" t="s">
        <v>2436</v>
      </c>
      <c r="C120" s="71" t="s">
        <v>31</v>
      </c>
      <c r="D120" s="73">
        <v>1</v>
      </c>
      <c r="E120" s="69">
        <v>244</v>
      </c>
      <c r="F120" s="70">
        <f t="shared" si="6"/>
        <v>244</v>
      </c>
    </row>
    <row r="121" spans="1:6" ht="79.8">
      <c r="A121" s="66" t="s">
        <v>540</v>
      </c>
      <c r="B121" s="118" t="s">
        <v>2386</v>
      </c>
      <c r="C121" s="71" t="s">
        <v>31</v>
      </c>
      <c r="D121" s="73">
        <v>1</v>
      </c>
      <c r="E121" s="69">
        <v>145</v>
      </c>
      <c r="F121" s="70">
        <f t="shared" si="6"/>
        <v>145</v>
      </c>
    </row>
    <row r="122" spans="1:6" ht="91.2">
      <c r="A122" s="66" t="s">
        <v>541</v>
      </c>
      <c r="B122" s="118" t="s">
        <v>661</v>
      </c>
      <c r="C122" s="71" t="s">
        <v>31</v>
      </c>
      <c r="D122" s="73">
        <v>1</v>
      </c>
      <c r="E122" s="69">
        <v>294</v>
      </c>
      <c r="F122" s="70">
        <f t="shared" si="6"/>
        <v>294</v>
      </c>
    </row>
    <row r="123" spans="1:6" ht="68.400000000000006">
      <c r="A123" s="66" t="s">
        <v>542</v>
      </c>
      <c r="B123" s="115" t="s">
        <v>662</v>
      </c>
      <c r="C123" s="71" t="s">
        <v>31</v>
      </c>
      <c r="D123" s="73">
        <v>1</v>
      </c>
      <c r="E123" s="69">
        <v>146</v>
      </c>
      <c r="F123" s="70">
        <f t="shared" si="6"/>
        <v>146</v>
      </c>
    </row>
    <row r="124" spans="1:6" ht="91.2">
      <c r="A124" s="66" t="s">
        <v>543</v>
      </c>
      <c r="B124" s="115" t="s">
        <v>2387</v>
      </c>
      <c r="C124" s="71" t="s">
        <v>31</v>
      </c>
      <c r="D124" s="73">
        <v>1</v>
      </c>
      <c r="E124" s="69">
        <v>494</v>
      </c>
      <c r="F124" s="70">
        <f t="shared" si="6"/>
        <v>494</v>
      </c>
    </row>
    <row r="125" spans="1:6" ht="57">
      <c r="A125" s="66" t="s">
        <v>544</v>
      </c>
      <c r="B125" s="118" t="s">
        <v>2388</v>
      </c>
      <c r="C125" s="71" t="s">
        <v>31</v>
      </c>
      <c r="D125" s="73">
        <v>1</v>
      </c>
      <c r="E125" s="69">
        <v>237</v>
      </c>
      <c r="F125" s="70">
        <f t="shared" si="6"/>
        <v>237</v>
      </c>
    </row>
    <row r="126" spans="1:6" ht="12">
      <c r="A126" s="62" t="s">
        <v>582</v>
      </c>
      <c r="B126" s="126" t="s">
        <v>732</v>
      </c>
      <c r="C126" s="63"/>
      <c r="D126" s="64"/>
      <c r="E126" s="65"/>
      <c r="F126" s="72">
        <f>SUM(F82:F125)</f>
        <v>12417</v>
      </c>
    </row>
    <row r="127" spans="1:6">
      <c r="A127" s="66"/>
      <c r="B127" s="118"/>
      <c r="C127" s="71"/>
      <c r="D127" s="73"/>
      <c r="E127" s="69"/>
      <c r="F127" s="70"/>
    </row>
    <row r="128" spans="1:6" ht="12">
      <c r="A128" s="62" t="s">
        <v>581</v>
      </c>
      <c r="B128" s="126" t="s">
        <v>733</v>
      </c>
      <c r="C128" s="63"/>
      <c r="D128" s="64"/>
      <c r="E128" s="65"/>
      <c r="F128" s="65"/>
    </row>
    <row r="129" spans="1:6">
      <c r="A129" s="66"/>
      <c r="B129" s="118"/>
      <c r="C129" s="67"/>
      <c r="D129" s="68"/>
      <c r="E129" s="81"/>
      <c r="F129" s="70"/>
    </row>
    <row r="130" spans="1:6" ht="102.6">
      <c r="A130" s="66" t="s">
        <v>545</v>
      </c>
      <c r="B130" s="132" t="s">
        <v>2390</v>
      </c>
      <c r="C130" s="78" t="s">
        <v>31</v>
      </c>
      <c r="D130" s="95" t="s">
        <v>218</v>
      </c>
      <c r="E130" s="70">
        <v>195</v>
      </c>
      <c r="F130" s="70">
        <f t="shared" si="6"/>
        <v>585</v>
      </c>
    </row>
    <row r="131" spans="1:6" ht="68.400000000000006">
      <c r="A131" s="66" t="s">
        <v>546</v>
      </c>
      <c r="B131" s="132" t="s">
        <v>2389</v>
      </c>
      <c r="C131" s="78" t="s">
        <v>31</v>
      </c>
      <c r="D131" s="95" t="s">
        <v>547</v>
      </c>
      <c r="E131" s="70">
        <v>224</v>
      </c>
      <c r="F131" s="70">
        <f t="shared" si="6"/>
        <v>1344</v>
      </c>
    </row>
    <row r="132" spans="1:6" ht="57">
      <c r="A132" s="66" t="s">
        <v>734</v>
      </c>
      <c r="B132" s="132" t="s">
        <v>2391</v>
      </c>
      <c r="C132" s="78" t="s">
        <v>31</v>
      </c>
      <c r="D132" s="95" t="s">
        <v>218</v>
      </c>
      <c r="E132" s="70">
        <v>105</v>
      </c>
      <c r="F132" s="70">
        <f t="shared" si="6"/>
        <v>315</v>
      </c>
    </row>
    <row r="133" spans="1:6" ht="12">
      <c r="A133" s="62" t="s">
        <v>581</v>
      </c>
      <c r="B133" s="126" t="s">
        <v>735</v>
      </c>
      <c r="C133" s="63"/>
      <c r="D133" s="64"/>
      <c r="E133" s="65"/>
      <c r="F133" s="72">
        <f>SUM(F130:F132)</f>
        <v>2244</v>
      </c>
    </row>
    <row r="134" spans="1:6">
      <c r="A134" s="66"/>
      <c r="B134" s="118"/>
      <c r="C134" s="67"/>
      <c r="D134" s="76"/>
      <c r="E134" s="61"/>
      <c r="F134" s="70"/>
    </row>
    <row r="135" spans="1:6" ht="12">
      <c r="A135" s="62" t="s">
        <v>583</v>
      </c>
      <c r="B135" s="126" t="s">
        <v>736</v>
      </c>
      <c r="C135" s="63"/>
      <c r="D135" s="64"/>
      <c r="E135" s="65"/>
      <c r="F135" s="65"/>
    </row>
    <row r="136" spans="1:6" ht="68.400000000000006">
      <c r="A136" s="66" t="s">
        <v>548</v>
      </c>
      <c r="B136" s="118" t="s">
        <v>2437</v>
      </c>
      <c r="C136" s="71" t="s">
        <v>31</v>
      </c>
      <c r="D136" s="73">
        <v>8</v>
      </c>
      <c r="E136" s="69">
        <v>141</v>
      </c>
      <c r="F136" s="70">
        <f t="shared" si="6"/>
        <v>1128</v>
      </c>
    </row>
    <row r="137" spans="1:6" ht="79.8">
      <c r="A137" s="66" t="s">
        <v>549</v>
      </c>
      <c r="B137" s="118" t="s">
        <v>2438</v>
      </c>
      <c r="C137" s="67" t="s">
        <v>31</v>
      </c>
      <c r="D137" s="68">
        <v>4</v>
      </c>
      <c r="E137" s="69">
        <v>129</v>
      </c>
      <c r="F137" s="70">
        <f t="shared" si="6"/>
        <v>516</v>
      </c>
    </row>
    <row r="138" spans="1:6" ht="91.2">
      <c r="A138" s="66" t="s">
        <v>550</v>
      </c>
      <c r="B138" s="118" t="s">
        <v>2392</v>
      </c>
      <c r="C138" s="67" t="s">
        <v>31</v>
      </c>
      <c r="D138" s="68">
        <v>40</v>
      </c>
      <c r="E138" s="69">
        <v>39</v>
      </c>
      <c r="F138" s="70">
        <f t="shared" si="6"/>
        <v>1560</v>
      </c>
    </row>
    <row r="139" spans="1:6" ht="68.400000000000006">
      <c r="A139" s="66" t="s">
        <v>737</v>
      </c>
      <c r="B139" s="132" t="s">
        <v>664</v>
      </c>
      <c r="C139" s="71" t="s">
        <v>31</v>
      </c>
      <c r="D139" s="73">
        <v>40</v>
      </c>
      <c r="E139" s="69">
        <v>46</v>
      </c>
      <c r="F139" s="70">
        <f t="shared" si="6"/>
        <v>1840</v>
      </c>
    </row>
    <row r="140" spans="1:6">
      <c r="A140" s="66" t="s">
        <v>738</v>
      </c>
      <c r="B140" s="118" t="s">
        <v>551</v>
      </c>
      <c r="C140" s="74" t="s">
        <v>31</v>
      </c>
      <c r="D140" s="74">
        <v>40</v>
      </c>
      <c r="E140" s="75">
        <v>6.1</v>
      </c>
      <c r="F140" s="70">
        <f t="shared" si="6"/>
        <v>244</v>
      </c>
    </row>
    <row r="141" spans="1:6">
      <c r="A141" s="66" t="s">
        <v>739</v>
      </c>
      <c r="B141" s="118" t="s">
        <v>504</v>
      </c>
      <c r="C141" s="74" t="s">
        <v>31</v>
      </c>
      <c r="D141" s="74">
        <v>80</v>
      </c>
      <c r="E141" s="75">
        <v>11.2</v>
      </c>
      <c r="F141" s="70">
        <f t="shared" si="6"/>
        <v>896</v>
      </c>
    </row>
    <row r="142" spans="1:6">
      <c r="A142" s="66" t="s">
        <v>740</v>
      </c>
      <c r="B142" s="118" t="s">
        <v>2465</v>
      </c>
      <c r="C142" s="74" t="s">
        <v>31</v>
      </c>
      <c r="D142" s="74">
        <v>40</v>
      </c>
      <c r="E142" s="75">
        <v>13.2</v>
      </c>
      <c r="F142" s="70">
        <f t="shared" si="6"/>
        <v>528</v>
      </c>
    </row>
    <row r="143" spans="1:6" ht="22.8">
      <c r="A143" s="66" t="s">
        <v>741</v>
      </c>
      <c r="B143" s="118" t="s">
        <v>2466</v>
      </c>
      <c r="C143" s="74" t="s">
        <v>31</v>
      </c>
      <c r="D143" s="74">
        <v>80</v>
      </c>
      <c r="E143" s="75">
        <v>12.2</v>
      </c>
      <c r="F143" s="70">
        <f t="shared" si="6"/>
        <v>976</v>
      </c>
    </row>
    <row r="144" spans="1:6" ht="34.200000000000003">
      <c r="A144" s="66" t="s">
        <v>742</v>
      </c>
      <c r="B144" s="132" t="s">
        <v>552</v>
      </c>
      <c r="C144" s="71" t="s">
        <v>31</v>
      </c>
      <c r="D144" s="73">
        <v>4</v>
      </c>
      <c r="E144" s="69">
        <v>54</v>
      </c>
      <c r="F144" s="70">
        <f t="shared" si="6"/>
        <v>216</v>
      </c>
    </row>
    <row r="145" spans="1:6" ht="136.80000000000001">
      <c r="A145" s="66" t="s">
        <v>743</v>
      </c>
      <c r="B145" s="132" t="s">
        <v>2393</v>
      </c>
      <c r="C145" s="71" t="s">
        <v>31</v>
      </c>
      <c r="D145" s="73">
        <v>2</v>
      </c>
      <c r="E145" s="69">
        <v>193</v>
      </c>
      <c r="F145" s="70">
        <f t="shared" si="6"/>
        <v>386</v>
      </c>
    </row>
    <row r="146" spans="1:6" ht="22.8">
      <c r="A146" s="66" t="s">
        <v>744</v>
      </c>
      <c r="B146" s="132" t="s">
        <v>2467</v>
      </c>
      <c r="C146" s="71" t="s">
        <v>31</v>
      </c>
      <c r="D146" s="73">
        <v>16</v>
      </c>
      <c r="E146" s="69">
        <v>9.5</v>
      </c>
      <c r="F146" s="70">
        <f t="shared" si="6"/>
        <v>152</v>
      </c>
    </row>
    <row r="147" spans="1:6" ht="22.8">
      <c r="A147" s="66" t="s">
        <v>745</v>
      </c>
      <c r="B147" s="132" t="s">
        <v>2468</v>
      </c>
      <c r="C147" s="71" t="s">
        <v>31</v>
      </c>
      <c r="D147" s="73">
        <v>32</v>
      </c>
      <c r="E147" s="69">
        <v>7</v>
      </c>
      <c r="F147" s="70">
        <f t="shared" si="6"/>
        <v>224</v>
      </c>
    </row>
    <row r="148" spans="1:6" ht="125.4">
      <c r="A148" s="66" t="s">
        <v>746</v>
      </c>
      <c r="B148" s="132" t="s">
        <v>2394</v>
      </c>
      <c r="C148" s="71" t="s">
        <v>31</v>
      </c>
      <c r="D148" s="73">
        <v>2</v>
      </c>
      <c r="E148" s="69">
        <v>320</v>
      </c>
      <c r="F148" s="70">
        <f t="shared" si="6"/>
        <v>640</v>
      </c>
    </row>
    <row r="149" spans="1:6" ht="79.8">
      <c r="A149" s="66" t="s">
        <v>747</v>
      </c>
      <c r="B149" s="118" t="s">
        <v>2395</v>
      </c>
      <c r="C149" s="71" t="s">
        <v>31</v>
      </c>
      <c r="D149" s="73">
        <v>2</v>
      </c>
      <c r="E149" s="69">
        <v>219</v>
      </c>
      <c r="F149" s="70">
        <f t="shared" si="6"/>
        <v>438</v>
      </c>
    </row>
    <row r="150" spans="1:6" ht="45.6">
      <c r="A150" s="66" t="s">
        <v>748</v>
      </c>
      <c r="B150" s="118" t="s">
        <v>2396</v>
      </c>
      <c r="C150" s="71" t="s">
        <v>31</v>
      </c>
      <c r="D150" s="73">
        <v>4</v>
      </c>
      <c r="E150" s="69">
        <v>86</v>
      </c>
      <c r="F150" s="70">
        <f t="shared" si="6"/>
        <v>344</v>
      </c>
    </row>
    <row r="151" spans="1:6" ht="57">
      <c r="A151" s="66" t="s">
        <v>749</v>
      </c>
      <c r="B151" s="118" t="s">
        <v>2439</v>
      </c>
      <c r="C151" s="67" t="s">
        <v>31</v>
      </c>
      <c r="D151" s="73">
        <v>4</v>
      </c>
      <c r="E151" s="69">
        <v>338</v>
      </c>
      <c r="F151" s="70">
        <f t="shared" si="6"/>
        <v>1352</v>
      </c>
    </row>
    <row r="152" spans="1:6" ht="22.8">
      <c r="A152" s="66" t="s">
        <v>750</v>
      </c>
      <c r="B152" s="118" t="s">
        <v>646</v>
      </c>
      <c r="C152" s="67" t="s">
        <v>31</v>
      </c>
      <c r="D152" s="93">
        <v>4</v>
      </c>
      <c r="E152" s="75">
        <v>124</v>
      </c>
      <c r="F152" s="70">
        <f t="shared" si="6"/>
        <v>496</v>
      </c>
    </row>
    <row r="153" spans="1:6" ht="22.8">
      <c r="A153" s="66" t="s">
        <v>751</v>
      </c>
      <c r="B153" s="118" t="s">
        <v>647</v>
      </c>
      <c r="C153" s="67" t="s">
        <v>31</v>
      </c>
      <c r="D153" s="93">
        <v>2</v>
      </c>
      <c r="E153" s="75">
        <v>214</v>
      </c>
      <c r="F153" s="70">
        <f t="shared" si="6"/>
        <v>428</v>
      </c>
    </row>
    <row r="154" spans="1:6">
      <c r="A154" s="66" t="s">
        <v>752</v>
      </c>
      <c r="B154" s="118" t="s">
        <v>648</v>
      </c>
      <c r="C154" s="67" t="s">
        <v>31</v>
      </c>
      <c r="D154" s="93">
        <v>2</v>
      </c>
      <c r="E154" s="75">
        <v>110</v>
      </c>
      <c r="F154" s="70">
        <f t="shared" si="6"/>
        <v>220</v>
      </c>
    </row>
    <row r="155" spans="1:6">
      <c r="A155" s="66" t="s">
        <v>753</v>
      </c>
      <c r="B155" s="118" t="s">
        <v>649</v>
      </c>
      <c r="C155" s="67" t="s">
        <v>31</v>
      </c>
      <c r="D155" s="93">
        <v>2</v>
      </c>
      <c r="E155" s="75">
        <v>78</v>
      </c>
      <c r="F155" s="70">
        <f t="shared" si="6"/>
        <v>156</v>
      </c>
    </row>
    <row r="156" spans="1:6" ht="125.4">
      <c r="A156" s="66" t="s">
        <v>754</v>
      </c>
      <c r="B156" s="118" t="s">
        <v>2397</v>
      </c>
      <c r="C156" s="67" t="s">
        <v>31</v>
      </c>
      <c r="D156" s="68">
        <v>2</v>
      </c>
      <c r="E156" s="69">
        <v>222</v>
      </c>
      <c r="F156" s="70">
        <f t="shared" si="6"/>
        <v>444</v>
      </c>
    </row>
    <row r="157" spans="1:6" ht="22.8">
      <c r="A157" s="66" t="s">
        <v>755</v>
      </c>
      <c r="B157" s="118" t="s">
        <v>650</v>
      </c>
      <c r="C157" s="79" t="s">
        <v>31</v>
      </c>
      <c r="D157" s="80">
        <v>2</v>
      </c>
      <c r="E157" s="69">
        <v>136</v>
      </c>
      <c r="F157" s="70">
        <f t="shared" si="6"/>
        <v>272</v>
      </c>
    </row>
    <row r="158" spans="1:6" ht="22.8">
      <c r="A158" s="66" t="s">
        <v>756</v>
      </c>
      <c r="B158" s="118" t="s">
        <v>651</v>
      </c>
      <c r="C158" s="79" t="s">
        <v>31</v>
      </c>
      <c r="D158" s="80">
        <v>2</v>
      </c>
      <c r="E158" s="69">
        <v>68</v>
      </c>
      <c r="F158" s="70">
        <f t="shared" si="6"/>
        <v>136</v>
      </c>
    </row>
    <row r="159" spans="1:6" ht="57">
      <c r="A159" s="66" t="s">
        <v>757</v>
      </c>
      <c r="B159" s="132" t="s">
        <v>665</v>
      </c>
      <c r="C159" s="71" t="s">
        <v>31</v>
      </c>
      <c r="D159" s="73">
        <v>2</v>
      </c>
      <c r="E159" s="69">
        <v>119</v>
      </c>
      <c r="F159" s="70">
        <f t="shared" si="6"/>
        <v>238</v>
      </c>
    </row>
    <row r="160" spans="1:6" ht="22.8">
      <c r="A160" s="66" t="s">
        <v>758</v>
      </c>
      <c r="B160" s="132" t="s">
        <v>666</v>
      </c>
      <c r="C160" s="71" t="s">
        <v>31</v>
      </c>
      <c r="D160" s="73">
        <v>8</v>
      </c>
      <c r="E160" s="69">
        <v>32</v>
      </c>
      <c r="F160" s="70">
        <f t="shared" si="6"/>
        <v>256</v>
      </c>
    </row>
    <row r="161" spans="1:6" ht="91.2">
      <c r="A161" s="66" t="s">
        <v>759</v>
      </c>
      <c r="B161" s="118" t="s">
        <v>2398</v>
      </c>
      <c r="C161" s="78" t="s">
        <v>31</v>
      </c>
      <c r="D161" s="94">
        <v>2</v>
      </c>
      <c r="E161" s="70">
        <v>570</v>
      </c>
      <c r="F161" s="70">
        <f t="shared" si="6"/>
        <v>1140</v>
      </c>
    </row>
    <row r="162" spans="1:6" ht="79.8">
      <c r="A162" s="66" t="s">
        <v>760</v>
      </c>
      <c r="B162" s="118" t="s">
        <v>2399</v>
      </c>
      <c r="C162" s="78" t="s">
        <v>31</v>
      </c>
      <c r="D162" s="94">
        <v>30</v>
      </c>
      <c r="E162" s="70">
        <v>19</v>
      </c>
      <c r="F162" s="70">
        <f t="shared" si="6"/>
        <v>570</v>
      </c>
    </row>
    <row r="163" spans="1:6" ht="79.8">
      <c r="A163" s="66" t="s">
        <v>761</v>
      </c>
      <c r="B163" s="118" t="s">
        <v>654</v>
      </c>
      <c r="C163" s="78" t="s">
        <v>31</v>
      </c>
      <c r="D163" s="94">
        <v>2</v>
      </c>
      <c r="E163" s="70">
        <v>395</v>
      </c>
      <c r="F163" s="70">
        <f t="shared" si="6"/>
        <v>790</v>
      </c>
    </row>
    <row r="164" spans="1:6" ht="68.400000000000006">
      <c r="A164" s="66" t="s">
        <v>762</v>
      </c>
      <c r="B164" s="132" t="s">
        <v>655</v>
      </c>
      <c r="C164" s="71" t="s">
        <v>31</v>
      </c>
      <c r="D164" s="73">
        <v>2</v>
      </c>
      <c r="E164" s="69">
        <v>695</v>
      </c>
      <c r="F164" s="70">
        <f t="shared" si="6"/>
        <v>1390</v>
      </c>
    </row>
    <row r="165" spans="1:6" ht="171">
      <c r="A165" s="66" t="s">
        <v>763</v>
      </c>
      <c r="B165" s="132" t="s">
        <v>2400</v>
      </c>
      <c r="C165" s="67" t="s">
        <v>31</v>
      </c>
      <c r="D165" s="68">
        <v>2</v>
      </c>
      <c r="E165" s="69">
        <v>340</v>
      </c>
      <c r="F165" s="70">
        <f t="shared" si="6"/>
        <v>680</v>
      </c>
    </row>
    <row r="166" spans="1:6" ht="34.200000000000003">
      <c r="A166" s="66" t="s">
        <v>764</v>
      </c>
      <c r="B166" s="132" t="s">
        <v>667</v>
      </c>
      <c r="C166" s="67" t="s">
        <v>31</v>
      </c>
      <c r="D166" s="68">
        <v>4</v>
      </c>
      <c r="E166" s="69">
        <v>161</v>
      </c>
      <c r="F166" s="70">
        <f t="shared" si="6"/>
        <v>644</v>
      </c>
    </row>
    <row r="167" spans="1:6" ht="136.80000000000001">
      <c r="A167" s="66" t="s">
        <v>765</v>
      </c>
      <c r="B167" s="132" t="s">
        <v>2401</v>
      </c>
      <c r="C167" s="71" t="s">
        <v>31</v>
      </c>
      <c r="D167" s="73">
        <v>2</v>
      </c>
      <c r="E167" s="69">
        <v>395</v>
      </c>
      <c r="F167" s="70">
        <f t="shared" si="6"/>
        <v>790</v>
      </c>
    </row>
    <row r="168" spans="1:6" ht="91.2">
      <c r="A168" s="66" t="s">
        <v>766</v>
      </c>
      <c r="B168" s="118" t="s">
        <v>661</v>
      </c>
      <c r="C168" s="71" t="s">
        <v>31</v>
      </c>
      <c r="D168" s="73">
        <v>2</v>
      </c>
      <c r="E168" s="69">
        <v>294</v>
      </c>
      <c r="F168" s="70">
        <f t="shared" si="6"/>
        <v>588</v>
      </c>
    </row>
    <row r="169" spans="1:6" ht="68.400000000000006">
      <c r="A169" s="66" t="s">
        <v>767</v>
      </c>
      <c r="B169" s="115" t="s">
        <v>668</v>
      </c>
      <c r="C169" s="71" t="s">
        <v>31</v>
      </c>
      <c r="D169" s="73">
        <v>2</v>
      </c>
      <c r="E169" s="69">
        <v>146</v>
      </c>
      <c r="F169" s="70">
        <f t="shared" si="6"/>
        <v>292</v>
      </c>
    </row>
    <row r="170" spans="1:6" ht="34.200000000000003">
      <c r="A170" s="66" t="s">
        <v>768</v>
      </c>
      <c r="B170" s="115" t="s">
        <v>669</v>
      </c>
      <c r="C170" s="71" t="s">
        <v>31</v>
      </c>
      <c r="D170" s="73">
        <v>2</v>
      </c>
      <c r="E170" s="69">
        <v>255</v>
      </c>
      <c r="F170" s="70">
        <f t="shared" si="6"/>
        <v>510</v>
      </c>
    </row>
    <row r="171" spans="1:6" ht="79.8">
      <c r="A171" s="66" t="s">
        <v>769</v>
      </c>
      <c r="B171" s="118" t="s">
        <v>670</v>
      </c>
      <c r="C171" s="71" t="s">
        <v>534</v>
      </c>
      <c r="D171" s="73">
        <v>2</v>
      </c>
      <c r="E171" s="69">
        <v>373</v>
      </c>
      <c r="F171" s="70">
        <f t="shared" si="6"/>
        <v>746</v>
      </c>
    </row>
    <row r="172" spans="1:6" ht="79.8">
      <c r="A172" s="66" t="s">
        <v>770</v>
      </c>
      <c r="B172" s="118" t="s">
        <v>671</v>
      </c>
      <c r="C172" s="71" t="s">
        <v>31</v>
      </c>
      <c r="D172" s="73">
        <v>2</v>
      </c>
      <c r="E172" s="69">
        <v>199</v>
      </c>
      <c r="F172" s="70">
        <f t="shared" si="6"/>
        <v>398</v>
      </c>
    </row>
    <row r="173" spans="1:6" ht="102.6">
      <c r="A173" s="66" t="s">
        <v>771</v>
      </c>
      <c r="B173" s="118" t="s">
        <v>672</v>
      </c>
      <c r="C173" s="71" t="s">
        <v>534</v>
      </c>
      <c r="D173" s="73">
        <v>2</v>
      </c>
      <c r="E173" s="69">
        <v>89</v>
      </c>
      <c r="F173" s="70">
        <f t="shared" si="6"/>
        <v>178</v>
      </c>
    </row>
    <row r="174" spans="1:6" ht="22.8">
      <c r="A174" s="66" t="s">
        <v>772</v>
      </c>
      <c r="B174" s="118" t="s">
        <v>657</v>
      </c>
      <c r="C174" s="71" t="s">
        <v>31</v>
      </c>
      <c r="D174" s="73">
        <v>2</v>
      </c>
      <c r="E174" s="69">
        <v>280</v>
      </c>
      <c r="F174" s="70">
        <f t="shared" si="6"/>
        <v>560</v>
      </c>
    </row>
    <row r="175" spans="1:6" ht="12">
      <c r="A175" s="62" t="s">
        <v>583</v>
      </c>
      <c r="B175" s="126" t="s">
        <v>773</v>
      </c>
      <c r="C175" s="63"/>
      <c r="D175" s="64"/>
      <c r="E175" s="65"/>
      <c r="F175" s="72">
        <f>SUM(F136:F174)</f>
        <v>23362</v>
      </c>
    </row>
    <row r="176" spans="1:6">
      <c r="A176" s="66"/>
      <c r="B176" s="134"/>
      <c r="C176" s="67"/>
      <c r="D176" s="76"/>
      <c r="E176" s="61"/>
      <c r="F176" s="70"/>
    </row>
    <row r="177" spans="1:6" ht="12">
      <c r="A177" s="62" t="s">
        <v>584</v>
      </c>
      <c r="B177" s="126" t="s">
        <v>774</v>
      </c>
      <c r="C177" s="63"/>
      <c r="D177" s="64"/>
      <c r="E177" s="65"/>
      <c r="F177" s="65"/>
    </row>
    <row r="178" spans="1:6" ht="79.8">
      <c r="A178" s="66" t="s">
        <v>553</v>
      </c>
      <c r="B178" s="132" t="s">
        <v>2402</v>
      </c>
      <c r="C178" s="78" t="s">
        <v>31</v>
      </c>
      <c r="D178" s="95" t="s">
        <v>663</v>
      </c>
      <c r="E178" s="70">
        <v>224</v>
      </c>
      <c r="F178" s="70">
        <f t="shared" si="6"/>
        <v>2688</v>
      </c>
    </row>
    <row r="179" spans="1:6" ht="57">
      <c r="A179" s="66" t="s">
        <v>554</v>
      </c>
      <c r="B179" s="132" t="s">
        <v>2403</v>
      </c>
      <c r="C179" s="78" t="s">
        <v>31</v>
      </c>
      <c r="D179" s="95" t="s">
        <v>547</v>
      </c>
      <c r="E179" s="70">
        <v>105</v>
      </c>
      <c r="F179" s="70">
        <f t="shared" si="6"/>
        <v>630</v>
      </c>
    </row>
    <row r="180" spans="1:6" ht="102.6">
      <c r="A180" s="66" t="s">
        <v>555</v>
      </c>
      <c r="B180" s="132" t="s">
        <v>2404</v>
      </c>
      <c r="C180" s="78" t="s">
        <v>31</v>
      </c>
      <c r="D180" s="95" t="s">
        <v>547</v>
      </c>
      <c r="E180" s="70">
        <v>195</v>
      </c>
      <c r="F180" s="70">
        <f t="shared" si="6"/>
        <v>1170</v>
      </c>
    </row>
    <row r="181" spans="1:6" ht="12">
      <c r="A181" s="62" t="s">
        <v>584</v>
      </c>
      <c r="B181" s="126" t="s">
        <v>775</v>
      </c>
      <c r="C181" s="63"/>
      <c r="D181" s="64"/>
      <c r="E181" s="65"/>
      <c r="F181" s="72">
        <f>SUM(F178:F180)</f>
        <v>4488</v>
      </c>
    </row>
    <row r="182" spans="1:6">
      <c r="A182" s="66"/>
      <c r="B182" s="134"/>
      <c r="C182" s="67"/>
      <c r="D182" s="76"/>
      <c r="E182" s="61"/>
      <c r="F182" s="70"/>
    </row>
    <row r="183" spans="1:6" ht="12">
      <c r="A183" s="62" t="s">
        <v>585</v>
      </c>
      <c r="B183" s="126" t="s">
        <v>556</v>
      </c>
      <c r="C183" s="63"/>
      <c r="D183" s="64"/>
      <c r="E183" s="65"/>
      <c r="F183" s="65"/>
    </row>
    <row r="184" spans="1:6" ht="114">
      <c r="A184" s="66" t="s">
        <v>557</v>
      </c>
      <c r="B184" s="118" t="s">
        <v>2405</v>
      </c>
      <c r="C184" s="78" t="s">
        <v>31</v>
      </c>
      <c r="D184" s="68">
        <v>3</v>
      </c>
      <c r="E184" s="69">
        <v>475</v>
      </c>
      <c r="F184" s="70">
        <f t="shared" si="6"/>
        <v>1425</v>
      </c>
    </row>
    <row r="185" spans="1:6" ht="12">
      <c r="A185" s="62" t="s">
        <v>585</v>
      </c>
      <c r="B185" s="126" t="s">
        <v>558</v>
      </c>
      <c r="C185" s="63"/>
      <c r="D185" s="64"/>
      <c r="E185" s="65"/>
      <c r="F185" s="72">
        <f>SUM(F184)</f>
        <v>1425</v>
      </c>
    </row>
    <row r="186" spans="1:6">
      <c r="A186" s="66"/>
      <c r="B186" s="331"/>
      <c r="C186" s="67"/>
      <c r="D186" s="76"/>
      <c r="E186" s="61"/>
      <c r="F186" s="70"/>
    </row>
    <row r="187" spans="1:6" s="289" customFormat="1" ht="12">
      <c r="A187" s="82" t="s">
        <v>1149</v>
      </c>
      <c r="B187" s="332" t="s">
        <v>1123</v>
      </c>
      <c r="C187" s="83"/>
      <c r="D187" s="84"/>
      <c r="E187" s="85"/>
      <c r="F187" s="85"/>
    </row>
    <row r="188" spans="1:6" s="289" customFormat="1" ht="68.400000000000006">
      <c r="A188" s="86" t="s">
        <v>1150</v>
      </c>
      <c r="B188" s="333" t="s">
        <v>1124</v>
      </c>
      <c r="C188" s="87" t="s">
        <v>31</v>
      </c>
      <c r="D188" s="334">
        <v>24</v>
      </c>
      <c r="E188" s="88">
        <v>46</v>
      </c>
      <c r="F188" s="89">
        <f t="shared" ref="F188:F243" si="8">IF(D188="","",D188*E188)</f>
        <v>1104</v>
      </c>
    </row>
    <row r="189" spans="1:6" s="289" customFormat="1">
      <c r="A189" s="86" t="s">
        <v>1151</v>
      </c>
      <c r="B189" s="293" t="s">
        <v>1125</v>
      </c>
      <c r="C189" s="335" t="s">
        <v>31</v>
      </c>
      <c r="D189" s="334">
        <v>24</v>
      </c>
      <c r="E189" s="89">
        <v>6.1</v>
      </c>
      <c r="F189" s="89">
        <f t="shared" si="8"/>
        <v>146.39999999999998</v>
      </c>
    </row>
    <row r="190" spans="1:6" s="289" customFormat="1">
      <c r="A190" s="86" t="s">
        <v>1152</v>
      </c>
      <c r="B190" s="293" t="s">
        <v>1126</v>
      </c>
      <c r="C190" s="335" t="s">
        <v>31</v>
      </c>
      <c r="D190" s="334">
        <v>48</v>
      </c>
      <c r="E190" s="89">
        <v>11.2</v>
      </c>
      <c r="F190" s="89">
        <f t="shared" si="8"/>
        <v>537.59999999999991</v>
      </c>
    </row>
    <row r="191" spans="1:6" s="289" customFormat="1">
      <c r="A191" s="86" t="s">
        <v>1153</v>
      </c>
      <c r="B191" s="293" t="s">
        <v>2469</v>
      </c>
      <c r="C191" s="335" t="s">
        <v>31</v>
      </c>
      <c r="D191" s="334">
        <v>24</v>
      </c>
      <c r="E191" s="89">
        <v>13.2</v>
      </c>
      <c r="F191" s="89">
        <f t="shared" si="8"/>
        <v>316.79999999999995</v>
      </c>
    </row>
    <row r="192" spans="1:6" s="289" customFormat="1" ht="22.8">
      <c r="A192" s="86" t="s">
        <v>1154</v>
      </c>
      <c r="B192" s="293" t="s">
        <v>2470</v>
      </c>
      <c r="C192" s="335" t="s">
        <v>31</v>
      </c>
      <c r="D192" s="334">
        <v>48</v>
      </c>
      <c r="E192" s="89">
        <v>12.2</v>
      </c>
      <c r="F192" s="89">
        <f t="shared" si="8"/>
        <v>585.59999999999991</v>
      </c>
    </row>
    <row r="193" spans="1:6" s="289" customFormat="1" ht="34.200000000000003">
      <c r="A193" s="86" t="s">
        <v>1155</v>
      </c>
      <c r="B193" s="333" t="s">
        <v>1127</v>
      </c>
      <c r="C193" s="87" t="s">
        <v>31</v>
      </c>
      <c r="D193" s="334">
        <v>4</v>
      </c>
      <c r="E193" s="69">
        <v>54</v>
      </c>
      <c r="F193" s="89">
        <f t="shared" si="8"/>
        <v>216</v>
      </c>
    </row>
    <row r="194" spans="1:6" s="289" customFormat="1" ht="79.8">
      <c r="A194" s="86" t="s">
        <v>1156</v>
      </c>
      <c r="B194" s="293" t="s">
        <v>2440</v>
      </c>
      <c r="C194" s="87" t="s">
        <v>31</v>
      </c>
      <c r="D194" s="334">
        <v>4</v>
      </c>
      <c r="E194" s="88">
        <v>141</v>
      </c>
      <c r="F194" s="89">
        <f t="shared" si="8"/>
        <v>564</v>
      </c>
    </row>
    <row r="195" spans="1:6" s="289" customFormat="1" ht="79.8">
      <c r="A195" s="86" t="s">
        <v>1157</v>
      </c>
      <c r="B195" s="293" t="s">
        <v>2406</v>
      </c>
      <c r="C195" s="87" t="s">
        <v>31</v>
      </c>
      <c r="D195" s="334">
        <v>8</v>
      </c>
      <c r="E195" s="88">
        <v>129</v>
      </c>
      <c r="F195" s="89">
        <f t="shared" si="8"/>
        <v>1032</v>
      </c>
    </row>
    <row r="196" spans="1:6" s="289" customFormat="1" ht="102.6">
      <c r="A196" s="86" t="s">
        <v>1158</v>
      </c>
      <c r="B196" s="293" t="s">
        <v>2407</v>
      </c>
      <c r="C196" s="90" t="s">
        <v>31</v>
      </c>
      <c r="D196" s="91">
        <v>12</v>
      </c>
      <c r="E196" s="88">
        <v>39</v>
      </c>
      <c r="F196" s="89">
        <f t="shared" si="8"/>
        <v>468</v>
      </c>
    </row>
    <row r="197" spans="1:6" s="289" customFormat="1" ht="91.2">
      <c r="A197" s="86" t="s">
        <v>1159</v>
      </c>
      <c r="B197" s="293" t="s">
        <v>2408</v>
      </c>
      <c r="C197" s="90" t="s">
        <v>31</v>
      </c>
      <c r="D197" s="91">
        <v>12</v>
      </c>
      <c r="E197" s="88">
        <v>44</v>
      </c>
      <c r="F197" s="89">
        <f t="shared" si="8"/>
        <v>528</v>
      </c>
    </row>
    <row r="198" spans="1:6" s="289" customFormat="1" ht="125.4">
      <c r="A198" s="86" t="s">
        <v>1160</v>
      </c>
      <c r="B198" s="333" t="s">
        <v>2409</v>
      </c>
      <c r="C198" s="87" t="s">
        <v>31</v>
      </c>
      <c r="D198" s="334">
        <v>2</v>
      </c>
      <c r="E198" s="88">
        <v>175</v>
      </c>
      <c r="F198" s="89">
        <f t="shared" si="8"/>
        <v>350</v>
      </c>
    </row>
    <row r="199" spans="1:6" s="289" customFormat="1" ht="171">
      <c r="A199" s="86" t="s">
        <v>1161</v>
      </c>
      <c r="B199" s="333" t="s">
        <v>2410</v>
      </c>
      <c r="C199" s="87" t="s">
        <v>31</v>
      </c>
      <c r="D199" s="334">
        <v>2</v>
      </c>
      <c r="E199" s="88">
        <v>193</v>
      </c>
      <c r="F199" s="89">
        <f t="shared" si="8"/>
        <v>386</v>
      </c>
    </row>
    <row r="200" spans="1:6" s="289" customFormat="1" ht="22.8">
      <c r="A200" s="86" t="s">
        <v>1162</v>
      </c>
      <c r="B200" s="333" t="s">
        <v>2471</v>
      </c>
      <c r="C200" s="87" t="s">
        <v>31</v>
      </c>
      <c r="D200" s="334">
        <v>8</v>
      </c>
      <c r="E200" s="69">
        <v>9.5</v>
      </c>
      <c r="F200" s="89">
        <f t="shared" si="8"/>
        <v>76</v>
      </c>
    </row>
    <row r="201" spans="1:6" s="289" customFormat="1" ht="22.8">
      <c r="A201" s="86" t="s">
        <v>1163</v>
      </c>
      <c r="B201" s="333" t="s">
        <v>2472</v>
      </c>
      <c r="C201" s="87" t="s">
        <v>31</v>
      </c>
      <c r="D201" s="334">
        <v>16</v>
      </c>
      <c r="E201" s="69">
        <v>7</v>
      </c>
      <c r="F201" s="89">
        <f t="shared" si="8"/>
        <v>112</v>
      </c>
    </row>
    <row r="202" spans="1:6" s="289" customFormat="1" ht="125.4">
      <c r="A202" s="86" t="s">
        <v>1164</v>
      </c>
      <c r="B202" s="333" t="s">
        <v>2411</v>
      </c>
      <c r="C202" s="87" t="s">
        <v>31</v>
      </c>
      <c r="D202" s="334">
        <v>2</v>
      </c>
      <c r="E202" s="88">
        <v>299</v>
      </c>
      <c r="F202" s="89">
        <f t="shared" si="8"/>
        <v>598</v>
      </c>
    </row>
    <row r="203" spans="1:6" s="289" customFormat="1" ht="91.2">
      <c r="A203" s="86" t="s">
        <v>1165</v>
      </c>
      <c r="B203" s="333" t="s">
        <v>2412</v>
      </c>
      <c r="C203" s="87" t="s">
        <v>31</v>
      </c>
      <c r="D203" s="334">
        <v>2</v>
      </c>
      <c r="E203" s="88">
        <v>335</v>
      </c>
      <c r="F203" s="89">
        <f t="shared" si="8"/>
        <v>670</v>
      </c>
    </row>
    <row r="204" spans="1:6" s="289" customFormat="1" ht="79.8">
      <c r="A204" s="86" t="s">
        <v>1166</v>
      </c>
      <c r="B204" s="333" t="s">
        <v>2413</v>
      </c>
      <c r="C204" s="87" t="s">
        <v>31</v>
      </c>
      <c r="D204" s="334">
        <v>2</v>
      </c>
      <c r="E204" s="88">
        <v>222</v>
      </c>
      <c r="F204" s="89">
        <f t="shared" si="8"/>
        <v>444</v>
      </c>
    </row>
    <row r="205" spans="1:6" s="289" customFormat="1">
      <c r="A205" s="86" t="s">
        <v>1167</v>
      </c>
      <c r="B205" s="333" t="s">
        <v>1128</v>
      </c>
      <c r="C205" s="87" t="s">
        <v>31</v>
      </c>
      <c r="D205" s="334">
        <v>2</v>
      </c>
      <c r="E205" s="88">
        <v>68</v>
      </c>
      <c r="F205" s="89">
        <f t="shared" si="8"/>
        <v>136</v>
      </c>
    </row>
    <row r="206" spans="1:6" s="289" customFormat="1">
      <c r="A206" s="86" t="s">
        <v>1168</v>
      </c>
      <c r="B206" s="333" t="s">
        <v>1129</v>
      </c>
      <c r="C206" s="87" t="s">
        <v>31</v>
      </c>
      <c r="D206" s="334">
        <v>2</v>
      </c>
      <c r="E206" s="69">
        <v>136</v>
      </c>
      <c r="F206" s="89">
        <f t="shared" si="8"/>
        <v>272</v>
      </c>
    </row>
    <row r="207" spans="1:6" s="289" customFormat="1" ht="57">
      <c r="A207" s="86" t="s">
        <v>1169</v>
      </c>
      <c r="B207" s="293" t="s">
        <v>2414</v>
      </c>
      <c r="C207" s="87" t="s">
        <v>31</v>
      </c>
      <c r="D207" s="334">
        <v>2</v>
      </c>
      <c r="E207" s="88">
        <v>195</v>
      </c>
      <c r="F207" s="89">
        <f t="shared" si="8"/>
        <v>390</v>
      </c>
    </row>
    <row r="208" spans="1:6" s="289" customFormat="1" ht="68.400000000000006">
      <c r="A208" s="86" t="s">
        <v>1170</v>
      </c>
      <c r="B208" s="293" t="s">
        <v>2415</v>
      </c>
      <c r="C208" s="335" t="s">
        <v>31</v>
      </c>
      <c r="D208" s="335">
        <v>2</v>
      </c>
      <c r="E208" s="89">
        <v>392</v>
      </c>
      <c r="F208" s="89">
        <f t="shared" si="8"/>
        <v>784</v>
      </c>
    </row>
    <row r="209" spans="1:6" s="289" customFormat="1" ht="57">
      <c r="A209" s="86" t="s">
        <v>1171</v>
      </c>
      <c r="B209" s="293" t="s">
        <v>2416</v>
      </c>
      <c r="C209" s="335" t="s">
        <v>31</v>
      </c>
      <c r="D209" s="335">
        <v>2</v>
      </c>
      <c r="E209" s="89">
        <v>169</v>
      </c>
      <c r="F209" s="89">
        <f t="shared" si="8"/>
        <v>338</v>
      </c>
    </row>
    <row r="210" spans="1:6" s="289" customFormat="1" ht="79.8">
      <c r="A210" s="86" t="s">
        <v>1172</v>
      </c>
      <c r="B210" s="293" t="s">
        <v>2417</v>
      </c>
      <c r="C210" s="87" t="s">
        <v>31</v>
      </c>
      <c r="D210" s="334">
        <v>2</v>
      </c>
      <c r="E210" s="69">
        <v>219</v>
      </c>
      <c r="F210" s="89">
        <f t="shared" si="8"/>
        <v>438</v>
      </c>
    </row>
    <row r="211" spans="1:6" s="289" customFormat="1" ht="45.6">
      <c r="A211" s="86" t="s">
        <v>1173</v>
      </c>
      <c r="B211" s="293" t="s">
        <v>2418</v>
      </c>
      <c r="C211" s="87" t="s">
        <v>31</v>
      </c>
      <c r="D211" s="334">
        <v>4</v>
      </c>
      <c r="E211" s="88">
        <v>86</v>
      </c>
      <c r="F211" s="89">
        <f t="shared" si="8"/>
        <v>344</v>
      </c>
    </row>
    <row r="212" spans="1:6" s="289" customFormat="1" ht="136.80000000000001">
      <c r="A212" s="86" t="s">
        <v>1174</v>
      </c>
      <c r="B212" s="333" t="s">
        <v>2419</v>
      </c>
      <c r="C212" s="87" t="s">
        <v>31</v>
      </c>
      <c r="D212" s="334">
        <v>2</v>
      </c>
      <c r="E212" s="88">
        <v>395</v>
      </c>
      <c r="F212" s="89">
        <f t="shared" si="8"/>
        <v>790</v>
      </c>
    </row>
    <row r="213" spans="1:6" s="289" customFormat="1" ht="68.400000000000006">
      <c r="A213" s="86" t="s">
        <v>1175</v>
      </c>
      <c r="B213" s="293" t="s">
        <v>1130</v>
      </c>
      <c r="C213" s="87" t="s">
        <v>31</v>
      </c>
      <c r="D213" s="335">
        <v>2</v>
      </c>
      <c r="E213" s="88">
        <v>874</v>
      </c>
      <c r="F213" s="89">
        <f t="shared" si="8"/>
        <v>1748</v>
      </c>
    </row>
    <row r="214" spans="1:6" s="289" customFormat="1" ht="57">
      <c r="A214" s="86" t="s">
        <v>1176</v>
      </c>
      <c r="B214" s="293" t="s">
        <v>1131</v>
      </c>
      <c r="C214" s="87" t="s">
        <v>31</v>
      </c>
      <c r="D214" s="335">
        <v>2</v>
      </c>
      <c r="E214" s="88">
        <v>529</v>
      </c>
      <c r="F214" s="89">
        <f t="shared" si="8"/>
        <v>1058</v>
      </c>
    </row>
    <row r="215" spans="1:6" s="289" customFormat="1" ht="102.6">
      <c r="A215" s="86" t="s">
        <v>1177</v>
      </c>
      <c r="B215" s="293" t="s">
        <v>1132</v>
      </c>
      <c r="C215" s="87" t="s">
        <v>534</v>
      </c>
      <c r="D215" s="335">
        <v>2</v>
      </c>
      <c r="E215" s="88">
        <v>1250</v>
      </c>
      <c r="F215" s="89">
        <f t="shared" si="8"/>
        <v>2500</v>
      </c>
    </row>
    <row r="216" spans="1:6" s="289" customFormat="1" ht="57">
      <c r="A216" s="86" t="s">
        <v>1178</v>
      </c>
      <c r="B216" s="293" t="s">
        <v>1133</v>
      </c>
      <c r="C216" s="87" t="s">
        <v>31</v>
      </c>
      <c r="D216" s="335">
        <v>2</v>
      </c>
      <c r="E216" s="88">
        <v>316</v>
      </c>
      <c r="F216" s="89">
        <f t="shared" si="8"/>
        <v>632</v>
      </c>
    </row>
    <row r="217" spans="1:6" s="289" customFormat="1" ht="45.6">
      <c r="A217" s="86" t="s">
        <v>1179</v>
      </c>
      <c r="B217" s="293" t="s">
        <v>1134</v>
      </c>
      <c r="C217" s="87" t="s">
        <v>31</v>
      </c>
      <c r="D217" s="335">
        <v>2</v>
      </c>
      <c r="E217" s="88">
        <v>145</v>
      </c>
      <c r="F217" s="89">
        <f t="shared" si="8"/>
        <v>290</v>
      </c>
    </row>
    <row r="218" spans="1:6" s="289" customFormat="1" ht="91.2">
      <c r="A218" s="86" t="s">
        <v>1180</v>
      </c>
      <c r="B218" s="293" t="s">
        <v>1135</v>
      </c>
      <c r="C218" s="87" t="s">
        <v>31</v>
      </c>
      <c r="D218" s="335">
        <v>2</v>
      </c>
      <c r="E218" s="88">
        <v>285</v>
      </c>
      <c r="F218" s="89">
        <f t="shared" si="8"/>
        <v>570</v>
      </c>
    </row>
    <row r="219" spans="1:6" s="289" customFormat="1" ht="108" customHeight="1">
      <c r="A219" s="86" t="s">
        <v>1181</v>
      </c>
      <c r="B219" s="293" t="s">
        <v>2420</v>
      </c>
      <c r="C219" s="87" t="s">
        <v>31</v>
      </c>
      <c r="D219" s="335">
        <v>2</v>
      </c>
      <c r="E219" s="88">
        <v>649</v>
      </c>
      <c r="F219" s="89">
        <f t="shared" si="8"/>
        <v>1298</v>
      </c>
    </row>
    <row r="220" spans="1:6" s="289" customFormat="1" ht="57">
      <c r="A220" s="86" t="s">
        <v>1182</v>
      </c>
      <c r="B220" s="293" t="s">
        <v>1136</v>
      </c>
      <c r="C220" s="87" t="s">
        <v>31</v>
      </c>
      <c r="D220" s="335">
        <v>2</v>
      </c>
      <c r="E220" s="88">
        <v>240</v>
      </c>
      <c r="F220" s="89">
        <f t="shared" si="8"/>
        <v>480</v>
      </c>
    </row>
    <row r="221" spans="1:6" s="289" customFormat="1" ht="57">
      <c r="A221" s="86" t="s">
        <v>1183</v>
      </c>
      <c r="B221" s="293" t="s">
        <v>1137</v>
      </c>
      <c r="C221" s="87" t="s">
        <v>534</v>
      </c>
      <c r="D221" s="335">
        <v>2</v>
      </c>
      <c r="E221" s="88">
        <v>360</v>
      </c>
      <c r="F221" s="89">
        <f t="shared" si="8"/>
        <v>720</v>
      </c>
    </row>
    <row r="222" spans="1:6" s="289" customFormat="1" ht="45.6">
      <c r="A222" s="86" t="s">
        <v>1184</v>
      </c>
      <c r="B222" s="293" t="s">
        <v>1138</v>
      </c>
      <c r="C222" s="87" t="s">
        <v>31</v>
      </c>
      <c r="D222" s="335">
        <v>2</v>
      </c>
      <c r="E222" s="88">
        <v>297</v>
      </c>
      <c r="F222" s="89">
        <f t="shared" si="8"/>
        <v>594</v>
      </c>
    </row>
    <row r="223" spans="1:6" s="289" customFormat="1" ht="91.2">
      <c r="A223" s="86" t="s">
        <v>1185</v>
      </c>
      <c r="B223" s="293" t="s">
        <v>1139</v>
      </c>
      <c r="C223" s="87" t="s">
        <v>534</v>
      </c>
      <c r="D223" s="335">
        <v>2</v>
      </c>
      <c r="E223" s="88">
        <v>560</v>
      </c>
      <c r="F223" s="89">
        <f t="shared" si="8"/>
        <v>1120</v>
      </c>
    </row>
    <row r="224" spans="1:6" s="289" customFormat="1" ht="57">
      <c r="A224" s="86" t="s">
        <v>1186</v>
      </c>
      <c r="B224" s="336" t="s">
        <v>2421</v>
      </c>
      <c r="C224" s="87" t="s">
        <v>534</v>
      </c>
      <c r="D224" s="335">
        <v>2</v>
      </c>
      <c r="E224" s="88">
        <v>259</v>
      </c>
      <c r="F224" s="89">
        <f t="shared" si="8"/>
        <v>518</v>
      </c>
    </row>
    <row r="225" spans="1:6" s="289" customFormat="1" ht="45.6">
      <c r="A225" s="86" t="s">
        <v>1187</v>
      </c>
      <c r="B225" s="293" t="s">
        <v>2422</v>
      </c>
      <c r="C225" s="87" t="s">
        <v>31</v>
      </c>
      <c r="D225" s="335">
        <v>2</v>
      </c>
      <c r="E225" s="88">
        <v>292</v>
      </c>
      <c r="F225" s="89">
        <f t="shared" si="8"/>
        <v>584</v>
      </c>
    </row>
    <row r="226" spans="1:6" s="289" customFormat="1" ht="45.6">
      <c r="A226" s="86" t="s">
        <v>1188</v>
      </c>
      <c r="B226" s="293" t="s">
        <v>2423</v>
      </c>
      <c r="C226" s="87" t="s">
        <v>31</v>
      </c>
      <c r="D226" s="335">
        <v>2</v>
      </c>
      <c r="E226" s="88">
        <v>350</v>
      </c>
      <c r="F226" s="89">
        <f t="shared" si="8"/>
        <v>700</v>
      </c>
    </row>
    <row r="227" spans="1:6" s="289" customFormat="1" ht="34.200000000000003">
      <c r="A227" s="86" t="s">
        <v>1189</v>
      </c>
      <c r="B227" s="293" t="s">
        <v>2424</v>
      </c>
      <c r="C227" s="87" t="s">
        <v>31</v>
      </c>
      <c r="D227" s="335">
        <v>2</v>
      </c>
      <c r="E227" s="88">
        <v>269</v>
      </c>
      <c r="F227" s="89">
        <f t="shared" si="8"/>
        <v>538</v>
      </c>
    </row>
    <row r="228" spans="1:6" s="289" customFormat="1" ht="45.6">
      <c r="A228" s="86" t="s">
        <v>1190</v>
      </c>
      <c r="B228" s="293" t="s">
        <v>1140</v>
      </c>
      <c r="C228" s="87" t="s">
        <v>31</v>
      </c>
      <c r="D228" s="335">
        <v>2</v>
      </c>
      <c r="E228" s="88">
        <v>350</v>
      </c>
      <c r="F228" s="89">
        <f t="shared" si="8"/>
        <v>700</v>
      </c>
    </row>
    <row r="229" spans="1:6" s="289" customFormat="1" ht="22.8">
      <c r="A229" s="86" t="s">
        <v>1191</v>
      </c>
      <c r="B229" s="293" t="s">
        <v>1141</v>
      </c>
      <c r="C229" s="87" t="s">
        <v>31</v>
      </c>
      <c r="D229" s="335">
        <v>4</v>
      </c>
      <c r="E229" s="88">
        <v>65</v>
      </c>
      <c r="F229" s="89">
        <f t="shared" si="8"/>
        <v>260</v>
      </c>
    </row>
    <row r="230" spans="1:6" s="289" customFormat="1" ht="57">
      <c r="A230" s="86" t="s">
        <v>1192</v>
      </c>
      <c r="B230" s="293" t="s">
        <v>2441</v>
      </c>
      <c r="C230" s="87" t="s">
        <v>31</v>
      </c>
      <c r="D230" s="90">
        <v>2</v>
      </c>
      <c r="E230" s="88">
        <v>135</v>
      </c>
      <c r="F230" s="89">
        <f t="shared" si="8"/>
        <v>270</v>
      </c>
    </row>
    <row r="231" spans="1:6" s="289" customFormat="1" ht="57">
      <c r="A231" s="86" t="s">
        <v>1193</v>
      </c>
      <c r="B231" s="293" t="s">
        <v>2442</v>
      </c>
      <c r="C231" s="87" t="s">
        <v>31</v>
      </c>
      <c r="D231" s="90">
        <v>2</v>
      </c>
      <c r="E231" s="88">
        <v>120</v>
      </c>
      <c r="F231" s="89">
        <f t="shared" si="8"/>
        <v>240</v>
      </c>
    </row>
    <row r="232" spans="1:6" s="289" customFormat="1" ht="57">
      <c r="A232" s="86" t="s">
        <v>1194</v>
      </c>
      <c r="B232" s="293" t="s">
        <v>2443</v>
      </c>
      <c r="C232" s="87" t="s">
        <v>31</v>
      </c>
      <c r="D232" s="90">
        <v>2</v>
      </c>
      <c r="E232" s="88">
        <v>214</v>
      </c>
      <c r="F232" s="89">
        <f t="shared" si="8"/>
        <v>428</v>
      </c>
    </row>
    <row r="233" spans="1:6" s="289" customFormat="1" ht="12">
      <c r="A233" s="82" t="s">
        <v>582</v>
      </c>
      <c r="B233" s="332" t="s">
        <v>1142</v>
      </c>
      <c r="C233" s="83"/>
      <c r="D233" s="84"/>
      <c r="E233" s="85"/>
      <c r="F233" s="92">
        <f>SUM(F188:F232)</f>
        <v>26874.400000000001</v>
      </c>
    </row>
    <row r="234" spans="1:6" s="289" customFormat="1">
      <c r="A234" s="86"/>
      <c r="B234" s="337"/>
      <c r="C234" s="90"/>
      <c r="D234" s="338"/>
      <c r="E234" s="339"/>
      <c r="F234" s="89"/>
    </row>
    <row r="235" spans="1:6" s="289" customFormat="1" ht="12">
      <c r="A235" s="82" t="s">
        <v>581</v>
      </c>
      <c r="B235" s="332" t="s">
        <v>1143</v>
      </c>
      <c r="C235" s="83"/>
      <c r="D235" s="84"/>
      <c r="E235" s="85"/>
      <c r="F235" s="85"/>
    </row>
    <row r="236" spans="1:6" s="289" customFormat="1" ht="125.4">
      <c r="A236" s="86" t="s">
        <v>545</v>
      </c>
      <c r="B236" s="293" t="s">
        <v>2425</v>
      </c>
      <c r="C236" s="340" t="s">
        <v>31</v>
      </c>
      <c r="D236" s="334">
        <v>2</v>
      </c>
      <c r="E236" s="88">
        <v>959</v>
      </c>
      <c r="F236" s="89">
        <f t="shared" si="8"/>
        <v>1918</v>
      </c>
    </row>
    <row r="237" spans="1:6" s="289" customFormat="1">
      <c r="A237" s="86" t="s">
        <v>546</v>
      </c>
      <c r="B237" s="333" t="s">
        <v>1144</v>
      </c>
      <c r="C237" s="87" t="s">
        <v>31</v>
      </c>
      <c r="D237" s="334">
        <v>2</v>
      </c>
      <c r="E237" s="88">
        <v>87</v>
      </c>
      <c r="F237" s="89">
        <f t="shared" si="8"/>
        <v>174</v>
      </c>
    </row>
    <row r="238" spans="1:6" s="289" customFormat="1" ht="12">
      <c r="A238" s="82" t="s">
        <v>581</v>
      </c>
      <c r="B238" s="332" t="s">
        <v>1145</v>
      </c>
      <c r="C238" s="83"/>
      <c r="D238" s="84"/>
      <c r="E238" s="85"/>
      <c r="F238" s="92">
        <f>SUM(F236:F237)</f>
        <v>2092</v>
      </c>
    </row>
    <row r="239" spans="1:6" s="289" customFormat="1">
      <c r="A239" s="86"/>
      <c r="B239" s="337"/>
      <c r="C239" s="90"/>
      <c r="D239" s="338"/>
      <c r="E239" s="339"/>
      <c r="F239" s="89"/>
    </row>
    <row r="240" spans="1:6" s="289" customFormat="1" ht="12">
      <c r="A240" s="82" t="s">
        <v>583</v>
      </c>
      <c r="B240" s="332" t="s">
        <v>1146</v>
      </c>
      <c r="C240" s="83"/>
      <c r="D240" s="84"/>
      <c r="E240" s="85"/>
      <c r="F240" s="85"/>
    </row>
    <row r="241" spans="1:8" s="289" customFormat="1" ht="125.4">
      <c r="A241" s="86" t="s">
        <v>548</v>
      </c>
      <c r="B241" s="293" t="s">
        <v>2426</v>
      </c>
      <c r="C241" s="87" t="s">
        <v>31</v>
      </c>
      <c r="D241" s="334">
        <v>8</v>
      </c>
      <c r="E241" s="88">
        <v>224</v>
      </c>
      <c r="F241" s="89">
        <f t="shared" si="8"/>
        <v>1792</v>
      </c>
    </row>
    <row r="242" spans="1:8" s="289" customFormat="1" ht="45.6">
      <c r="A242" s="86" t="s">
        <v>549</v>
      </c>
      <c r="B242" s="333" t="s">
        <v>2427</v>
      </c>
      <c r="C242" s="87" t="s">
        <v>31</v>
      </c>
      <c r="D242" s="334">
        <v>4</v>
      </c>
      <c r="E242" s="88">
        <v>162</v>
      </c>
      <c r="F242" s="89">
        <f t="shared" si="8"/>
        <v>648</v>
      </c>
    </row>
    <row r="243" spans="1:8" s="289" customFormat="1" ht="22.8">
      <c r="A243" s="86" t="s">
        <v>550</v>
      </c>
      <c r="B243" s="333" t="s">
        <v>1147</v>
      </c>
      <c r="C243" s="87" t="s">
        <v>31</v>
      </c>
      <c r="D243" s="334">
        <v>4</v>
      </c>
      <c r="E243" s="88">
        <v>105</v>
      </c>
      <c r="F243" s="89">
        <f t="shared" si="8"/>
        <v>420</v>
      </c>
    </row>
    <row r="244" spans="1:8" s="289" customFormat="1" ht="12">
      <c r="A244" s="82" t="s">
        <v>583</v>
      </c>
      <c r="B244" s="332" t="s">
        <v>1148</v>
      </c>
      <c r="C244" s="83"/>
      <c r="D244" s="84"/>
      <c r="E244" s="85"/>
      <c r="F244" s="92">
        <f>SUM(F241:F243)</f>
        <v>2860</v>
      </c>
    </row>
    <row r="245" spans="1:8">
      <c r="A245" s="66"/>
      <c r="B245" s="134"/>
      <c r="C245" s="67"/>
      <c r="D245" s="76"/>
      <c r="E245" s="61"/>
      <c r="F245" s="70"/>
    </row>
    <row r="246" spans="1:8" ht="12">
      <c r="A246" s="62" t="s">
        <v>11</v>
      </c>
      <c r="B246" s="126" t="s">
        <v>586</v>
      </c>
      <c r="C246" s="63"/>
      <c r="D246" s="64"/>
      <c r="E246" s="65"/>
      <c r="F246" s="72">
        <f>F126+F133+F175+F181+F185+F233+F238+F244</f>
        <v>75762.399999999994</v>
      </c>
    </row>
    <row r="247" spans="1:8" ht="12">
      <c r="A247" s="48"/>
      <c r="B247" s="125"/>
      <c r="C247" s="49"/>
      <c r="D247" s="50"/>
      <c r="E247" s="51"/>
      <c r="F247" s="52"/>
    </row>
    <row r="248" spans="1:8" ht="12">
      <c r="A248" s="62" t="s">
        <v>12</v>
      </c>
      <c r="B248" s="126" t="s">
        <v>587</v>
      </c>
      <c r="C248" s="63"/>
      <c r="D248" s="64"/>
      <c r="E248" s="65"/>
      <c r="F248" s="72"/>
    </row>
    <row r="249" spans="1:8" ht="12">
      <c r="A249" s="48"/>
      <c r="B249" s="125"/>
      <c r="C249" s="49"/>
      <c r="D249" s="50"/>
      <c r="E249" s="51"/>
      <c r="F249" s="52"/>
    </row>
    <row r="250" spans="1:8" ht="12">
      <c r="A250" s="62" t="s">
        <v>588</v>
      </c>
      <c r="B250" s="126" t="s">
        <v>442</v>
      </c>
      <c r="C250" s="63"/>
      <c r="D250" s="64"/>
      <c r="E250" s="65"/>
      <c r="F250" s="65"/>
    </row>
    <row r="251" spans="1:8" ht="364.8">
      <c r="A251" s="66" t="s">
        <v>589</v>
      </c>
      <c r="B251" s="118" t="s">
        <v>443</v>
      </c>
      <c r="C251" s="67" t="s">
        <v>31</v>
      </c>
      <c r="D251" s="67">
        <v>2</v>
      </c>
      <c r="E251" s="96">
        <v>2000</v>
      </c>
      <c r="F251" s="70">
        <f t="shared" si="2"/>
        <v>4000</v>
      </c>
      <c r="H251" s="96"/>
    </row>
    <row r="252" spans="1:8" ht="228">
      <c r="A252" s="66" t="s">
        <v>590</v>
      </c>
      <c r="B252" s="118" t="s">
        <v>444</v>
      </c>
      <c r="C252" s="67" t="s">
        <v>31</v>
      </c>
      <c r="D252" s="67">
        <v>2</v>
      </c>
      <c r="E252" s="96">
        <v>2000</v>
      </c>
      <c r="F252" s="70">
        <f t="shared" si="2"/>
        <v>4000</v>
      </c>
      <c r="H252" s="96"/>
    </row>
    <row r="253" spans="1:8" ht="34.200000000000003">
      <c r="A253" s="66" t="s">
        <v>591</v>
      </c>
      <c r="B253" s="118" t="s">
        <v>445</v>
      </c>
      <c r="C253" s="67" t="s">
        <v>31</v>
      </c>
      <c r="D253" s="67">
        <v>3</v>
      </c>
      <c r="E253" s="96">
        <v>500</v>
      </c>
      <c r="F253" s="70">
        <f t="shared" si="2"/>
        <v>1500</v>
      </c>
      <c r="H253" s="96"/>
    </row>
    <row r="254" spans="1:8" ht="12">
      <c r="A254" s="62" t="s">
        <v>592</v>
      </c>
      <c r="B254" s="126" t="s">
        <v>446</v>
      </c>
      <c r="C254" s="63"/>
      <c r="D254" s="64"/>
      <c r="E254" s="65"/>
      <c r="F254" s="72">
        <f>SUM(F251:F253)</f>
        <v>9500</v>
      </c>
    </row>
    <row r="255" spans="1:8" ht="12">
      <c r="A255" s="48"/>
      <c r="B255" s="125"/>
      <c r="C255" s="49"/>
      <c r="D255" s="50"/>
      <c r="E255" s="51"/>
      <c r="F255" s="52"/>
    </row>
    <row r="256" spans="1:8" ht="12">
      <c r="A256" s="62" t="s">
        <v>593</v>
      </c>
      <c r="B256" s="126" t="s">
        <v>447</v>
      </c>
      <c r="C256" s="63"/>
      <c r="D256" s="64"/>
      <c r="E256" s="65"/>
      <c r="F256" s="65"/>
    </row>
    <row r="257" spans="1:6" ht="12">
      <c r="A257" s="48"/>
      <c r="B257" s="125"/>
      <c r="C257" s="49"/>
      <c r="D257" s="50"/>
      <c r="E257" s="51"/>
      <c r="F257" s="52"/>
    </row>
    <row r="258" spans="1:6" ht="12">
      <c r="A258" s="97"/>
      <c r="B258" s="98" t="s">
        <v>448</v>
      </c>
      <c r="C258" s="49"/>
      <c r="D258" s="50"/>
      <c r="E258" s="51"/>
      <c r="F258" s="52"/>
    </row>
    <row r="259" spans="1:6" ht="12">
      <c r="A259" s="48"/>
      <c r="B259" s="125"/>
      <c r="C259" s="49"/>
      <c r="D259" s="50"/>
      <c r="E259" s="51"/>
      <c r="F259" s="52"/>
    </row>
    <row r="260" spans="1:6" ht="12">
      <c r="A260" s="48"/>
      <c r="B260" s="116" t="s">
        <v>449</v>
      </c>
      <c r="C260" s="49"/>
      <c r="D260" s="50"/>
      <c r="E260" s="51"/>
      <c r="F260" s="52"/>
    </row>
    <row r="261" spans="1:6" ht="12">
      <c r="A261" s="48"/>
      <c r="B261" s="125"/>
      <c r="C261" s="49"/>
      <c r="D261" s="50"/>
      <c r="E261" s="51"/>
      <c r="F261" s="52"/>
    </row>
    <row r="262" spans="1:6" s="100" customFormat="1" ht="12">
      <c r="A262" s="99" t="s">
        <v>450</v>
      </c>
      <c r="B262" s="1136" t="s">
        <v>451</v>
      </c>
      <c r="C262" s="1136"/>
      <c r="D262" s="1136"/>
      <c r="E262" s="1136"/>
      <c r="F262" s="1136"/>
    </row>
    <row r="263" spans="1:6" ht="12">
      <c r="A263" s="101" t="s">
        <v>452</v>
      </c>
      <c r="B263" s="1137" t="s">
        <v>453</v>
      </c>
      <c r="C263" s="1137"/>
      <c r="D263" s="1137"/>
      <c r="E263" s="1137"/>
      <c r="F263" s="1137"/>
    </row>
    <row r="264" spans="1:6" ht="12">
      <c r="A264" s="101" t="s">
        <v>454</v>
      </c>
      <c r="B264" s="1137" t="s">
        <v>455</v>
      </c>
      <c r="C264" s="1137"/>
      <c r="D264" s="1137"/>
      <c r="E264" s="1137"/>
      <c r="F264" s="1137"/>
    </row>
    <row r="265" spans="1:6" ht="12">
      <c r="A265" s="101" t="s">
        <v>456</v>
      </c>
      <c r="B265" s="1137" t="s">
        <v>457</v>
      </c>
      <c r="C265" s="1137"/>
      <c r="D265" s="1137"/>
      <c r="E265" s="1137"/>
      <c r="F265" s="1137"/>
    </row>
    <row r="266" spans="1:6" ht="12">
      <c r="A266" s="101" t="s">
        <v>458</v>
      </c>
      <c r="B266" s="1137" t="s">
        <v>459</v>
      </c>
      <c r="C266" s="1137"/>
      <c r="D266" s="1137"/>
      <c r="E266" s="1137"/>
      <c r="F266" s="1137"/>
    </row>
    <row r="267" spans="1:6" ht="12">
      <c r="A267" s="101" t="s">
        <v>460</v>
      </c>
      <c r="B267" s="1137" t="s">
        <v>461</v>
      </c>
      <c r="C267" s="1137"/>
      <c r="D267" s="1137"/>
      <c r="E267" s="1137"/>
      <c r="F267" s="1137"/>
    </row>
    <row r="268" spans="1:6" ht="12">
      <c r="A268" s="101" t="s">
        <v>462</v>
      </c>
      <c r="B268" s="1137" t="s">
        <v>463</v>
      </c>
      <c r="C268" s="1137"/>
      <c r="D268" s="1137"/>
      <c r="E268" s="1137"/>
      <c r="F268" s="1137"/>
    </row>
    <row r="269" spans="1:6" ht="12">
      <c r="A269" s="101" t="s">
        <v>464</v>
      </c>
      <c r="B269" s="1135" t="s">
        <v>465</v>
      </c>
      <c r="C269" s="1135"/>
      <c r="D269" s="1135"/>
      <c r="E269" s="1135"/>
      <c r="F269" s="1135"/>
    </row>
    <row r="270" spans="1:6" ht="12">
      <c r="A270" s="101" t="s">
        <v>466</v>
      </c>
      <c r="B270" s="1135" t="s">
        <v>467</v>
      </c>
      <c r="C270" s="1135"/>
      <c r="D270" s="1135"/>
      <c r="E270" s="1135"/>
      <c r="F270" s="1135"/>
    </row>
    <row r="271" spans="1:6" ht="12">
      <c r="A271" s="101" t="s">
        <v>468</v>
      </c>
      <c r="B271" s="1136" t="s">
        <v>469</v>
      </c>
      <c r="C271" s="1136"/>
      <c r="D271" s="1136"/>
      <c r="E271" s="1136"/>
      <c r="F271" s="1136"/>
    </row>
    <row r="272" spans="1:6" ht="12">
      <c r="A272" s="101" t="s">
        <v>470</v>
      </c>
      <c r="B272" s="1136" t="s">
        <v>471</v>
      </c>
      <c r="C272" s="1136"/>
      <c r="D272" s="1136"/>
      <c r="E272" s="1136"/>
      <c r="F272" s="1136"/>
    </row>
    <row r="273" spans="1:6" ht="12">
      <c r="A273" s="101" t="s">
        <v>472</v>
      </c>
      <c r="B273" s="1136" t="s">
        <v>473</v>
      </c>
      <c r="C273" s="1135"/>
      <c r="D273" s="1135"/>
      <c r="E273" s="1135"/>
      <c r="F273" s="1135"/>
    </row>
    <row r="274" spans="1:6" ht="12">
      <c r="A274" s="101" t="s">
        <v>474</v>
      </c>
      <c r="B274" s="1136" t="s">
        <v>475</v>
      </c>
      <c r="C274" s="1136"/>
      <c r="D274" s="1136"/>
      <c r="E274" s="1136"/>
      <c r="F274" s="1136"/>
    </row>
    <row r="275" spans="1:6" ht="12">
      <c r="A275" s="101" t="s">
        <v>476</v>
      </c>
      <c r="B275" s="1136" t="s">
        <v>477</v>
      </c>
      <c r="C275" s="1136"/>
      <c r="D275" s="1136"/>
      <c r="E275" s="1136"/>
      <c r="F275" s="1136"/>
    </row>
    <row r="276" spans="1:6" ht="12">
      <c r="A276" s="101" t="s">
        <v>478</v>
      </c>
      <c r="B276" s="1136" t="s">
        <v>479</v>
      </c>
      <c r="C276" s="1136"/>
      <c r="D276" s="1136"/>
      <c r="E276" s="1136"/>
      <c r="F276" s="1136"/>
    </row>
    <row r="277" spans="1:6" ht="12">
      <c r="A277" s="101" t="s">
        <v>480</v>
      </c>
      <c r="B277" s="1136" t="s">
        <v>481</v>
      </c>
      <c r="C277" s="1136"/>
      <c r="D277" s="1136"/>
      <c r="E277" s="1136"/>
      <c r="F277" s="1136"/>
    </row>
    <row r="278" spans="1:6" ht="12">
      <c r="A278" s="101" t="s">
        <v>482</v>
      </c>
      <c r="B278" s="1136" t="s">
        <v>483</v>
      </c>
      <c r="C278" s="1136"/>
      <c r="D278" s="1136"/>
      <c r="E278" s="1136"/>
      <c r="F278" s="1136"/>
    </row>
    <row r="279" spans="1:6" ht="12">
      <c r="A279" s="101" t="s">
        <v>484</v>
      </c>
      <c r="B279" s="1136" t="s">
        <v>485</v>
      </c>
      <c r="C279" s="1136"/>
      <c r="D279" s="1136"/>
      <c r="E279" s="1136"/>
      <c r="F279" s="1136"/>
    </row>
    <row r="280" spans="1:6" ht="12">
      <c r="A280" s="101" t="s">
        <v>486</v>
      </c>
      <c r="B280" s="1135" t="s">
        <v>487</v>
      </c>
      <c r="C280" s="1135"/>
      <c r="D280" s="1135"/>
      <c r="E280" s="1135"/>
      <c r="F280" s="1135"/>
    </row>
    <row r="281" spans="1:6" ht="12">
      <c r="A281" s="101" t="s">
        <v>488</v>
      </c>
      <c r="B281" s="1135" t="s">
        <v>489</v>
      </c>
      <c r="C281" s="1135"/>
      <c r="D281" s="1135"/>
      <c r="E281" s="1135"/>
      <c r="F281" s="1135"/>
    </row>
    <row r="282" spans="1:6" ht="12">
      <c r="A282" s="101"/>
      <c r="B282" s="114"/>
      <c r="C282" s="114"/>
      <c r="D282" s="114"/>
      <c r="E282" s="114"/>
      <c r="F282" s="114"/>
    </row>
    <row r="283" spans="1:6" ht="12">
      <c r="A283" s="101"/>
      <c r="B283" s="114" t="s">
        <v>490</v>
      </c>
      <c r="C283" s="114"/>
      <c r="D283" s="114"/>
      <c r="E283" s="114"/>
      <c r="F283" s="114"/>
    </row>
    <row r="284" spans="1:6" ht="12">
      <c r="A284" s="101"/>
      <c r="B284" s="114" t="s">
        <v>491</v>
      </c>
      <c r="C284" s="114"/>
      <c r="D284" s="114"/>
      <c r="E284" s="114"/>
      <c r="F284" s="114"/>
    </row>
    <row r="285" spans="1:6" ht="12">
      <c r="A285" s="101"/>
      <c r="B285" s="114" t="s">
        <v>492</v>
      </c>
      <c r="C285" s="114"/>
      <c r="D285" s="114"/>
      <c r="E285" s="114"/>
      <c r="F285" s="114"/>
    </row>
    <row r="286" spans="1:6" ht="12">
      <c r="A286" s="101"/>
      <c r="B286" s="114" t="s">
        <v>493</v>
      </c>
      <c r="C286" s="114"/>
      <c r="D286" s="114"/>
      <c r="E286" s="114"/>
      <c r="F286" s="114"/>
    </row>
    <row r="287" spans="1:6" ht="12">
      <c r="A287" s="48"/>
      <c r="B287" s="125"/>
      <c r="C287" s="49"/>
      <c r="D287" s="50"/>
      <c r="E287" s="51"/>
      <c r="F287" s="52"/>
    </row>
    <row r="288" spans="1:6" ht="12">
      <c r="A288" s="62"/>
      <c r="B288" s="126" t="s">
        <v>494</v>
      </c>
      <c r="C288" s="63"/>
      <c r="D288" s="64"/>
      <c r="E288" s="65"/>
      <c r="F288" s="65"/>
    </row>
    <row r="289" spans="1:8" ht="12">
      <c r="A289" s="48"/>
      <c r="B289" s="125"/>
      <c r="C289" s="49"/>
      <c r="D289" s="50"/>
      <c r="E289" s="51"/>
      <c r="F289" s="51"/>
    </row>
    <row r="290" spans="1:8" ht="34.200000000000003">
      <c r="A290" s="66" t="s">
        <v>594</v>
      </c>
      <c r="B290" s="115" t="s">
        <v>2461</v>
      </c>
      <c r="C290" s="71" t="s">
        <v>31</v>
      </c>
      <c r="D290" s="102">
        <v>1</v>
      </c>
      <c r="E290" s="69">
        <v>150</v>
      </c>
      <c r="F290" s="70">
        <f t="shared" ref="F290:F291" si="9">IF(D290="","",D290*E290)</f>
        <v>150</v>
      </c>
      <c r="G290" s="69"/>
      <c r="H290" s="69"/>
    </row>
    <row r="291" spans="1:8" ht="34.200000000000003">
      <c r="A291" s="66" t="s">
        <v>595</v>
      </c>
      <c r="B291" s="115" t="s">
        <v>495</v>
      </c>
      <c r="C291" s="71" t="s">
        <v>31</v>
      </c>
      <c r="D291" s="102">
        <v>1</v>
      </c>
      <c r="E291" s="69">
        <v>200</v>
      </c>
      <c r="F291" s="70">
        <f t="shared" si="9"/>
        <v>200</v>
      </c>
      <c r="G291" s="69"/>
      <c r="H291" s="69"/>
    </row>
    <row r="292" spans="1:8" ht="12">
      <c r="A292" s="48"/>
      <c r="B292" s="125"/>
      <c r="C292" s="49"/>
      <c r="D292" s="50"/>
      <c r="E292" s="51"/>
      <c r="F292" s="52"/>
      <c r="G292" s="51"/>
      <c r="H292" s="51"/>
    </row>
    <row r="293" spans="1:8" ht="12">
      <c r="A293" s="62"/>
      <c r="B293" s="126" t="s">
        <v>1196</v>
      </c>
      <c r="C293" s="63"/>
      <c r="D293" s="64"/>
      <c r="E293" s="65"/>
      <c r="F293" s="65"/>
      <c r="G293" s="51"/>
      <c r="H293" s="51"/>
    </row>
    <row r="294" spans="1:8" ht="12">
      <c r="A294" s="48"/>
      <c r="B294" s="125"/>
      <c r="C294" s="49"/>
      <c r="D294" s="50"/>
      <c r="E294" s="51"/>
      <c r="F294" s="51"/>
      <c r="G294" s="51"/>
      <c r="H294" s="51"/>
    </row>
    <row r="295" spans="1:8" ht="68.400000000000006">
      <c r="A295" s="66" t="s">
        <v>596</v>
      </c>
      <c r="B295" s="115" t="s">
        <v>1197</v>
      </c>
      <c r="C295" s="71" t="s">
        <v>31</v>
      </c>
      <c r="D295" s="102">
        <v>1</v>
      </c>
      <c r="E295" s="69">
        <v>300</v>
      </c>
      <c r="F295" s="70">
        <f t="shared" ref="F295:F296" si="10">IF(D295="","",D295*E295)</f>
        <v>300</v>
      </c>
      <c r="G295" s="69"/>
      <c r="H295" s="69"/>
    </row>
    <row r="296" spans="1:8" ht="45.6">
      <c r="A296" s="66" t="s">
        <v>597</v>
      </c>
      <c r="B296" s="115" t="s">
        <v>1198</v>
      </c>
      <c r="C296" s="71" t="s">
        <v>31</v>
      </c>
      <c r="D296" s="102">
        <v>1</v>
      </c>
      <c r="E296" s="69">
        <v>200</v>
      </c>
      <c r="F296" s="70">
        <f t="shared" si="10"/>
        <v>200</v>
      </c>
      <c r="G296" s="69"/>
      <c r="H296" s="69"/>
    </row>
    <row r="297" spans="1:8">
      <c r="A297" s="66"/>
      <c r="B297" s="115"/>
      <c r="C297" s="71"/>
      <c r="D297" s="102"/>
      <c r="E297" s="69"/>
      <c r="F297" s="70"/>
      <c r="G297" s="69"/>
      <c r="H297" s="69"/>
    </row>
    <row r="298" spans="1:8" ht="12">
      <c r="A298" s="62"/>
      <c r="B298" s="126" t="s">
        <v>786</v>
      </c>
      <c r="C298" s="63"/>
      <c r="D298" s="64"/>
      <c r="E298" s="65"/>
      <c r="F298" s="65"/>
      <c r="G298" s="51"/>
      <c r="H298" s="51"/>
    </row>
    <row r="299" spans="1:8">
      <c r="A299" s="66"/>
      <c r="B299" s="115"/>
      <c r="C299" s="71"/>
      <c r="D299" s="102"/>
      <c r="E299" s="69"/>
      <c r="F299" s="70"/>
      <c r="G299" s="69"/>
      <c r="H299" s="69"/>
    </row>
    <row r="300" spans="1:8" ht="34.200000000000003">
      <c r="A300" s="66" t="s">
        <v>598</v>
      </c>
      <c r="B300" s="115" t="s">
        <v>1199</v>
      </c>
      <c r="C300" s="71" t="s">
        <v>31</v>
      </c>
      <c r="D300" s="102">
        <v>1</v>
      </c>
      <c r="E300" s="69">
        <v>500</v>
      </c>
      <c r="F300" s="70">
        <f t="shared" ref="F300" si="11">IF(D300="","",D300*E300)</f>
        <v>500</v>
      </c>
      <c r="G300" s="69"/>
      <c r="H300" s="69"/>
    </row>
    <row r="301" spans="1:8" ht="34.200000000000003">
      <c r="A301" s="66" t="s">
        <v>599</v>
      </c>
      <c r="B301" s="115" t="s">
        <v>1200</v>
      </c>
      <c r="C301" s="71" t="s">
        <v>31</v>
      </c>
      <c r="D301" s="102">
        <v>1</v>
      </c>
      <c r="E301" s="69">
        <v>450</v>
      </c>
      <c r="F301" s="70">
        <f t="shared" ref="F301" si="12">IF(D301="","",D301*E301)</f>
        <v>450</v>
      </c>
      <c r="G301" s="69"/>
      <c r="H301" s="69"/>
    </row>
    <row r="302" spans="1:8" ht="159.6">
      <c r="A302" s="66" t="s">
        <v>600</v>
      </c>
      <c r="B302" s="115" t="s">
        <v>1201</v>
      </c>
      <c r="C302" s="71" t="s">
        <v>31</v>
      </c>
      <c r="D302" s="102">
        <v>1</v>
      </c>
      <c r="E302" s="69">
        <v>1800</v>
      </c>
      <c r="F302" s="70">
        <f t="shared" ref="F302:F303" si="13">IF(D302="","",D302*E302)</f>
        <v>1800</v>
      </c>
      <c r="G302" s="69"/>
      <c r="H302" s="69"/>
    </row>
    <row r="303" spans="1:8" ht="159.6">
      <c r="A303" s="66" t="s">
        <v>601</v>
      </c>
      <c r="B303" s="115" t="s">
        <v>1233</v>
      </c>
      <c r="C303" s="71" t="s">
        <v>31</v>
      </c>
      <c r="D303" s="102">
        <v>1</v>
      </c>
      <c r="E303" s="69">
        <v>1400</v>
      </c>
      <c r="F303" s="70">
        <f t="shared" si="13"/>
        <v>1400</v>
      </c>
      <c r="G303" s="69"/>
      <c r="H303" s="69"/>
    </row>
    <row r="304" spans="1:8">
      <c r="A304" s="66"/>
      <c r="B304" s="115"/>
      <c r="C304" s="71"/>
      <c r="D304" s="102"/>
      <c r="E304" s="69"/>
      <c r="F304" s="70"/>
      <c r="G304" s="69"/>
      <c r="H304" s="69"/>
    </row>
    <row r="305" spans="1:8" ht="24">
      <c r="A305" s="62"/>
      <c r="B305" s="126" t="s">
        <v>1202</v>
      </c>
      <c r="C305" s="63"/>
      <c r="D305" s="64"/>
      <c r="E305" s="65"/>
      <c r="F305" s="65"/>
      <c r="G305" s="51"/>
      <c r="H305" s="51"/>
    </row>
    <row r="306" spans="1:8">
      <c r="A306" s="66"/>
      <c r="B306" s="115"/>
      <c r="C306" s="71"/>
      <c r="D306" s="102"/>
      <c r="E306" s="69"/>
      <c r="F306" s="70"/>
      <c r="G306" s="69"/>
      <c r="H306" s="69"/>
    </row>
    <row r="307" spans="1:8" ht="45.6">
      <c r="A307" s="66" t="s">
        <v>602</v>
      </c>
      <c r="B307" s="115" t="s">
        <v>1203</v>
      </c>
      <c r="C307" s="71" t="s">
        <v>31</v>
      </c>
      <c r="D307" s="102">
        <v>1</v>
      </c>
      <c r="E307" s="69">
        <v>550</v>
      </c>
      <c r="F307" s="70">
        <f t="shared" ref="F307:F317" si="14">IF(D307="","",D307*E307)</f>
        <v>550</v>
      </c>
      <c r="G307" s="69"/>
      <c r="H307" s="69"/>
    </row>
    <row r="308" spans="1:8" ht="34.200000000000003">
      <c r="A308" s="66" t="s">
        <v>603</v>
      </c>
      <c r="B308" s="115" t="s">
        <v>1204</v>
      </c>
      <c r="C308" s="71" t="s">
        <v>31</v>
      </c>
      <c r="D308" s="102">
        <v>1</v>
      </c>
      <c r="E308" s="69">
        <v>300</v>
      </c>
      <c r="F308" s="70">
        <f t="shared" si="14"/>
        <v>300</v>
      </c>
      <c r="G308" s="69"/>
      <c r="H308" s="69"/>
    </row>
    <row r="309" spans="1:8" ht="57">
      <c r="A309" s="66" t="s">
        <v>604</v>
      </c>
      <c r="B309" s="115" t="s">
        <v>1205</v>
      </c>
      <c r="C309" s="71" t="s">
        <v>31</v>
      </c>
      <c r="D309" s="102">
        <v>1</v>
      </c>
      <c r="E309" s="69">
        <v>800</v>
      </c>
      <c r="F309" s="70">
        <f t="shared" si="14"/>
        <v>800</v>
      </c>
      <c r="G309" s="69"/>
      <c r="H309" s="69"/>
    </row>
    <row r="310" spans="1:8" ht="22.8">
      <c r="A310" s="66" t="s">
        <v>605</v>
      </c>
      <c r="B310" s="115" t="s">
        <v>1206</v>
      </c>
      <c r="C310" s="71" t="s">
        <v>31</v>
      </c>
      <c r="D310" s="102">
        <v>1</v>
      </c>
      <c r="E310" s="69">
        <v>20</v>
      </c>
      <c r="F310" s="70">
        <f t="shared" si="14"/>
        <v>20</v>
      </c>
      <c r="G310" s="69"/>
      <c r="H310" s="69"/>
    </row>
    <row r="311" spans="1:8" ht="22.8">
      <c r="A311" s="66" t="s">
        <v>606</v>
      </c>
      <c r="B311" s="115" t="s">
        <v>1207</v>
      </c>
      <c r="C311" s="71" t="s">
        <v>31</v>
      </c>
      <c r="D311" s="102">
        <v>1</v>
      </c>
      <c r="E311" s="69">
        <v>300</v>
      </c>
      <c r="F311" s="70">
        <f t="shared" si="14"/>
        <v>300</v>
      </c>
      <c r="G311" s="69"/>
      <c r="H311" s="69"/>
    </row>
    <row r="312" spans="1:8">
      <c r="A312" s="66"/>
      <c r="B312" s="115"/>
      <c r="C312" s="71"/>
      <c r="D312" s="102"/>
      <c r="E312" s="69"/>
      <c r="F312" s="70"/>
      <c r="G312" s="69"/>
      <c r="H312" s="69"/>
    </row>
    <row r="313" spans="1:8" ht="12">
      <c r="A313" s="62"/>
      <c r="B313" s="126" t="s">
        <v>787</v>
      </c>
      <c r="C313" s="63"/>
      <c r="D313" s="64"/>
      <c r="E313" s="65"/>
      <c r="F313" s="65"/>
      <c r="G313" s="51"/>
      <c r="H313" s="51"/>
    </row>
    <row r="314" spans="1:8">
      <c r="A314" s="66"/>
      <c r="B314" s="115"/>
      <c r="C314" s="71"/>
      <c r="D314" s="102"/>
      <c r="E314" s="69"/>
      <c r="F314" s="70"/>
      <c r="G314" s="69"/>
      <c r="H314" s="69"/>
    </row>
    <row r="315" spans="1:8" ht="102.6">
      <c r="A315" s="66" t="s">
        <v>607</v>
      </c>
      <c r="B315" s="115" t="s">
        <v>1208</v>
      </c>
      <c r="C315" s="71" t="s">
        <v>31</v>
      </c>
      <c r="D315" s="102">
        <v>1</v>
      </c>
      <c r="E315" s="69">
        <v>2500</v>
      </c>
      <c r="F315" s="70">
        <f t="shared" ref="F315" si="15">IF(D315="","",D315*E315)</f>
        <v>2500</v>
      </c>
      <c r="G315" s="69"/>
      <c r="H315" s="69"/>
    </row>
    <row r="316" spans="1:8" ht="22.8">
      <c r="A316" s="66" t="s">
        <v>608</v>
      </c>
      <c r="B316" s="115" t="s">
        <v>1209</v>
      </c>
      <c r="C316" s="71" t="s">
        <v>31</v>
      </c>
      <c r="D316" s="102">
        <v>1</v>
      </c>
      <c r="E316" s="69">
        <v>20</v>
      </c>
      <c r="F316" s="70">
        <f t="shared" si="14"/>
        <v>20</v>
      </c>
      <c r="G316" s="69"/>
      <c r="H316" s="69"/>
    </row>
    <row r="317" spans="1:8">
      <c r="A317" s="66" t="s">
        <v>609</v>
      </c>
      <c r="B317" s="115" t="s">
        <v>1210</v>
      </c>
      <c r="C317" s="71" t="s">
        <v>31</v>
      </c>
      <c r="D317" s="102">
        <v>1</v>
      </c>
      <c r="E317" s="69">
        <v>100</v>
      </c>
      <c r="F317" s="70">
        <f t="shared" si="14"/>
        <v>100</v>
      </c>
      <c r="G317" s="69"/>
      <c r="H317" s="69"/>
    </row>
    <row r="318" spans="1:8" ht="45.6">
      <c r="A318" s="66" t="s">
        <v>610</v>
      </c>
      <c r="B318" s="115" t="s">
        <v>1211</v>
      </c>
      <c r="C318" s="71" t="s">
        <v>31</v>
      </c>
      <c r="D318" s="102">
        <v>1</v>
      </c>
      <c r="E318" s="69">
        <v>700</v>
      </c>
      <c r="F318" s="70">
        <f t="shared" ref="F318" si="16">IF(D318="","",D318*E318)</f>
        <v>700</v>
      </c>
      <c r="G318" s="69"/>
      <c r="H318" s="69"/>
    </row>
    <row r="319" spans="1:8" ht="34.200000000000003">
      <c r="A319" s="66" t="s">
        <v>611</v>
      </c>
      <c r="B319" s="115" t="s">
        <v>1212</v>
      </c>
      <c r="C319" s="71" t="s">
        <v>31</v>
      </c>
      <c r="D319" s="102">
        <v>1</v>
      </c>
      <c r="E319" s="69">
        <v>400</v>
      </c>
      <c r="F319" s="70">
        <f t="shared" ref="F319" si="17">IF(D319="","",D319*E319)</f>
        <v>400</v>
      </c>
      <c r="G319" s="69"/>
      <c r="H319" s="69"/>
    </row>
    <row r="320" spans="1:8" ht="34.200000000000003">
      <c r="A320" s="66" t="s">
        <v>612</v>
      </c>
      <c r="B320" s="115" t="s">
        <v>1213</v>
      </c>
      <c r="C320" s="71" t="s">
        <v>31</v>
      </c>
      <c r="D320" s="102">
        <v>1</v>
      </c>
      <c r="E320" s="69">
        <v>500</v>
      </c>
      <c r="F320" s="70">
        <f t="shared" ref="F320" si="18">IF(D320="","",D320*E320)</f>
        <v>500</v>
      </c>
      <c r="G320" s="69"/>
      <c r="H320" s="69"/>
    </row>
    <row r="321" spans="1:8" ht="12">
      <c r="A321" s="48"/>
      <c r="B321" s="125"/>
      <c r="C321" s="49"/>
      <c r="D321" s="50"/>
      <c r="E321" s="51"/>
      <c r="F321" s="52"/>
      <c r="G321" s="51"/>
      <c r="H321" s="51"/>
    </row>
    <row r="322" spans="1:8" ht="12">
      <c r="A322" s="62"/>
      <c r="B322" s="126" t="s">
        <v>1214</v>
      </c>
      <c r="C322" s="63"/>
      <c r="D322" s="64"/>
      <c r="E322" s="65"/>
      <c r="F322" s="65"/>
      <c r="G322" s="51"/>
      <c r="H322" s="51"/>
    </row>
    <row r="323" spans="1:8" ht="12">
      <c r="A323" s="48"/>
      <c r="B323" s="125"/>
      <c r="C323" s="49"/>
      <c r="D323" s="50"/>
      <c r="E323" s="51"/>
      <c r="F323" s="52"/>
      <c r="G323" s="51"/>
      <c r="H323" s="51"/>
    </row>
    <row r="324" spans="1:8" ht="393.45" customHeight="1">
      <c r="A324" s="66" t="s">
        <v>613</v>
      </c>
      <c r="B324" s="115" t="s">
        <v>1215</v>
      </c>
      <c r="C324" s="71"/>
      <c r="D324" s="102"/>
      <c r="E324" s="69"/>
      <c r="F324" s="70"/>
      <c r="G324" s="69"/>
      <c r="H324" s="69"/>
    </row>
    <row r="325" spans="1:8" ht="273.60000000000002">
      <c r="A325" s="66"/>
      <c r="B325" s="115" t="s">
        <v>1216</v>
      </c>
      <c r="C325" s="71" t="s">
        <v>31</v>
      </c>
      <c r="D325" s="102">
        <v>1</v>
      </c>
      <c r="E325" s="69">
        <v>18000</v>
      </c>
      <c r="F325" s="70">
        <f t="shared" ref="F325" si="19">IF(D325="","",D325*E325)</f>
        <v>18000</v>
      </c>
      <c r="G325" s="69"/>
      <c r="H325" s="69"/>
    </row>
    <row r="326" spans="1:8" ht="68.400000000000006">
      <c r="A326" s="66" t="s">
        <v>614</v>
      </c>
      <c r="B326" s="115" t="s">
        <v>1217</v>
      </c>
      <c r="C326" s="71" t="s">
        <v>31</v>
      </c>
      <c r="D326" s="102">
        <v>1</v>
      </c>
      <c r="E326" s="69">
        <v>1800</v>
      </c>
      <c r="F326" s="70">
        <f t="shared" ref="F326" si="20">IF(D326="","",D326*E326)</f>
        <v>1800</v>
      </c>
      <c r="G326" s="69"/>
      <c r="H326" s="69"/>
    </row>
    <row r="327" spans="1:8" ht="68.400000000000006">
      <c r="A327" s="66" t="s">
        <v>615</v>
      </c>
      <c r="B327" s="115" t="s">
        <v>1218</v>
      </c>
      <c r="C327" s="71" t="s">
        <v>31</v>
      </c>
      <c r="D327" s="102">
        <v>1</v>
      </c>
      <c r="E327" s="69">
        <v>650</v>
      </c>
      <c r="F327" s="70">
        <f t="shared" ref="F327:F330" si="21">IF(D327="","",D327*E327)</f>
        <v>650</v>
      </c>
      <c r="G327" s="69"/>
      <c r="H327" s="69"/>
    </row>
    <row r="328" spans="1:8" ht="376.2">
      <c r="A328" s="66" t="s">
        <v>616</v>
      </c>
      <c r="B328" s="115" t="s">
        <v>1219</v>
      </c>
      <c r="C328" s="71"/>
      <c r="D328" s="102"/>
      <c r="E328" s="69"/>
      <c r="F328" s="70"/>
      <c r="G328" s="69"/>
      <c r="H328" s="69"/>
    </row>
    <row r="329" spans="1:8" ht="205.2">
      <c r="A329" s="66"/>
      <c r="B329" s="115" t="s">
        <v>1220</v>
      </c>
      <c r="C329" s="71" t="s">
        <v>31</v>
      </c>
      <c r="D329" s="102">
        <v>1</v>
      </c>
      <c r="E329" s="69">
        <v>12000</v>
      </c>
      <c r="F329" s="70">
        <f t="shared" ref="F329" si="22">IF(D329="","",D329*E329)</f>
        <v>12000</v>
      </c>
      <c r="G329" s="69"/>
      <c r="H329" s="69"/>
    </row>
    <row r="330" spans="1:8" ht="34.200000000000003">
      <c r="A330" s="66" t="s">
        <v>617</v>
      </c>
      <c r="B330" s="115" t="s">
        <v>1221</v>
      </c>
      <c r="C330" s="71" t="s">
        <v>31</v>
      </c>
      <c r="D330" s="102">
        <v>1</v>
      </c>
      <c r="E330" s="69">
        <v>500</v>
      </c>
      <c r="F330" s="70">
        <f t="shared" si="21"/>
        <v>500</v>
      </c>
      <c r="G330" s="69"/>
      <c r="H330" s="69"/>
    </row>
    <row r="331" spans="1:8" ht="12">
      <c r="A331" s="48"/>
      <c r="B331" s="125"/>
      <c r="C331" s="49"/>
      <c r="D331" s="50"/>
      <c r="E331" s="51"/>
      <c r="F331" s="52"/>
      <c r="G331" s="51"/>
      <c r="H331" s="51"/>
    </row>
    <row r="332" spans="1:8" ht="12">
      <c r="A332" s="62"/>
      <c r="B332" s="126" t="s">
        <v>788</v>
      </c>
      <c r="C332" s="63"/>
      <c r="D332" s="64"/>
      <c r="E332" s="65"/>
      <c r="F332" s="65"/>
      <c r="G332" s="51"/>
      <c r="H332" s="51"/>
    </row>
    <row r="333" spans="1:8" ht="12">
      <c r="A333" s="48"/>
      <c r="B333" s="125"/>
      <c r="C333" s="49"/>
      <c r="D333" s="50"/>
      <c r="E333" s="51"/>
      <c r="F333" s="52"/>
      <c r="G333" s="51"/>
      <c r="H333" s="51"/>
    </row>
    <row r="334" spans="1:8" ht="45.6">
      <c r="A334" s="66" t="s">
        <v>618</v>
      </c>
      <c r="B334" s="115" t="s">
        <v>1195</v>
      </c>
      <c r="C334" s="71" t="s">
        <v>31</v>
      </c>
      <c r="D334" s="102">
        <v>1</v>
      </c>
      <c r="E334" s="69">
        <v>120</v>
      </c>
      <c r="F334" s="70">
        <f t="shared" ref="F334:F347" si="23">IF(D334="","",D334*E334)</f>
        <v>120</v>
      </c>
      <c r="G334" s="69"/>
      <c r="H334" s="69"/>
    </row>
    <row r="335" spans="1:8" ht="45.6">
      <c r="A335" s="66" t="s">
        <v>619</v>
      </c>
      <c r="B335" s="137" t="s">
        <v>1226</v>
      </c>
      <c r="C335" s="71" t="s">
        <v>31</v>
      </c>
      <c r="D335" s="102">
        <v>1</v>
      </c>
      <c r="E335" s="69">
        <v>120</v>
      </c>
      <c r="F335" s="70">
        <f t="shared" si="23"/>
        <v>120</v>
      </c>
      <c r="G335" s="69"/>
      <c r="H335" s="69"/>
    </row>
    <row r="336" spans="1:8" ht="68.400000000000006">
      <c r="A336" s="66" t="s">
        <v>620</v>
      </c>
      <c r="B336" s="115" t="s">
        <v>1227</v>
      </c>
      <c r="C336" s="71" t="s">
        <v>31</v>
      </c>
      <c r="D336" s="102">
        <v>1</v>
      </c>
      <c r="E336" s="69">
        <v>850</v>
      </c>
      <c r="F336" s="70">
        <f t="shared" si="23"/>
        <v>850</v>
      </c>
      <c r="G336" s="69"/>
      <c r="H336" s="69"/>
    </row>
    <row r="337" spans="1:8" ht="22.8">
      <c r="A337" s="66" t="s">
        <v>621</v>
      </c>
      <c r="B337" s="115" t="s">
        <v>1228</v>
      </c>
      <c r="C337" s="71" t="s">
        <v>31</v>
      </c>
      <c r="D337" s="102">
        <v>1</v>
      </c>
      <c r="E337" s="69">
        <v>20</v>
      </c>
      <c r="F337" s="70">
        <f t="shared" si="23"/>
        <v>20</v>
      </c>
      <c r="G337" s="69"/>
      <c r="H337" s="69"/>
    </row>
    <row r="338" spans="1:8" ht="27.45" customHeight="1">
      <c r="A338" s="66" t="s">
        <v>622</v>
      </c>
      <c r="B338" s="137" t="s">
        <v>1207</v>
      </c>
      <c r="C338" s="71" t="s">
        <v>31</v>
      </c>
      <c r="D338" s="102">
        <v>1</v>
      </c>
      <c r="E338" s="69">
        <v>300</v>
      </c>
      <c r="F338" s="70">
        <f t="shared" si="23"/>
        <v>300</v>
      </c>
      <c r="G338" s="69"/>
      <c r="H338" s="69"/>
    </row>
    <row r="339" spans="1:8" ht="22.8">
      <c r="A339" s="66" t="s">
        <v>623</v>
      </c>
      <c r="B339" s="115" t="s">
        <v>1229</v>
      </c>
      <c r="C339" s="71" t="s">
        <v>31</v>
      </c>
      <c r="D339" s="102">
        <v>1</v>
      </c>
      <c r="E339" s="69">
        <v>200</v>
      </c>
      <c r="F339" s="70">
        <f t="shared" si="23"/>
        <v>200</v>
      </c>
      <c r="G339" s="69"/>
      <c r="H339" s="69"/>
    </row>
    <row r="340" spans="1:8" ht="399">
      <c r="A340" s="66" t="s">
        <v>624</v>
      </c>
      <c r="B340" s="115" t="s">
        <v>1230</v>
      </c>
      <c r="C340" s="71"/>
      <c r="D340" s="102"/>
      <c r="E340" s="69"/>
      <c r="F340" s="70"/>
      <c r="G340" s="69"/>
      <c r="H340" s="69"/>
    </row>
    <row r="341" spans="1:8" ht="45.6">
      <c r="A341" s="66"/>
      <c r="B341" s="115" t="s">
        <v>1231</v>
      </c>
      <c r="C341" s="71" t="s">
        <v>31</v>
      </c>
      <c r="D341" s="102">
        <v>1</v>
      </c>
      <c r="E341" s="69">
        <v>6000</v>
      </c>
      <c r="F341" s="70">
        <f t="shared" ref="F341:F342" si="24">IF(D341="","",D341*E341)</f>
        <v>6000</v>
      </c>
      <c r="G341" s="69"/>
      <c r="H341" s="69"/>
    </row>
    <row r="342" spans="1:8" ht="250.8">
      <c r="A342" s="66" t="s">
        <v>625</v>
      </c>
      <c r="B342" s="115" t="s">
        <v>1232</v>
      </c>
      <c r="C342" s="71" t="s">
        <v>31</v>
      </c>
      <c r="D342" s="102">
        <v>1</v>
      </c>
      <c r="E342" s="69">
        <v>1000</v>
      </c>
      <c r="F342" s="70">
        <f t="shared" si="24"/>
        <v>1000</v>
      </c>
      <c r="G342" s="69"/>
      <c r="H342" s="69"/>
    </row>
    <row r="343" spans="1:8" ht="12">
      <c r="A343" s="48"/>
      <c r="B343" s="125"/>
      <c r="C343" s="49"/>
      <c r="D343" s="50"/>
      <c r="E343" s="51"/>
      <c r="F343" s="52"/>
      <c r="G343" s="51"/>
      <c r="H343" s="51"/>
    </row>
    <row r="344" spans="1:8" ht="12">
      <c r="A344" s="62"/>
      <c r="B344" s="126" t="s">
        <v>496</v>
      </c>
      <c r="C344" s="63"/>
      <c r="D344" s="64"/>
      <c r="E344" s="65"/>
      <c r="F344" s="65"/>
      <c r="G344" s="51"/>
      <c r="H344" s="51"/>
    </row>
    <row r="345" spans="1:8" ht="12">
      <c r="A345" s="48"/>
      <c r="B345" s="125"/>
      <c r="C345" s="49"/>
      <c r="D345" s="50"/>
      <c r="E345" s="51"/>
      <c r="F345" s="52"/>
      <c r="G345" s="51"/>
      <c r="H345" s="51"/>
    </row>
    <row r="346" spans="1:8" ht="45.6">
      <c r="A346" s="66" t="s">
        <v>626</v>
      </c>
      <c r="B346" s="115" t="s">
        <v>1222</v>
      </c>
      <c r="C346" s="71" t="s">
        <v>31</v>
      </c>
      <c r="D346" s="102">
        <v>1</v>
      </c>
      <c r="E346" s="69">
        <v>1200</v>
      </c>
      <c r="F346" s="70">
        <f t="shared" si="23"/>
        <v>1200</v>
      </c>
      <c r="G346" s="69"/>
      <c r="H346" s="69"/>
    </row>
    <row r="347" spans="1:8" ht="79.8">
      <c r="A347" s="66" t="s">
        <v>789</v>
      </c>
      <c r="B347" s="115" t="s">
        <v>1223</v>
      </c>
      <c r="C347" s="71" t="s">
        <v>31</v>
      </c>
      <c r="D347" s="102">
        <v>1</v>
      </c>
      <c r="E347" s="69">
        <v>2000</v>
      </c>
      <c r="F347" s="70">
        <f t="shared" si="23"/>
        <v>2000</v>
      </c>
      <c r="G347" s="69"/>
      <c r="H347" s="69"/>
    </row>
    <row r="348" spans="1:8" ht="79.8">
      <c r="A348" s="66" t="s">
        <v>790</v>
      </c>
      <c r="B348" s="115" t="s">
        <v>1224</v>
      </c>
      <c r="C348" s="71" t="s">
        <v>31</v>
      </c>
      <c r="D348" s="102">
        <v>1</v>
      </c>
      <c r="E348" s="69">
        <v>600</v>
      </c>
      <c r="F348" s="70">
        <f t="shared" ref="F348:F349" si="25">IF(D348="","",D348*E348)</f>
        <v>600</v>
      </c>
      <c r="G348" s="69"/>
      <c r="H348" s="69"/>
    </row>
    <row r="349" spans="1:8" ht="45.6">
      <c r="A349" s="66" t="s">
        <v>791</v>
      </c>
      <c r="B349" s="115" t="s">
        <v>1225</v>
      </c>
      <c r="C349" s="71" t="s">
        <v>31</v>
      </c>
      <c r="D349" s="102">
        <v>1</v>
      </c>
      <c r="E349" s="69">
        <v>280</v>
      </c>
      <c r="F349" s="70">
        <f t="shared" si="25"/>
        <v>280</v>
      </c>
      <c r="G349" s="69"/>
      <c r="H349" s="69"/>
    </row>
    <row r="350" spans="1:8" ht="22.8">
      <c r="A350" s="66" t="s">
        <v>792</v>
      </c>
      <c r="B350" s="115" t="s">
        <v>1209</v>
      </c>
      <c r="C350" s="71" t="s">
        <v>31</v>
      </c>
      <c r="D350" s="102">
        <v>1</v>
      </c>
      <c r="E350" s="69">
        <v>20</v>
      </c>
      <c r="F350" s="70">
        <f t="shared" ref="F350" si="26">IF(D350="","",D350*E350)</f>
        <v>20</v>
      </c>
      <c r="G350" s="69"/>
      <c r="H350" s="69"/>
    </row>
    <row r="351" spans="1:8" ht="12">
      <c r="A351" s="48"/>
      <c r="B351" s="125"/>
      <c r="C351" s="49"/>
      <c r="D351" s="50"/>
      <c r="E351" s="51"/>
      <c r="F351" s="52"/>
      <c r="G351" s="51"/>
      <c r="H351" s="51"/>
    </row>
    <row r="352" spans="1:8" ht="12">
      <c r="A352" s="62"/>
      <c r="B352" s="126" t="s">
        <v>793</v>
      </c>
      <c r="C352" s="63"/>
      <c r="D352" s="64"/>
      <c r="E352" s="65"/>
      <c r="F352" s="65"/>
      <c r="G352" s="51"/>
      <c r="H352" s="51"/>
    </row>
    <row r="353" spans="1:8" ht="12">
      <c r="A353" s="48"/>
      <c r="B353" s="125"/>
      <c r="C353" s="49"/>
      <c r="D353" s="50"/>
      <c r="E353" s="51"/>
      <c r="F353" s="52"/>
      <c r="G353" s="51"/>
      <c r="H353" s="51"/>
    </row>
    <row r="354" spans="1:8" ht="45.6">
      <c r="A354" s="66" t="s">
        <v>791</v>
      </c>
      <c r="B354" s="118" t="s">
        <v>1195</v>
      </c>
      <c r="C354" s="71" t="s">
        <v>31</v>
      </c>
      <c r="D354" s="102">
        <v>5</v>
      </c>
      <c r="E354" s="69">
        <v>100</v>
      </c>
      <c r="F354" s="70">
        <f t="shared" ref="F354" si="27">IF(D354="","",D354*E354)</f>
        <v>500</v>
      </c>
      <c r="G354" s="69"/>
      <c r="H354" s="69"/>
    </row>
    <row r="355" spans="1:8" ht="12">
      <c r="A355" s="48"/>
      <c r="B355" s="125"/>
      <c r="C355" s="49"/>
      <c r="D355" s="50"/>
      <c r="E355" s="51"/>
      <c r="F355" s="52"/>
    </row>
    <row r="356" spans="1:8" ht="12">
      <c r="A356" s="62" t="s">
        <v>593</v>
      </c>
      <c r="B356" s="126" t="s">
        <v>627</v>
      </c>
      <c r="C356" s="63"/>
      <c r="D356" s="64"/>
      <c r="E356" s="65"/>
      <c r="F356" s="72">
        <f>SUM(F290:F354)</f>
        <v>57350</v>
      </c>
    </row>
    <row r="357" spans="1:8" ht="12">
      <c r="A357" s="48"/>
      <c r="B357" s="125"/>
      <c r="C357" s="49"/>
      <c r="D357" s="50"/>
      <c r="E357" s="51"/>
      <c r="F357" s="52"/>
    </row>
    <row r="358" spans="1:8" ht="12">
      <c r="A358" s="62" t="s">
        <v>12</v>
      </c>
      <c r="B358" s="126" t="s">
        <v>628</v>
      </c>
      <c r="C358" s="63"/>
      <c r="D358" s="64"/>
      <c r="E358" s="65"/>
      <c r="F358" s="72">
        <f>F254+F356</f>
        <v>66850</v>
      </c>
    </row>
    <row r="359" spans="1:8">
      <c r="A359" s="77"/>
      <c r="B359" s="77"/>
      <c r="C359" s="77"/>
      <c r="D359" s="77"/>
      <c r="E359" s="77"/>
      <c r="F359" s="77"/>
    </row>
    <row r="360" spans="1:8" ht="12">
      <c r="A360" s="62" t="s">
        <v>16</v>
      </c>
      <c r="B360" s="126" t="s">
        <v>673</v>
      </c>
      <c r="C360" s="63"/>
      <c r="D360" s="64"/>
      <c r="E360" s="65"/>
      <c r="F360" s="72"/>
    </row>
    <row r="361" spans="1:8">
      <c r="A361" s="77"/>
      <c r="B361" s="77"/>
      <c r="C361" s="77"/>
      <c r="D361" s="77"/>
      <c r="E361" s="77"/>
      <c r="F361" s="77"/>
    </row>
    <row r="362" spans="1:8" ht="239.4">
      <c r="A362" s="77"/>
      <c r="B362" s="118" t="s">
        <v>2446</v>
      </c>
      <c r="C362" s="77"/>
      <c r="D362" s="77"/>
      <c r="E362" s="77"/>
      <c r="F362" s="77"/>
    </row>
    <row r="363" spans="1:8" ht="262.2">
      <c r="A363" s="77"/>
      <c r="B363" s="118" t="s">
        <v>2445</v>
      </c>
      <c r="C363" s="77"/>
      <c r="D363" s="77"/>
      <c r="E363" s="77"/>
      <c r="F363" s="77"/>
    </row>
    <row r="364" spans="1:8">
      <c r="A364" s="77"/>
      <c r="B364" s="118"/>
      <c r="C364" s="77"/>
      <c r="D364" s="77"/>
      <c r="E364" s="77"/>
      <c r="F364" s="77"/>
    </row>
    <row r="365" spans="1:8" ht="91.2">
      <c r="A365" s="77"/>
      <c r="B365" s="118" t="s">
        <v>675</v>
      </c>
      <c r="C365" s="77"/>
      <c r="D365" s="77"/>
      <c r="E365" s="77"/>
      <c r="F365" s="77"/>
    </row>
    <row r="366" spans="1:8">
      <c r="A366" s="77"/>
      <c r="B366" s="77"/>
      <c r="C366" s="77"/>
      <c r="D366" s="77"/>
      <c r="E366" s="77"/>
      <c r="F366" s="77"/>
    </row>
    <row r="367" spans="1:8" ht="262.2">
      <c r="A367" s="66" t="s">
        <v>676</v>
      </c>
      <c r="B367" s="118" t="s">
        <v>689</v>
      </c>
      <c r="C367" s="67" t="s">
        <v>31</v>
      </c>
      <c r="D367" s="68">
        <v>1</v>
      </c>
      <c r="E367" s="69">
        <v>4000</v>
      </c>
      <c r="F367" s="70">
        <f t="shared" ref="F367:F379" si="28">IF(D367="","",D367*E367)</f>
        <v>4000</v>
      </c>
      <c r="G367" s="69"/>
    </row>
    <row r="368" spans="1:8" ht="114">
      <c r="A368" s="66" t="s">
        <v>677</v>
      </c>
      <c r="B368" s="118" t="s">
        <v>690</v>
      </c>
      <c r="C368" s="67" t="s">
        <v>31</v>
      </c>
      <c r="D368" s="68">
        <v>1</v>
      </c>
      <c r="E368" s="69">
        <v>2000</v>
      </c>
      <c r="F368" s="70">
        <f t="shared" si="28"/>
        <v>2000</v>
      </c>
      <c r="G368" s="69"/>
    </row>
    <row r="369" spans="1:7" ht="159.6">
      <c r="A369" s="66" t="s">
        <v>678</v>
      </c>
      <c r="B369" s="132" t="s">
        <v>691</v>
      </c>
      <c r="C369" s="71" t="s">
        <v>31</v>
      </c>
      <c r="D369" s="73">
        <v>1</v>
      </c>
      <c r="E369" s="69">
        <v>3000</v>
      </c>
      <c r="F369" s="70">
        <f t="shared" si="28"/>
        <v>3000</v>
      </c>
      <c r="G369" s="69"/>
    </row>
    <row r="370" spans="1:7" ht="171">
      <c r="A370" s="66" t="s">
        <v>679</v>
      </c>
      <c r="B370" s="118" t="s">
        <v>692</v>
      </c>
      <c r="C370" s="74" t="s">
        <v>31</v>
      </c>
      <c r="D370" s="74">
        <v>1</v>
      </c>
      <c r="E370" s="75">
        <v>1500</v>
      </c>
      <c r="F370" s="70">
        <f t="shared" si="28"/>
        <v>1500</v>
      </c>
      <c r="G370" s="75"/>
    </row>
    <row r="371" spans="1:7" ht="45.6">
      <c r="A371" s="66" t="s">
        <v>680</v>
      </c>
      <c r="B371" s="118" t="s">
        <v>693</v>
      </c>
      <c r="C371" s="74" t="s">
        <v>31</v>
      </c>
      <c r="D371" s="74">
        <v>1</v>
      </c>
      <c r="E371" s="75">
        <v>800</v>
      </c>
      <c r="F371" s="70">
        <f t="shared" si="28"/>
        <v>800</v>
      </c>
      <c r="G371" s="75"/>
    </row>
    <row r="372" spans="1:7" ht="296.39999999999998">
      <c r="A372" s="66" t="s">
        <v>681</v>
      </c>
      <c r="B372" s="118" t="s">
        <v>694</v>
      </c>
      <c r="C372" s="74" t="s">
        <v>31</v>
      </c>
      <c r="D372" s="74">
        <v>4</v>
      </c>
      <c r="E372" s="75">
        <v>1300</v>
      </c>
      <c r="F372" s="70">
        <f t="shared" si="28"/>
        <v>5200</v>
      </c>
      <c r="G372" s="75"/>
    </row>
    <row r="373" spans="1:7" ht="102.6">
      <c r="A373" s="66" t="s">
        <v>682</v>
      </c>
      <c r="B373" s="118" t="s">
        <v>695</v>
      </c>
      <c r="C373" s="74" t="s">
        <v>31</v>
      </c>
      <c r="D373" s="74">
        <v>1</v>
      </c>
      <c r="E373" s="75">
        <v>3600</v>
      </c>
      <c r="F373" s="70">
        <f t="shared" si="28"/>
        <v>3600</v>
      </c>
      <c r="G373" s="75"/>
    </row>
    <row r="374" spans="1:7" ht="91.2">
      <c r="A374" s="66" t="s">
        <v>683</v>
      </c>
      <c r="B374" s="132" t="s">
        <v>696</v>
      </c>
      <c r="C374" s="71" t="s">
        <v>31</v>
      </c>
      <c r="D374" s="73">
        <v>2</v>
      </c>
      <c r="E374" s="69">
        <v>1200</v>
      </c>
      <c r="F374" s="70">
        <f t="shared" si="28"/>
        <v>2400</v>
      </c>
      <c r="G374" s="69"/>
    </row>
    <row r="375" spans="1:7" ht="136.80000000000001">
      <c r="A375" s="66" t="s">
        <v>684</v>
      </c>
      <c r="B375" s="132" t="s">
        <v>697</v>
      </c>
      <c r="C375" s="71" t="s">
        <v>31</v>
      </c>
      <c r="D375" s="73">
        <v>3</v>
      </c>
      <c r="E375" s="69">
        <v>2600</v>
      </c>
      <c r="F375" s="70">
        <f t="shared" si="28"/>
        <v>7800</v>
      </c>
      <c r="G375" s="69"/>
    </row>
    <row r="376" spans="1:7" ht="102.6">
      <c r="A376" s="66" t="s">
        <v>685</v>
      </c>
      <c r="B376" s="132" t="s">
        <v>698</v>
      </c>
      <c r="C376" s="71" t="s">
        <v>31</v>
      </c>
      <c r="D376" s="73">
        <v>4</v>
      </c>
      <c r="E376" s="69">
        <v>1250</v>
      </c>
      <c r="F376" s="70">
        <f t="shared" si="28"/>
        <v>5000</v>
      </c>
      <c r="G376" s="69"/>
    </row>
    <row r="377" spans="1:7" ht="102.6">
      <c r="A377" s="66" t="s">
        <v>686</v>
      </c>
      <c r="B377" s="132" t="s">
        <v>2429</v>
      </c>
      <c r="C377" s="71" t="s">
        <v>31</v>
      </c>
      <c r="D377" s="73">
        <v>6</v>
      </c>
      <c r="E377" s="69">
        <v>350</v>
      </c>
      <c r="F377" s="70">
        <f t="shared" si="28"/>
        <v>2100</v>
      </c>
      <c r="G377" s="69"/>
    </row>
    <row r="378" spans="1:7" ht="125.4">
      <c r="A378" s="66" t="s">
        <v>687</v>
      </c>
      <c r="B378" s="132" t="s">
        <v>699</v>
      </c>
      <c r="C378" s="71" t="s">
        <v>31</v>
      </c>
      <c r="D378" s="73">
        <v>4</v>
      </c>
      <c r="E378" s="69">
        <v>320</v>
      </c>
      <c r="F378" s="70">
        <f t="shared" si="28"/>
        <v>1280</v>
      </c>
      <c r="G378" s="69"/>
    </row>
    <row r="379" spans="1:7" ht="114">
      <c r="A379" s="66" t="s">
        <v>688</v>
      </c>
      <c r="B379" s="118" t="s">
        <v>2430</v>
      </c>
      <c r="C379" s="71" t="s">
        <v>31</v>
      </c>
      <c r="D379" s="73">
        <v>1</v>
      </c>
      <c r="E379" s="69">
        <v>2000</v>
      </c>
      <c r="F379" s="70">
        <f t="shared" si="28"/>
        <v>2000</v>
      </c>
      <c r="G379" s="69"/>
    </row>
    <row r="380" spans="1:7">
      <c r="A380" s="77"/>
      <c r="B380" s="77"/>
      <c r="C380" s="77"/>
      <c r="D380" s="77"/>
      <c r="E380" s="77"/>
      <c r="F380" s="77"/>
    </row>
    <row r="381" spans="1:7" ht="12">
      <c r="A381" s="62" t="s">
        <v>16</v>
      </c>
      <c r="B381" s="126" t="s">
        <v>674</v>
      </c>
      <c r="C381" s="63"/>
      <c r="D381" s="64"/>
      <c r="E381" s="65"/>
      <c r="F381" s="72">
        <f>SUM(F367:F379)</f>
        <v>40680</v>
      </c>
    </row>
    <row r="382" spans="1:7">
      <c r="A382" s="77"/>
      <c r="B382" s="77"/>
      <c r="C382" s="77"/>
      <c r="D382" s="77"/>
      <c r="E382" s="77"/>
      <c r="F382" s="77"/>
    </row>
    <row r="383" spans="1:7" ht="12">
      <c r="A383" s="55"/>
      <c r="B383" s="135"/>
      <c r="C383" s="103"/>
      <c r="D383" s="104"/>
      <c r="E383" s="53"/>
      <c r="F383" s="59"/>
    </row>
    <row r="384" spans="1:7" ht="12">
      <c r="A384" s="105" t="s">
        <v>562</v>
      </c>
      <c r="B384" s="135"/>
      <c r="C384" s="106"/>
      <c r="D384" s="106"/>
      <c r="E384" s="106"/>
      <c r="F384" s="106"/>
    </row>
    <row r="385" spans="1:6" ht="12">
      <c r="A385" s="55"/>
      <c r="B385" s="135"/>
      <c r="C385" s="56"/>
      <c r="D385" s="104"/>
      <c r="E385" s="54"/>
      <c r="F385" s="59"/>
    </row>
    <row r="386" spans="1:6">
      <c r="A386" s="66"/>
      <c r="B386" s="134"/>
      <c r="C386" s="67"/>
      <c r="D386" s="76"/>
      <c r="E386" s="61"/>
      <c r="F386" s="61"/>
    </row>
    <row r="387" spans="1:6" ht="12">
      <c r="A387" s="107" t="s">
        <v>8</v>
      </c>
      <c r="B387" s="125" t="str">
        <f>B28</f>
        <v>ADMINISTRACIJA</v>
      </c>
      <c r="C387" s="67"/>
      <c r="D387" s="76"/>
      <c r="E387" s="61"/>
      <c r="F387" s="69">
        <f>F77</f>
        <v>25730</v>
      </c>
    </row>
    <row r="388" spans="1:6" ht="12">
      <c r="A388" s="107" t="s">
        <v>11</v>
      </c>
      <c r="B388" s="125" t="str">
        <f>B79</f>
        <v>VRTIĆKE JEDINICE</v>
      </c>
      <c r="C388" s="67"/>
      <c r="D388" s="76"/>
      <c r="E388" s="61"/>
      <c r="F388" s="108">
        <f>F246</f>
        <v>75762.399999999994</v>
      </c>
    </row>
    <row r="389" spans="1:6" ht="12">
      <c r="A389" s="107" t="s">
        <v>12</v>
      </c>
      <c r="B389" s="125" t="str">
        <f>B248</f>
        <v>GOSPODARSTVO</v>
      </c>
      <c r="C389" s="67"/>
      <c r="D389" s="76"/>
      <c r="E389" s="61"/>
      <c r="F389" s="69">
        <f>F358</f>
        <v>66850</v>
      </c>
    </row>
    <row r="390" spans="1:6" ht="12">
      <c r="A390" s="107" t="s">
        <v>16</v>
      </c>
      <c r="B390" s="125" t="str">
        <f>B360</f>
        <v>VANJSKA OPREMA</v>
      </c>
      <c r="C390" s="67"/>
      <c r="D390" s="76"/>
      <c r="E390" s="61"/>
      <c r="F390" s="69">
        <f>F381</f>
        <v>40680</v>
      </c>
    </row>
    <row r="391" spans="1:6" ht="12">
      <c r="A391" s="66"/>
      <c r="B391" s="117"/>
      <c r="C391" s="67"/>
      <c r="D391" s="76"/>
      <c r="E391" s="61"/>
      <c r="F391" s="109"/>
    </row>
    <row r="392" spans="1:6" ht="12">
      <c r="A392" s="110"/>
      <c r="B392" s="1138" t="s">
        <v>563</v>
      </c>
      <c r="C392" s="1138"/>
      <c r="D392" s="1138"/>
      <c r="E392" s="111"/>
      <c r="F392" s="112">
        <f>SUM(F387:F390)</f>
        <v>209022.4</v>
      </c>
    </row>
  </sheetData>
  <mergeCells count="42">
    <mergeCell ref="B392:D392"/>
    <mergeCell ref="B271:F271"/>
    <mergeCell ref="B272:F272"/>
    <mergeCell ref="B273:F273"/>
    <mergeCell ref="B274:F274"/>
    <mergeCell ref="B275:F275"/>
    <mergeCell ref="B276:F276"/>
    <mergeCell ref="B277:F277"/>
    <mergeCell ref="B278:F278"/>
    <mergeCell ref="B279:F279"/>
    <mergeCell ref="B280:F280"/>
    <mergeCell ref="B281:F281"/>
    <mergeCell ref="B270:F270"/>
    <mergeCell ref="B23:E23"/>
    <mergeCell ref="B24:E24"/>
    <mergeCell ref="B25:E25"/>
    <mergeCell ref="B262:F262"/>
    <mergeCell ref="B263:F263"/>
    <mergeCell ref="B264:F264"/>
    <mergeCell ref="B265:F265"/>
    <mergeCell ref="B266:F266"/>
    <mergeCell ref="B267:F267"/>
    <mergeCell ref="B268:F268"/>
    <mergeCell ref="B269:F269"/>
    <mergeCell ref="B22:E22"/>
    <mergeCell ref="B11:E11"/>
    <mergeCell ref="B12:E12"/>
    <mergeCell ref="B13:E13"/>
    <mergeCell ref="B14:E14"/>
    <mergeCell ref="B15:E15"/>
    <mergeCell ref="B16:E16"/>
    <mergeCell ref="B17:E17"/>
    <mergeCell ref="B18:E18"/>
    <mergeCell ref="B19:E19"/>
    <mergeCell ref="B20:E20"/>
    <mergeCell ref="B21:E21"/>
    <mergeCell ref="B10:E10"/>
    <mergeCell ref="B2:F2"/>
    <mergeCell ref="B6:E6"/>
    <mergeCell ref="B7:E7"/>
    <mergeCell ref="B8:E8"/>
    <mergeCell ref="B9:E9"/>
  </mergeCells>
  <phoneticPr fontId="40" type="noConversion"/>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C59A-E411-4F4C-B007-479A33B949CD}">
  <dimension ref="A1:F544"/>
  <sheetViews>
    <sheetView zoomScaleNormal="100" zoomScaleSheetLayoutView="100" zoomScalePageLayoutView="115" workbookViewId="0">
      <pane ySplit="1" topLeftCell="A535" activePane="bottomLeft" state="frozen"/>
      <selection activeCell="E34" sqref="E34"/>
      <selection pane="bottomLeft" activeCell="F13" sqref="F13"/>
    </sheetView>
  </sheetViews>
  <sheetFormatPr defaultColWidth="8.77734375" defaultRowHeight="14.4"/>
  <cols>
    <col min="1" max="1" width="4" style="417" customWidth="1"/>
    <col min="2" max="2" width="38.77734375" style="385" customWidth="1"/>
    <col min="3" max="3" width="6.21875" style="377" customWidth="1"/>
    <col min="4" max="4" width="7.21875" style="373" customWidth="1"/>
    <col min="5" max="5" width="12.88671875" style="403" customWidth="1"/>
    <col min="6" max="6" width="13.21875" style="374" customWidth="1"/>
    <col min="7" max="172" width="8.77734375" style="347"/>
    <col min="173" max="173" width="3.77734375" style="347" customWidth="1"/>
    <col min="174" max="174" width="45.77734375" style="347" customWidth="1"/>
    <col min="175" max="175" width="7.77734375" style="347" customWidth="1"/>
    <col min="176" max="176" width="5.77734375" style="347" customWidth="1"/>
    <col min="177" max="177" width="10.77734375" style="347" customWidth="1"/>
    <col min="178" max="178" width="3.77734375" style="347" customWidth="1"/>
    <col min="179" max="179" width="11.77734375" style="347" customWidth="1"/>
    <col min="180" max="428" width="8.77734375" style="347"/>
    <col min="429" max="429" width="3.77734375" style="347" customWidth="1"/>
    <col min="430" max="430" width="45.77734375" style="347" customWidth="1"/>
    <col min="431" max="431" width="7.77734375" style="347" customWidth="1"/>
    <col min="432" max="432" width="5.77734375" style="347" customWidth="1"/>
    <col min="433" max="433" width="10.77734375" style="347" customWidth="1"/>
    <col min="434" max="434" width="3.77734375" style="347" customWidth="1"/>
    <col min="435" max="435" width="11.77734375" style="347" customWidth="1"/>
    <col min="436" max="684" width="8.77734375" style="347"/>
    <col min="685" max="685" width="3.77734375" style="347" customWidth="1"/>
    <col min="686" max="686" width="45.77734375" style="347" customWidth="1"/>
    <col min="687" max="687" width="7.77734375" style="347" customWidth="1"/>
    <col min="688" max="688" width="5.77734375" style="347" customWidth="1"/>
    <col min="689" max="689" width="10.77734375" style="347" customWidth="1"/>
    <col min="690" max="690" width="3.77734375" style="347" customWidth="1"/>
    <col min="691" max="691" width="11.77734375" style="347" customWidth="1"/>
    <col min="692" max="940" width="8.77734375" style="347"/>
    <col min="941" max="941" width="3.77734375" style="347" customWidth="1"/>
    <col min="942" max="942" width="45.77734375" style="347" customWidth="1"/>
    <col min="943" max="943" width="7.77734375" style="347" customWidth="1"/>
    <col min="944" max="944" width="5.77734375" style="347" customWidth="1"/>
    <col min="945" max="945" width="10.77734375" style="347" customWidth="1"/>
    <col min="946" max="946" width="3.77734375" style="347" customWidth="1"/>
    <col min="947" max="947" width="11.77734375" style="347" customWidth="1"/>
    <col min="948" max="1196" width="8.77734375" style="347"/>
    <col min="1197" max="1197" width="3.77734375" style="347" customWidth="1"/>
    <col min="1198" max="1198" width="45.77734375" style="347" customWidth="1"/>
    <col min="1199" max="1199" width="7.77734375" style="347" customWidth="1"/>
    <col min="1200" max="1200" width="5.77734375" style="347" customWidth="1"/>
    <col min="1201" max="1201" width="10.77734375" style="347" customWidth="1"/>
    <col min="1202" max="1202" width="3.77734375" style="347" customWidth="1"/>
    <col min="1203" max="1203" width="11.77734375" style="347" customWidth="1"/>
    <col min="1204" max="1452" width="8.77734375" style="347"/>
    <col min="1453" max="1453" width="3.77734375" style="347" customWidth="1"/>
    <col min="1454" max="1454" width="45.77734375" style="347" customWidth="1"/>
    <col min="1455" max="1455" width="7.77734375" style="347" customWidth="1"/>
    <col min="1456" max="1456" width="5.77734375" style="347" customWidth="1"/>
    <col min="1457" max="1457" width="10.77734375" style="347" customWidth="1"/>
    <col min="1458" max="1458" width="3.77734375" style="347" customWidth="1"/>
    <col min="1459" max="1459" width="11.77734375" style="347" customWidth="1"/>
    <col min="1460" max="1708" width="8.77734375" style="347"/>
    <col min="1709" max="1709" width="3.77734375" style="347" customWidth="1"/>
    <col min="1710" max="1710" width="45.77734375" style="347" customWidth="1"/>
    <col min="1711" max="1711" width="7.77734375" style="347" customWidth="1"/>
    <col min="1712" max="1712" width="5.77734375" style="347" customWidth="1"/>
    <col min="1713" max="1713" width="10.77734375" style="347" customWidth="1"/>
    <col min="1714" max="1714" width="3.77734375" style="347" customWidth="1"/>
    <col min="1715" max="1715" width="11.77734375" style="347" customWidth="1"/>
    <col min="1716" max="1964" width="8.77734375" style="347"/>
    <col min="1965" max="1965" width="3.77734375" style="347" customWidth="1"/>
    <col min="1966" max="1966" width="45.77734375" style="347" customWidth="1"/>
    <col min="1967" max="1967" width="7.77734375" style="347" customWidth="1"/>
    <col min="1968" max="1968" width="5.77734375" style="347" customWidth="1"/>
    <col min="1969" max="1969" width="10.77734375" style="347" customWidth="1"/>
    <col min="1970" max="1970" width="3.77734375" style="347" customWidth="1"/>
    <col min="1971" max="1971" width="11.77734375" style="347" customWidth="1"/>
    <col min="1972" max="2220" width="8.77734375" style="347"/>
    <col min="2221" max="2221" width="3.77734375" style="347" customWidth="1"/>
    <col min="2222" max="2222" width="45.77734375" style="347" customWidth="1"/>
    <col min="2223" max="2223" width="7.77734375" style="347" customWidth="1"/>
    <col min="2224" max="2224" width="5.77734375" style="347" customWidth="1"/>
    <col min="2225" max="2225" width="10.77734375" style="347" customWidth="1"/>
    <col min="2226" max="2226" width="3.77734375" style="347" customWidth="1"/>
    <col min="2227" max="2227" width="11.77734375" style="347" customWidth="1"/>
    <col min="2228" max="2476" width="8.77734375" style="347"/>
    <col min="2477" max="2477" width="3.77734375" style="347" customWidth="1"/>
    <col min="2478" max="2478" width="45.77734375" style="347" customWidth="1"/>
    <col min="2479" max="2479" width="7.77734375" style="347" customWidth="1"/>
    <col min="2480" max="2480" width="5.77734375" style="347" customWidth="1"/>
    <col min="2481" max="2481" width="10.77734375" style="347" customWidth="1"/>
    <col min="2482" max="2482" width="3.77734375" style="347" customWidth="1"/>
    <col min="2483" max="2483" width="11.77734375" style="347" customWidth="1"/>
    <col min="2484" max="2732" width="8.77734375" style="347"/>
    <col min="2733" max="2733" width="3.77734375" style="347" customWidth="1"/>
    <col min="2734" max="2734" width="45.77734375" style="347" customWidth="1"/>
    <col min="2735" max="2735" width="7.77734375" style="347" customWidth="1"/>
    <col min="2736" max="2736" width="5.77734375" style="347" customWidth="1"/>
    <col min="2737" max="2737" width="10.77734375" style="347" customWidth="1"/>
    <col min="2738" max="2738" width="3.77734375" style="347" customWidth="1"/>
    <col min="2739" max="2739" width="11.77734375" style="347" customWidth="1"/>
    <col min="2740" max="2988" width="8.77734375" style="347"/>
    <col min="2989" max="2989" width="3.77734375" style="347" customWidth="1"/>
    <col min="2990" max="2990" width="45.77734375" style="347" customWidth="1"/>
    <col min="2991" max="2991" width="7.77734375" style="347" customWidth="1"/>
    <col min="2992" max="2992" width="5.77734375" style="347" customWidth="1"/>
    <col min="2993" max="2993" width="10.77734375" style="347" customWidth="1"/>
    <col min="2994" max="2994" width="3.77734375" style="347" customWidth="1"/>
    <col min="2995" max="2995" width="11.77734375" style="347" customWidth="1"/>
    <col min="2996" max="3244" width="8.77734375" style="347"/>
    <col min="3245" max="3245" width="3.77734375" style="347" customWidth="1"/>
    <col min="3246" max="3246" width="45.77734375" style="347" customWidth="1"/>
    <col min="3247" max="3247" width="7.77734375" style="347" customWidth="1"/>
    <col min="3248" max="3248" width="5.77734375" style="347" customWidth="1"/>
    <col min="3249" max="3249" width="10.77734375" style="347" customWidth="1"/>
    <col min="3250" max="3250" width="3.77734375" style="347" customWidth="1"/>
    <col min="3251" max="3251" width="11.77734375" style="347" customWidth="1"/>
    <col min="3252" max="3500" width="8.77734375" style="347"/>
    <col min="3501" max="3501" width="3.77734375" style="347" customWidth="1"/>
    <col min="3502" max="3502" width="45.77734375" style="347" customWidth="1"/>
    <col min="3503" max="3503" width="7.77734375" style="347" customWidth="1"/>
    <col min="3504" max="3504" width="5.77734375" style="347" customWidth="1"/>
    <col min="3505" max="3505" width="10.77734375" style="347" customWidth="1"/>
    <col min="3506" max="3506" width="3.77734375" style="347" customWidth="1"/>
    <col min="3507" max="3507" width="11.77734375" style="347" customWidth="1"/>
    <col min="3508" max="3756" width="8.77734375" style="347"/>
    <col min="3757" max="3757" width="3.77734375" style="347" customWidth="1"/>
    <col min="3758" max="3758" width="45.77734375" style="347" customWidth="1"/>
    <col min="3759" max="3759" width="7.77734375" style="347" customWidth="1"/>
    <col min="3760" max="3760" width="5.77734375" style="347" customWidth="1"/>
    <col min="3761" max="3761" width="10.77734375" style="347" customWidth="1"/>
    <col min="3762" max="3762" width="3.77734375" style="347" customWidth="1"/>
    <col min="3763" max="3763" width="11.77734375" style="347" customWidth="1"/>
    <col min="3764" max="4012" width="8.77734375" style="347"/>
    <col min="4013" max="4013" width="3.77734375" style="347" customWidth="1"/>
    <col min="4014" max="4014" width="45.77734375" style="347" customWidth="1"/>
    <col min="4015" max="4015" width="7.77734375" style="347" customWidth="1"/>
    <col min="4016" max="4016" width="5.77734375" style="347" customWidth="1"/>
    <col min="4017" max="4017" width="10.77734375" style="347" customWidth="1"/>
    <col min="4018" max="4018" width="3.77734375" style="347" customWidth="1"/>
    <col min="4019" max="4019" width="11.77734375" style="347" customWidth="1"/>
    <col min="4020" max="4268" width="8.77734375" style="347"/>
    <col min="4269" max="4269" width="3.77734375" style="347" customWidth="1"/>
    <col min="4270" max="4270" width="45.77734375" style="347" customWidth="1"/>
    <col min="4271" max="4271" width="7.77734375" style="347" customWidth="1"/>
    <col min="4272" max="4272" width="5.77734375" style="347" customWidth="1"/>
    <col min="4273" max="4273" width="10.77734375" style="347" customWidth="1"/>
    <col min="4274" max="4274" width="3.77734375" style="347" customWidth="1"/>
    <col min="4275" max="4275" width="11.77734375" style="347" customWidth="1"/>
    <col min="4276" max="4524" width="8.77734375" style="347"/>
    <col min="4525" max="4525" width="3.77734375" style="347" customWidth="1"/>
    <col min="4526" max="4526" width="45.77734375" style="347" customWidth="1"/>
    <col min="4527" max="4527" width="7.77734375" style="347" customWidth="1"/>
    <col min="4528" max="4528" width="5.77734375" style="347" customWidth="1"/>
    <col min="4529" max="4529" width="10.77734375" style="347" customWidth="1"/>
    <col min="4530" max="4530" width="3.77734375" style="347" customWidth="1"/>
    <col min="4531" max="4531" width="11.77734375" style="347" customWidth="1"/>
    <col min="4532" max="4780" width="8.77734375" style="347"/>
    <col min="4781" max="4781" width="3.77734375" style="347" customWidth="1"/>
    <col min="4782" max="4782" width="45.77734375" style="347" customWidth="1"/>
    <col min="4783" max="4783" width="7.77734375" style="347" customWidth="1"/>
    <col min="4784" max="4784" width="5.77734375" style="347" customWidth="1"/>
    <col min="4785" max="4785" width="10.77734375" style="347" customWidth="1"/>
    <col min="4786" max="4786" width="3.77734375" style="347" customWidth="1"/>
    <col min="4787" max="4787" width="11.77734375" style="347" customWidth="1"/>
    <col min="4788" max="5036" width="8.77734375" style="347"/>
    <col min="5037" max="5037" width="3.77734375" style="347" customWidth="1"/>
    <col min="5038" max="5038" width="45.77734375" style="347" customWidth="1"/>
    <col min="5039" max="5039" width="7.77734375" style="347" customWidth="1"/>
    <col min="5040" max="5040" width="5.77734375" style="347" customWidth="1"/>
    <col min="5041" max="5041" width="10.77734375" style="347" customWidth="1"/>
    <col min="5042" max="5042" width="3.77734375" style="347" customWidth="1"/>
    <col min="5043" max="5043" width="11.77734375" style="347" customWidth="1"/>
    <col min="5044" max="5292" width="8.77734375" style="347"/>
    <col min="5293" max="5293" width="3.77734375" style="347" customWidth="1"/>
    <col min="5294" max="5294" width="45.77734375" style="347" customWidth="1"/>
    <col min="5295" max="5295" width="7.77734375" style="347" customWidth="1"/>
    <col min="5296" max="5296" width="5.77734375" style="347" customWidth="1"/>
    <col min="5297" max="5297" width="10.77734375" style="347" customWidth="1"/>
    <col min="5298" max="5298" width="3.77734375" style="347" customWidth="1"/>
    <col min="5299" max="5299" width="11.77734375" style="347" customWidth="1"/>
    <col min="5300" max="5548" width="8.77734375" style="347"/>
    <col min="5549" max="5549" width="3.77734375" style="347" customWidth="1"/>
    <col min="5550" max="5550" width="45.77734375" style="347" customWidth="1"/>
    <col min="5551" max="5551" width="7.77734375" style="347" customWidth="1"/>
    <col min="5552" max="5552" width="5.77734375" style="347" customWidth="1"/>
    <col min="5553" max="5553" width="10.77734375" style="347" customWidth="1"/>
    <col min="5554" max="5554" width="3.77734375" style="347" customWidth="1"/>
    <col min="5555" max="5555" width="11.77734375" style="347" customWidth="1"/>
    <col min="5556" max="5804" width="8.77734375" style="347"/>
    <col min="5805" max="5805" width="3.77734375" style="347" customWidth="1"/>
    <col min="5806" max="5806" width="45.77734375" style="347" customWidth="1"/>
    <col min="5807" max="5807" width="7.77734375" style="347" customWidth="1"/>
    <col min="5808" max="5808" width="5.77734375" style="347" customWidth="1"/>
    <col min="5809" max="5809" width="10.77734375" style="347" customWidth="1"/>
    <col min="5810" max="5810" width="3.77734375" style="347" customWidth="1"/>
    <col min="5811" max="5811" width="11.77734375" style="347" customWidth="1"/>
    <col min="5812" max="6060" width="8.77734375" style="347"/>
    <col min="6061" max="6061" width="3.77734375" style="347" customWidth="1"/>
    <col min="6062" max="6062" width="45.77734375" style="347" customWidth="1"/>
    <col min="6063" max="6063" width="7.77734375" style="347" customWidth="1"/>
    <col min="6064" max="6064" width="5.77734375" style="347" customWidth="1"/>
    <col min="6065" max="6065" width="10.77734375" style="347" customWidth="1"/>
    <col min="6066" max="6066" width="3.77734375" style="347" customWidth="1"/>
    <col min="6067" max="6067" width="11.77734375" style="347" customWidth="1"/>
    <col min="6068" max="6316" width="8.77734375" style="347"/>
    <col min="6317" max="6317" width="3.77734375" style="347" customWidth="1"/>
    <col min="6318" max="6318" width="45.77734375" style="347" customWidth="1"/>
    <col min="6319" max="6319" width="7.77734375" style="347" customWidth="1"/>
    <col min="6320" max="6320" width="5.77734375" style="347" customWidth="1"/>
    <col min="6321" max="6321" width="10.77734375" style="347" customWidth="1"/>
    <col min="6322" max="6322" width="3.77734375" style="347" customWidth="1"/>
    <col min="6323" max="6323" width="11.77734375" style="347" customWidth="1"/>
    <col min="6324" max="6572" width="8.77734375" style="347"/>
    <col min="6573" max="6573" width="3.77734375" style="347" customWidth="1"/>
    <col min="6574" max="6574" width="45.77734375" style="347" customWidth="1"/>
    <col min="6575" max="6575" width="7.77734375" style="347" customWidth="1"/>
    <col min="6576" max="6576" width="5.77734375" style="347" customWidth="1"/>
    <col min="6577" max="6577" width="10.77734375" style="347" customWidth="1"/>
    <col min="6578" max="6578" width="3.77734375" style="347" customWidth="1"/>
    <col min="6579" max="6579" width="11.77734375" style="347" customWidth="1"/>
    <col min="6580" max="6828" width="8.77734375" style="347"/>
    <col min="6829" max="6829" width="3.77734375" style="347" customWidth="1"/>
    <col min="6830" max="6830" width="45.77734375" style="347" customWidth="1"/>
    <col min="6831" max="6831" width="7.77734375" style="347" customWidth="1"/>
    <col min="6832" max="6832" width="5.77734375" style="347" customWidth="1"/>
    <col min="6833" max="6833" width="10.77734375" style="347" customWidth="1"/>
    <col min="6834" max="6834" width="3.77734375" style="347" customWidth="1"/>
    <col min="6835" max="6835" width="11.77734375" style="347" customWidth="1"/>
    <col min="6836" max="7084" width="8.77734375" style="347"/>
    <col min="7085" max="7085" width="3.77734375" style="347" customWidth="1"/>
    <col min="7086" max="7086" width="45.77734375" style="347" customWidth="1"/>
    <col min="7087" max="7087" width="7.77734375" style="347" customWidth="1"/>
    <col min="7088" max="7088" width="5.77734375" style="347" customWidth="1"/>
    <col min="7089" max="7089" width="10.77734375" style="347" customWidth="1"/>
    <col min="7090" max="7090" width="3.77734375" style="347" customWidth="1"/>
    <col min="7091" max="7091" width="11.77734375" style="347" customWidth="1"/>
    <col min="7092" max="7340" width="8.77734375" style="347"/>
    <col min="7341" max="7341" width="3.77734375" style="347" customWidth="1"/>
    <col min="7342" max="7342" width="45.77734375" style="347" customWidth="1"/>
    <col min="7343" max="7343" width="7.77734375" style="347" customWidth="1"/>
    <col min="7344" max="7344" width="5.77734375" style="347" customWidth="1"/>
    <col min="7345" max="7345" width="10.77734375" style="347" customWidth="1"/>
    <col min="7346" max="7346" width="3.77734375" style="347" customWidth="1"/>
    <col min="7347" max="7347" width="11.77734375" style="347" customWidth="1"/>
    <col min="7348" max="7596" width="8.77734375" style="347"/>
    <col min="7597" max="7597" width="3.77734375" style="347" customWidth="1"/>
    <col min="7598" max="7598" width="45.77734375" style="347" customWidth="1"/>
    <col min="7599" max="7599" width="7.77734375" style="347" customWidth="1"/>
    <col min="7600" max="7600" width="5.77734375" style="347" customWidth="1"/>
    <col min="7601" max="7601" width="10.77734375" style="347" customWidth="1"/>
    <col min="7602" max="7602" width="3.77734375" style="347" customWidth="1"/>
    <col min="7603" max="7603" width="11.77734375" style="347" customWidth="1"/>
    <col min="7604" max="7852" width="8.77734375" style="347"/>
    <col min="7853" max="7853" width="3.77734375" style="347" customWidth="1"/>
    <col min="7854" max="7854" width="45.77734375" style="347" customWidth="1"/>
    <col min="7855" max="7855" width="7.77734375" style="347" customWidth="1"/>
    <col min="7856" max="7856" width="5.77734375" style="347" customWidth="1"/>
    <col min="7857" max="7857" width="10.77734375" style="347" customWidth="1"/>
    <col min="7858" max="7858" width="3.77734375" style="347" customWidth="1"/>
    <col min="7859" max="7859" width="11.77734375" style="347" customWidth="1"/>
    <col min="7860" max="8108" width="8.77734375" style="347"/>
    <col min="8109" max="8109" width="3.77734375" style="347" customWidth="1"/>
    <col min="8110" max="8110" width="45.77734375" style="347" customWidth="1"/>
    <col min="8111" max="8111" width="7.77734375" style="347" customWidth="1"/>
    <col min="8112" max="8112" width="5.77734375" style="347" customWidth="1"/>
    <col min="8113" max="8113" width="10.77734375" style="347" customWidth="1"/>
    <col min="8114" max="8114" width="3.77734375" style="347" customWidth="1"/>
    <col min="8115" max="8115" width="11.77734375" style="347" customWidth="1"/>
    <col min="8116" max="8364" width="8.77734375" style="347"/>
    <col min="8365" max="8365" width="3.77734375" style="347" customWidth="1"/>
    <col min="8366" max="8366" width="45.77734375" style="347" customWidth="1"/>
    <col min="8367" max="8367" width="7.77734375" style="347" customWidth="1"/>
    <col min="8368" max="8368" width="5.77734375" style="347" customWidth="1"/>
    <col min="8369" max="8369" width="10.77734375" style="347" customWidth="1"/>
    <col min="8370" max="8370" width="3.77734375" style="347" customWidth="1"/>
    <col min="8371" max="8371" width="11.77734375" style="347" customWidth="1"/>
    <col min="8372" max="8620" width="8.77734375" style="347"/>
    <col min="8621" max="8621" width="3.77734375" style="347" customWidth="1"/>
    <col min="8622" max="8622" width="45.77734375" style="347" customWidth="1"/>
    <col min="8623" max="8623" width="7.77734375" style="347" customWidth="1"/>
    <col min="8624" max="8624" width="5.77734375" style="347" customWidth="1"/>
    <col min="8625" max="8625" width="10.77734375" style="347" customWidth="1"/>
    <col min="8626" max="8626" width="3.77734375" style="347" customWidth="1"/>
    <col min="8627" max="8627" width="11.77734375" style="347" customWidth="1"/>
    <col min="8628" max="8876" width="8.77734375" style="347"/>
    <col min="8877" max="8877" width="3.77734375" style="347" customWidth="1"/>
    <col min="8878" max="8878" width="45.77734375" style="347" customWidth="1"/>
    <col min="8879" max="8879" width="7.77734375" style="347" customWidth="1"/>
    <col min="8880" max="8880" width="5.77734375" style="347" customWidth="1"/>
    <col min="8881" max="8881" width="10.77734375" style="347" customWidth="1"/>
    <col min="8882" max="8882" width="3.77734375" style="347" customWidth="1"/>
    <col min="8883" max="8883" width="11.77734375" style="347" customWidth="1"/>
    <col min="8884" max="9132" width="8.77734375" style="347"/>
    <col min="9133" max="9133" width="3.77734375" style="347" customWidth="1"/>
    <col min="9134" max="9134" width="45.77734375" style="347" customWidth="1"/>
    <col min="9135" max="9135" width="7.77734375" style="347" customWidth="1"/>
    <col min="9136" max="9136" width="5.77734375" style="347" customWidth="1"/>
    <col min="9137" max="9137" width="10.77734375" style="347" customWidth="1"/>
    <col min="9138" max="9138" width="3.77734375" style="347" customWidth="1"/>
    <col min="9139" max="9139" width="11.77734375" style="347" customWidth="1"/>
    <col min="9140" max="9388" width="8.77734375" style="347"/>
    <col min="9389" max="9389" width="3.77734375" style="347" customWidth="1"/>
    <col min="9390" max="9390" width="45.77734375" style="347" customWidth="1"/>
    <col min="9391" max="9391" width="7.77734375" style="347" customWidth="1"/>
    <col min="9392" max="9392" width="5.77734375" style="347" customWidth="1"/>
    <col min="9393" max="9393" width="10.77734375" style="347" customWidth="1"/>
    <col min="9394" max="9394" width="3.77734375" style="347" customWidth="1"/>
    <col min="9395" max="9395" width="11.77734375" style="347" customWidth="1"/>
    <col min="9396" max="9644" width="8.77734375" style="347"/>
    <col min="9645" max="9645" width="3.77734375" style="347" customWidth="1"/>
    <col min="9646" max="9646" width="45.77734375" style="347" customWidth="1"/>
    <col min="9647" max="9647" width="7.77734375" style="347" customWidth="1"/>
    <col min="9648" max="9648" width="5.77734375" style="347" customWidth="1"/>
    <col min="9649" max="9649" width="10.77734375" style="347" customWidth="1"/>
    <col min="9650" max="9650" width="3.77734375" style="347" customWidth="1"/>
    <col min="9651" max="9651" width="11.77734375" style="347" customWidth="1"/>
    <col min="9652" max="9900" width="8.77734375" style="347"/>
    <col min="9901" max="9901" width="3.77734375" style="347" customWidth="1"/>
    <col min="9902" max="9902" width="45.77734375" style="347" customWidth="1"/>
    <col min="9903" max="9903" width="7.77734375" style="347" customWidth="1"/>
    <col min="9904" max="9904" width="5.77734375" style="347" customWidth="1"/>
    <col min="9905" max="9905" width="10.77734375" style="347" customWidth="1"/>
    <col min="9906" max="9906" width="3.77734375" style="347" customWidth="1"/>
    <col min="9907" max="9907" width="11.77734375" style="347" customWidth="1"/>
    <col min="9908" max="10156" width="8.77734375" style="347"/>
    <col min="10157" max="10157" width="3.77734375" style="347" customWidth="1"/>
    <col min="10158" max="10158" width="45.77734375" style="347" customWidth="1"/>
    <col min="10159" max="10159" width="7.77734375" style="347" customWidth="1"/>
    <col min="10160" max="10160" width="5.77734375" style="347" customWidth="1"/>
    <col min="10161" max="10161" width="10.77734375" style="347" customWidth="1"/>
    <col min="10162" max="10162" width="3.77734375" style="347" customWidth="1"/>
    <col min="10163" max="10163" width="11.77734375" style="347" customWidth="1"/>
    <col min="10164" max="10412" width="8.77734375" style="347"/>
    <col min="10413" max="10413" width="3.77734375" style="347" customWidth="1"/>
    <col min="10414" max="10414" width="45.77734375" style="347" customWidth="1"/>
    <col min="10415" max="10415" width="7.77734375" style="347" customWidth="1"/>
    <col min="10416" max="10416" width="5.77734375" style="347" customWidth="1"/>
    <col min="10417" max="10417" width="10.77734375" style="347" customWidth="1"/>
    <col min="10418" max="10418" width="3.77734375" style="347" customWidth="1"/>
    <col min="10419" max="10419" width="11.77734375" style="347" customWidth="1"/>
    <col min="10420" max="10668" width="8.77734375" style="347"/>
    <col min="10669" max="10669" width="3.77734375" style="347" customWidth="1"/>
    <col min="10670" max="10670" width="45.77734375" style="347" customWidth="1"/>
    <col min="10671" max="10671" width="7.77734375" style="347" customWidth="1"/>
    <col min="10672" max="10672" width="5.77734375" style="347" customWidth="1"/>
    <col min="10673" max="10673" width="10.77734375" style="347" customWidth="1"/>
    <col min="10674" max="10674" width="3.77734375" style="347" customWidth="1"/>
    <col min="10675" max="10675" width="11.77734375" style="347" customWidth="1"/>
    <col min="10676" max="10924" width="8.77734375" style="347"/>
    <col min="10925" max="10925" width="3.77734375" style="347" customWidth="1"/>
    <col min="10926" max="10926" width="45.77734375" style="347" customWidth="1"/>
    <col min="10927" max="10927" width="7.77734375" style="347" customWidth="1"/>
    <col min="10928" max="10928" width="5.77734375" style="347" customWidth="1"/>
    <col min="10929" max="10929" width="10.77734375" style="347" customWidth="1"/>
    <col min="10930" max="10930" width="3.77734375" style="347" customWidth="1"/>
    <col min="10931" max="10931" width="11.77734375" style="347" customWidth="1"/>
    <col min="10932" max="11180" width="8.77734375" style="347"/>
    <col min="11181" max="11181" width="3.77734375" style="347" customWidth="1"/>
    <col min="11182" max="11182" width="45.77734375" style="347" customWidth="1"/>
    <col min="11183" max="11183" width="7.77734375" style="347" customWidth="1"/>
    <col min="11184" max="11184" width="5.77734375" style="347" customWidth="1"/>
    <col min="11185" max="11185" width="10.77734375" style="347" customWidth="1"/>
    <col min="11186" max="11186" width="3.77734375" style="347" customWidth="1"/>
    <col min="11187" max="11187" width="11.77734375" style="347" customWidth="1"/>
    <col min="11188" max="11436" width="8.77734375" style="347"/>
    <col min="11437" max="11437" width="3.77734375" style="347" customWidth="1"/>
    <col min="11438" max="11438" width="45.77734375" style="347" customWidth="1"/>
    <col min="11439" max="11439" width="7.77734375" style="347" customWidth="1"/>
    <col min="11440" max="11440" width="5.77734375" style="347" customWidth="1"/>
    <col min="11441" max="11441" width="10.77734375" style="347" customWidth="1"/>
    <col min="11442" max="11442" width="3.77734375" style="347" customWidth="1"/>
    <col min="11443" max="11443" width="11.77734375" style="347" customWidth="1"/>
    <col min="11444" max="11692" width="8.77734375" style="347"/>
    <col min="11693" max="11693" width="3.77734375" style="347" customWidth="1"/>
    <col min="11694" max="11694" width="45.77734375" style="347" customWidth="1"/>
    <col min="11695" max="11695" width="7.77734375" style="347" customWidth="1"/>
    <col min="11696" max="11696" width="5.77734375" style="347" customWidth="1"/>
    <col min="11697" max="11697" width="10.77734375" style="347" customWidth="1"/>
    <col min="11698" max="11698" width="3.77734375" style="347" customWidth="1"/>
    <col min="11699" max="11699" width="11.77734375" style="347" customWidth="1"/>
    <col min="11700" max="11948" width="8.77734375" style="347"/>
    <col min="11949" max="11949" width="3.77734375" style="347" customWidth="1"/>
    <col min="11950" max="11950" width="45.77734375" style="347" customWidth="1"/>
    <col min="11951" max="11951" width="7.77734375" style="347" customWidth="1"/>
    <col min="11952" max="11952" width="5.77734375" style="347" customWidth="1"/>
    <col min="11953" max="11953" width="10.77734375" style="347" customWidth="1"/>
    <col min="11954" max="11954" width="3.77734375" style="347" customWidth="1"/>
    <col min="11955" max="11955" width="11.77734375" style="347" customWidth="1"/>
    <col min="11956" max="12204" width="8.77734375" style="347"/>
    <col min="12205" max="12205" width="3.77734375" style="347" customWidth="1"/>
    <col min="12206" max="12206" width="45.77734375" style="347" customWidth="1"/>
    <col min="12207" max="12207" width="7.77734375" style="347" customWidth="1"/>
    <col min="12208" max="12208" width="5.77734375" style="347" customWidth="1"/>
    <col min="12209" max="12209" width="10.77734375" style="347" customWidth="1"/>
    <col min="12210" max="12210" width="3.77734375" style="347" customWidth="1"/>
    <col min="12211" max="12211" width="11.77734375" style="347" customWidth="1"/>
    <col min="12212" max="12460" width="8.77734375" style="347"/>
    <col min="12461" max="12461" width="3.77734375" style="347" customWidth="1"/>
    <col min="12462" max="12462" width="45.77734375" style="347" customWidth="1"/>
    <col min="12463" max="12463" width="7.77734375" style="347" customWidth="1"/>
    <col min="12464" max="12464" width="5.77734375" style="347" customWidth="1"/>
    <col min="12465" max="12465" width="10.77734375" style="347" customWidth="1"/>
    <col min="12466" max="12466" width="3.77734375" style="347" customWidth="1"/>
    <col min="12467" max="12467" width="11.77734375" style="347" customWidth="1"/>
    <col min="12468" max="12716" width="8.77734375" style="347"/>
    <col min="12717" max="12717" width="3.77734375" style="347" customWidth="1"/>
    <col min="12718" max="12718" width="45.77734375" style="347" customWidth="1"/>
    <col min="12719" max="12719" width="7.77734375" style="347" customWidth="1"/>
    <col min="12720" max="12720" width="5.77734375" style="347" customWidth="1"/>
    <col min="12721" max="12721" width="10.77734375" style="347" customWidth="1"/>
    <col min="12722" max="12722" width="3.77734375" style="347" customWidth="1"/>
    <col min="12723" max="12723" width="11.77734375" style="347" customWidth="1"/>
    <col min="12724" max="12972" width="8.77734375" style="347"/>
    <col min="12973" max="12973" width="3.77734375" style="347" customWidth="1"/>
    <col min="12974" max="12974" width="45.77734375" style="347" customWidth="1"/>
    <col min="12975" max="12975" width="7.77734375" style="347" customWidth="1"/>
    <col min="12976" max="12976" width="5.77734375" style="347" customWidth="1"/>
    <col min="12977" max="12977" width="10.77734375" style="347" customWidth="1"/>
    <col min="12978" max="12978" width="3.77734375" style="347" customWidth="1"/>
    <col min="12979" max="12979" width="11.77734375" style="347" customWidth="1"/>
    <col min="12980" max="13228" width="8.77734375" style="347"/>
    <col min="13229" max="13229" width="3.77734375" style="347" customWidth="1"/>
    <col min="13230" max="13230" width="45.77734375" style="347" customWidth="1"/>
    <col min="13231" max="13231" width="7.77734375" style="347" customWidth="1"/>
    <col min="13232" max="13232" width="5.77734375" style="347" customWidth="1"/>
    <col min="13233" max="13233" width="10.77734375" style="347" customWidth="1"/>
    <col min="13234" max="13234" width="3.77734375" style="347" customWidth="1"/>
    <col min="13235" max="13235" width="11.77734375" style="347" customWidth="1"/>
    <col min="13236" max="13484" width="8.77734375" style="347"/>
    <col min="13485" max="13485" width="3.77734375" style="347" customWidth="1"/>
    <col min="13486" max="13486" width="45.77734375" style="347" customWidth="1"/>
    <col min="13487" max="13487" width="7.77734375" style="347" customWidth="1"/>
    <col min="13488" max="13488" width="5.77734375" style="347" customWidth="1"/>
    <col min="13489" max="13489" width="10.77734375" style="347" customWidth="1"/>
    <col min="13490" max="13490" width="3.77734375" style="347" customWidth="1"/>
    <col min="13491" max="13491" width="11.77734375" style="347" customWidth="1"/>
    <col min="13492" max="13740" width="8.77734375" style="347"/>
    <col min="13741" max="13741" width="3.77734375" style="347" customWidth="1"/>
    <col min="13742" max="13742" width="45.77734375" style="347" customWidth="1"/>
    <col min="13743" max="13743" width="7.77734375" style="347" customWidth="1"/>
    <col min="13744" max="13744" width="5.77734375" style="347" customWidth="1"/>
    <col min="13745" max="13745" width="10.77734375" style="347" customWidth="1"/>
    <col min="13746" max="13746" width="3.77734375" style="347" customWidth="1"/>
    <col min="13747" max="13747" width="11.77734375" style="347" customWidth="1"/>
    <col min="13748" max="13996" width="8.77734375" style="347"/>
    <col min="13997" max="13997" width="3.77734375" style="347" customWidth="1"/>
    <col min="13998" max="13998" width="45.77734375" style="347" customWidth="1"/>
    <col min="13999" max="13999" width="7.77734375" style="347" customWidth="1"/>
    <col min="14000" max="14000" width="5.77734375" style="347" customWidth="1"/>
    <col min="14001" max="14001" width="10.77734375" style="347" customWidth="1"/>
    <col min="14002" max="14002" width="3.77734375" style="347" customWidth="1"/>
    <col min="14003" max="14003" width="11.77734375" style="347" customWidth="1"/>
    <col min="14004" max="14252" width="8.77734375" style="347"/>
    <col min="14253" max="14253" width="3.77734375" style="347" customWidth="1"/>
    <col min="14254" max="14254" width="45.77734375" style="347" customWidth="1"/>
    <col min="14255" max="14255" width="7.77734375" style="347" customWidth="1"/>
    <col min="14256" max="14256" width="5.77734375" style="347" customWidth="1"/>
    <col min="14257" max="14257" width="10.77734375" style="347" customWidth="1"/>
    <col min="14258" max="14258" width="3.77734375" style="347" customWidth="1"/>
    <col min="14259" max="14259" width="11.77734375" style="347" customWidth="1"/>
    <col min="14260" max="14508" width="8.77734375" style="347"/>
    <col min="14509" max="14509" width="3.77734375" style="347" customWidth="1"/>
    <col min="14510" max="14510" width="45.77734375" style="347" customWidth="1"/>
    <col min="14511" max="14511" width="7.77734375" style="347" customWidth="1"/>
    <col min="14512" max="14512" width="5.77734375" style="347" customWidth="1"/>
    <col min="14513" max="14513" width="10.77734375" style="347" customWidth="1"/>
    <col min="14514" max="14514" width="3.77734375" style="347" customWidth="1"/>
    <col min="14515" max="14515" width="11.77734375" style="347" customWidth="1"/>
    <col min="14516" max="14764" width="8.77734375" style="347"/>
    <col min="14765" max="14765" width="3.77734375" style="347" customWidth="1"/>
    <col min="14766" max="14766" width="45.77734375" style="347" customWidth="1"/>
    <col min="14767" max="14767" width="7.77734375" style="347" customWidth="1"/>
    <col min="14768" max="14768" width="5.77734375" style="347" customWidth="1"/>
    <col min="14769" max="14769" width="10.77734375" style="347" customWidth="1"/>
    <col min="14770" max="14770" width="3.77734375" style="347" customWidth="1"/>
    <col min="14771" max="14771" width="11.77734375" style="347" customWidth="1"/>
    <col min="14772" max="15020" width="8.77734375" style="347"/>
    <col min="15021" max="15021" width="3.77734375" style="347" customWidth="1"/>
    <col min="15022" max="15022" width="45.77734375" style="347" customWidth="1"/>
    <col min="15023" max="15023" width="7.77734375" style="347" customWidth="1"/>
    <col min="15024" max="15024" width="5.77734375" style="347" customWidth="1"/>
    <col min="15025" max="15025" width="10.77734375" style="347" customWidth="1"/>
    <col min="15026" max="15026" width="3.77734375" style="347" customWidth="1"/>
    <col min="15027" max="15027" width="11.77734375" style="347" customWidth="1"/>
    <col min="15028" max="15276" width="8.77734375" style="347"/>
    <col min="15277" max="15277" width="3.77734375" style="347" customWidth="1"/>
    <col min="15278" max="15278" width="45.77734375" style="347" customWidth="1"/>
    <col min="15279" max="15279" width="7.77734375" style="347" customWidth="1"/>
    <col min="15280" max="15280" width="5.77734375" style="347" customWidth="1"/>
    <col min="15281" max="15281" width="10.77734375" style="347" customWidth="1"/>
    <col min="15282" max="15282" width="3.77734375" style="347" customWidth="1"/>
    <col min="15283" max="15283" width="11.77734375" style="347" customWidth="1"/>
    <col min="15284" max="15532" width="8.77734375" style="347"/>
    <col min="15533" max="15533" width="3.77734375" style="347" customWidth="1"/>
    <col min="15534" max="15534" width="45.77734375" style="347" customWidth="1"/>
    <col min="15535" max="15535" width="7.77734375" style="347" customWidth="1"/>
    <col min="15536" max="15536" width="5.77734375" style="347" customWidth="1"/>
    <col min="15537" max="15537" width="10.77734375" style="347" customWidth="1"/>
    <col min="15538" max="15538" width="3.77734375" style="347" customWidth="1"/>
    <col min="15539" max="15539" width="11.77734375" style="347" customWidth="1"/>
    <col min="15540" max="16384" width="8.77734375" style="347"/>
  </cols>
  <sheetData>
    <row r="1" spans="1:6" ht="42.75" customHeight="1">
      <c r="A1" s="341"/>
      <c r="B1" s="342" t="s">
        <v>1234</v>
      </c>
      <c r="C1" s="343" t="s">
        <v>1235</v>
      </c>
      <c r="D1" s="344" t="s">
        <v>1236</v>
      </c>
      <c r="E1" s="345" t="s">
        <v>1237</v>
      </c>
      <c r="F1" s="346" t="s">
        <v>1238</v>
      </c>
    </row>
    <row r="2" spans="1:6">
      <c r="A2" s="348" t="s">
        <v>1239</v>
      </c>
      <c r="B2" s="349" t="s">
        <v>1240</v>
      </c>
      <c r="C2" s="350"/>
      <c r="D2" s="351"/>
      <c r="E2" s="352"/>
      <c r="F2" s="353"/>
    </row>
    <row r="3" spans="1:6">
      <c r="A3" s="354"/>
      <c r="B3" s="355"/>
      <c r="C3" s="356"/>
      <c r="D3" s="357"/>
      <c r="E3" s="358"/>
      <c r="F3" s="359"/>
    </row>
    <row r="4" spans="1:6">
      <c r="A4" s="360" t="s">
        <v>1241</v>
      </c>
      <c r="B4" s="361" t="s">
        <v>1242</v>
      </c>
      <c r="C4" s="362"/>
      <c r="D4" s="363"/>
      <c r="E4" s="364"/>
      <c r="F4" s="365"/>
    </row>
    <row r="5" spans="1:6">
      <c r="A5" s="354"/>
      <c r="B5" s="366"/>
      <c r="C5" s="356"/>
      <c r="D5" s="357"/>
      <c r="E5" s="358"/>
      <c r="F5" s="359"/>
    </row>
    <row r="6" spans="1:6" ht="57.6">
      <c r="A6" s="367">
        <v>1</v>
      </c>
      <c r="B6" s="368" t="s">
        <v>1243</v>
      </c>
      <c r="C6" s="369" t="s">
        <v>213</v>
      </c>
      <c r="D6" s="357">
        <v>1</v>
      </c>
      <c r="E6" s="358">
        <v>500</v>
      </c>
      <c r="F6" s="359">
        <f>SUM(D6*E6)</f>
        <v>500</v>
      </c>
    </row>
    <row r="7" spans="1:6">
      <c r="A7" s="354"/>
      <c r="B7" s="366"/>
      <c r="C7" s="356"/>
      <c r="D7" s="357"/>
      <c r="E7" s="358"/>
      <c r="F7" s="359"/>
    </row>
    <row r="8" spans="1:6" ht="26.4">
      <c r="A8" s="370">
        <v>2</v>
      </c>
      <c r="B8" s="371" t="s">
        <v>1244</v>
      </c>
      <c r="C8" s="372" t="s">
        <v>214</v>
      </c>
      <c r="D8" s="373">
        <v>45</v>
      </c>
      <c r="E8" s="358">
        <v>10</v>
      </c>
      <c r="F8" s="374">
        <f>SUM(D8*E8)</f>
        <v>450</v>
      </c>
    </row>
    <row r="9" spans="1:6">
      <c r="A9" s="370"/>
      <c r="B9" s="371"/>
      <c r="C9" s="372"/>
      <c r="E9" s="358"/>
    </row>
    <row r="10" spans="1:6" ht="198">
      <c r="A10" s="375">
        <v>3</v>
      </c>
      <c r="B10" s="376" t="s">
        <v>1245</v>
      </c>
      <c r="D10" s="378" t="s">
        <v>1246</v>
      </c>
      <c r="E10" s="358"/>
      <c r="F10" s="379"/>
    </row>
    <row r="11" spans="1:6" ht="52.8">
      <c r="A11" s="375"/>
      <c r="B11" s="380" t="s">
        <v>1247</v>
      </c>
      <c r="C11" s="381" t="s">
        <v>214</v>
      </c>
      <c r="D11" s="382">
        <v>45</v>
      </c>
      <c r="E11" s="358">
        <v>20</v>
      </c>
    </row>
    <row r="12" spans="1:6" ht="16.2">
      <c r="A12" s="375"/>
      <c r="B12" s="383" t="s">
        <v>1248</v>
      </c>
      <c r="C12" s="384" t="s">
        <v>1249</v>
      </c>
      <c r="D12" s="378">
        <v>27</v>
      </c>
      <c r="E12" s="358">
        <v>50</v>
      </c>
    </row>
    <row r="13" spans="1:6">
      <c r="A13" s="375"/>
      <c r="B13" s="383"/>
      <c r="C13" s="372" t="s">
        <v>213</v>
      </c>
      <c r="D13" s="378">
        <v>1</v>
      </c>
      <c r="E13" s="358">
        <v>500</v>
      </c>
      <c r="F13" s="374">
        <f>SUM(D13*E13)</f>
        <v>500</v>
      </c>
    </row>
    <row r="14" spans="1:6">
      <c r="A14" s="375"/>
      <c r="D14" s="373" t="s">
        <v>1246</v>
      </c>
      <c r="E14" s="358"/>
    </row>
    <row r="15" spans="1:6" ht="115.2">
      <c r="A15" s="375">
        <v>4</v>
      </c>
      <c r="B15" s="385" t="s">
        <v>1250</v>
      </c>
      <c r="E15" s="358"/>
    </row>
    <row r="16" spans="1:6" ht="16.2">
      <c r="A16" s="375"/>
      <c r="B16" s="386" t="s">
        <v>811</v>
      </c>
      <c r="C16" s="372" t="s">
        <v>1251</v>
      </c>
      <c r="D16" s="373">
        <v>65</v>
      </c>
      <c r="E16" s="358">
        <v>20</v>
      </c>
      <c r="F16" s="374">
        <f>SUM(D16*E16)</f>
        <v>1300</v>
      </c>
    </row>
    <row r="17" spans="1:6">
      <c r="A17" s="375"/>
      <c r="B17" s="386"/>
      <c r="C17" s="372"/>
      <c r="E17" s="358"/>
      <c r="F17" s="387"/>
    </row>
    <row r="18" spans="1:6" ht="16.2">
      <c r="A18" s="388">
        <v>5</v>
      </c>
      <c r="B18" s="389" t="s">
        <v>806</v>
      </c>
      <c r="C18" s="390" t="s">
        <v>1252</v>
      </c>
      <c r="D18" s="373">
        <v>57</v>
      </c>
      <c r="E18" s="358">
        <v>5</v>
      </c>
      <c r="F18" s="374">
        <f>SUM(D18*E18)</f>
        <v>285</v>
      </c>
    </row>
    <row r="19" spans="1:6">
      <c r="A19" s="375"/>
      <c r="B19" s="386"/>
      <c r="C19" s="372"/>
      <c r="E19" s="358"/>
      <c r="F19" s="387"/>
    </row>
    <row r="20" spans="1:6" ht="39.6">
      <c r="A20" s="370">
        <v>6</v>
      </c>
      <c r="B20" s="371" t="s">
        <v>807</v>
      </c>
      <c r="C20" s="372" t="s">
        <v>1251</v>
      </c>
      <c r="D20" s="373">
        <v>8.6</v>
      </c>
      <c r="E20" s="358">
        <v>60</v>
      </c>
      <c r="F20" s="374">
        <f>SUM(D20*E20)</f>
        <v>516</v>
      </c>
    </row>
    <row r="21" spans="1:6">
      <c r="A21" s="375"/>
      <c r="B21" s="386"/>
      <c r="C21" s="372"/>
      <c r="E21" s="358"/>
      <c r="F21" s="387"/>
    </row>
    <row r="22" spans="1:6" ht="39.6">
      <c r="A22" s="391">
        <v>7</v>
      </c>
      <c r="B22" s="392" t="s">
        <v>1253</v>
      </c>
      <c r="C22" s="372" t="s">
        <v>1251</v>
      </c>
      <c r="D22" s="373">
        <v>18</v>
      </c>
      <c r="E22" s="358">
        <v>60</v>
      </c>
      <c r="F22" s="374">
        <f>SUM(D22*E22)</f>
        <v>1080</v>
      </c>
    </row>
    <row r="23" spans="1:6">
      <c r="A23" s="391"/>
      <c r="B23" s="392"/>
      <c r="C23" s="372"/>
      <c r="E23" s="358"/>
      <c r="F23" s="387"/>
    </row>
    <row r="24" spans="1:6" ht="52.8">
      <c r="A24" s="393">
        <v>8</v>
      </c>
      <c r="B24" s="394" t="s">
        <v>809</v>
      </c>
      <c r="C24" s="372" t="s">
        <v>214</v>
      </c>
      <c r="D24" s="373">
        <v>86</v>
      </c>
      <c r="E24" s="358">
        <v>2</v>
      </c>
      <c r="F24" s="374">
        <f>SUM(D24*E24)</f>
        <v>172</v>
      </c>
    </row>
    <row r="25" spans="1:6">
      <c r="A25" s="375"/>
      <c r="B25" s="386"/>
      <c r="C25" s="372"/>
      <c r="E25" s="358"/>
      <c r="F25" s="387"/>
    </row>
    <row r="26" spans="1:6" ht="66">
      <c r="A26" s="393">
        <v>9</v>
      </c>
      <c r="B26" s="394" t="s">
        <v>808</v>
      </c>
      <c r="C26" s="372" t="s">
        <v>1251</v>
      </c>
      <c r="D26" s="373">
        <v>45</v>
      </c>
      <c r="E26" s="358">
        <v>20</v>
      </c>
      <c r="F26" s="374">
        <f>SUM(D26*E26)</f>
        <v>900</v>
      </c>
    </row>
    <row r="27" spans="1:6">
      <c r="A27" s="375"/>
      <c r="B27" s="386"/>
      <c r="C27" s="372"/>
      <c r="E27" s="358"/>
      <c r="F27" s="387"/>
    </row>
    <row r="28" spans="1:6" ht="66">
      <c r="A28" s="395">
        <v>10</v>
      </c>
      <c r="B28" s="396" t="s">
        <v>1254</v>
      </c>
      <c r="C28" s="372" t="s">
        <v>1251</v>
      </c>
      <c r="D28" s="373">
        <v>38</v>
      </c>
      <c r="E28" s="358">
        <v>15</v>
      </c>
      <c r="F28" s="374">
        <f>SUM(D28*E28)</f>
        <v>570</v>
      </c>
    </row>
    <row r="29" spans="1:6">
      <c r="A29" s="375"/>
      <c r="B29" s="386"/>
      <c r="C29" s="372"/>
      <c r="E29" s="358"/>
      <c r="F29" s="387"/>
    </row>
    <row r="30" spans="1:6" ht="52.8">
      <c r="A30" s="395">
        <v>11</v>
      </c>
      <c r="B30" s="396" t="s">
        <v>1255</v>
      </c>
      <c r="C30" s="372" t="s">
        <v>1252</v>
      </c>
      <c r="D30" s="373">
        <v>94</v>
      </c>
      <c r="E30" s="358">
        <v>15</v>
      </c>
      <c r="F30" s="374">
        <f>SUM(D30*E30)</f>
        <v>1410</v>
      </c>
    </row>
    <row r="31" spans="1:6">
      <c r="A31" s="375"/>
      <c r="B31" s="386"/>
      <c r="C31" s="372"/>
      <c r="E31" s="358"/>
      <c r="F31" s="387"/>
    </row>
    <row r="32" spans="1:6">
      <c r="A32" s="397" t="s">
        <v>1241</v>
      </c>
      <c r="B32" s="398" t="s">
        <v>38</v>
      </c>
      <c r="C32" s="399"/>
      <c r="D32" s="400" t="s">
        <v>1246</v>
      </c>
      <c r="E32" s="401"/>
      <c r="F32" s="402">
        <f>SUM(F6:F31)</f>
        <v>7683</v>
      </c>
    </row>
    <row r="33" spans="1:6">
      <c r="A33" s="375"/>
      <c r="B33" s="386"/>
      <c r="C33" s="372"/>
      <c r="F33" s="387"/>
    </row>
    <row r="34" spans="1:6">
      <c r="A34" s="404" t="s">
        <v>1256</v>
      </c>
      <c r="B34" s="405" t="s">
        <v>1257</v>
      </c>
      <c r="C34" s="406"/>
      <c r="D34" s="407" t="s">
        <v>1246</v>
      </c>
      <c r="E34" s="408"/>
      <c r="F34" s="409"/>
    </row>
    <row r="35" spans="1:6">
      <c r="A35" s="375"/>
      <c r="B35" s="386"/>
      <c r="C35" s="372"/>
      <c r="F35" s="387"/>
    </row>
    <row r="36" spans="1:6" ht="91.5" customHeight="1">
      <c r="A36" s="410">
        <v>1</v>
      </c>
      <c r="B36" s="411" t="s">
        <v>1258</v>
      </c>
      <c r="C36" s="372" t="s">
        <v>213</v>
      </c>
      <c r="D36" s="373">
        <v>1</v>
      </c>
      <c r="E36" s="403">
        <v>2500</v>
      </c>
      <c r="F36" s="374">
        <f>SUM(D36*E36)</f>
        <v>2500</v>
      </c>
    </row>
    <row r="37" spans="1:6">
      <c r="A37" s="412"/>
      <c r="B37" s="413"/>
      <c r="C37" s="414"/>
      <c r="F37" s="415"/>
    </row>
    <row r="38" spans="1:6" ht="150.75" customHeight="1">
      <c r="A38" s="410">
        <v>2</v>
      </c>
      <c r="B38" s="416" t="s">
        <v>1259</v>
      </c>
      <c r="D38" s="373" t="s">
        <v>1246</v>
      </c>
    </row>
    <row r="39" spans="1:6">
      <c r="B39" s="418" t="s">
        <v>1260</v>
      </c>
      <c r="C39" s="414" t="s">
        <v>214</v>
      </c>
      <c r="D39" s="373">
        <v>45</v>
      </c>
      <c r="E39" s="403">
        <v>100</v>
      </c>
      <c r="F39" s="374">
        <f t="shared" ref="F39" si="0">SUM(D39*E39)</f>
        <v>4500</v>
      </c>
    </row>
    <row r="40" spans="1:6">
      <c r="D40" s="373" t="s">
        <v>1246</v>
      </c>
    </row>
    <row r="41" spans="1:6" ht="122.25" customHeight="1">
      <c r="A41" s="419">
        <v>3</v>
      </c>
      <c r="B41" s="420" t="s">
        <v>1261</v>
      </c>
      <c r="C41" s="372"/>
      <c r="F41" s="387"/>
    </row>
    <row r="42" spans="1:6">
      <c r="B42" s="421" t="s">
        <v>1262</v>
      </c>
      <c r="C42" s="372" t="s">
        <v>214</v>
      </c>
      <c r="D42" s="373">
        <v>45</v>
      </c>
      <c r="E42" s="403">
        <v>60</v>
      </c>
      <c r="F42" s="374">
        <f t="shared" ref="F42" si="1">SUM(D42*E42)</f>
        <v>2700</v>
      </c>
    </row>
    <row r="43" spans="1:6">
      <c r="D43" s="373" t="s">
        <v>1246</v>
      </c>
    </row>
    <row r="44" spans="1:6" ht="79.2">
      <c r="A44" s="422">
        <v>4</v>
      </c>
      <c r="B44" s="423" t="s">
        <v>1263</v>
      </c>
      <c r="D44" s="373" t="s">
        <v>1246</v>
      </c>
    </row>
    <row r="45" spans="1:6" ht="33" customHeight="1">
      <c r="B45" s="424" t="s">
        <v>1264</v>
      </c>
    </row>
    <row r="46" spans="1:6">
      <c r="B46" s="425" t="s">
        <v>1265</v>
      </c>
    </row>
    <row r="47" spans="1:6">
      <c r="A47" s="375"/>
      <c r="B47" s="425" t="s">
        <v>1266</v>
      </c>
      <c r="D47" s="373" t="s">
        <v>1246</v>
      </c>
    </row>
    <row r="48" spans="1:6">
      <c r="A48" s="375"/>
      <c r="B48" s="385" t="s">
        <v>1267</v>
      </c>
      <c r="D48" s="373" t="s">
        <v>1246</v>
      </c>
    </row>
    <row r="49" spans="1:6">
      <c r="A49" s="375"/>
      <c r="B49" s="385" t="s">
        <v>1268</v>
      </c>
    </row>
    <row r="50" spans="1:6">
      <c r="A50" s="375"/>
      <c r="B50" s="385" t="s">
        <v>1269</v>
      </c>
    </row>
    <row r="51" spans="1:6">
      <c r="A51" s="375"/>
      <c r="B51" s="385" t="s">
        <v>1270</v>
      </c>
    </row>
    <row r="52" spans="1:6" ht="33.75" customHeight="1">
      <c r="A52" s="375"/>
      <c r="B52" s="385" t="s">
        <v>1271</v>
      </c>
    </row>
    <row r="53" spans="1:6" ht="33.75" customHeight="1">
      <c r="A53" s="375"/>
      <c r="B53" s="385" t="s">
        <v>1272</v>
      </c>
    </row>
    <row r="54" spans="1:6" ht="16.5" customHeight="1">
      <c r="A54" s="375"/>
      <c r="B54" s="385" t="s">
        <v>1273</v>
      </c>
    </row>
    <row r="55" spans="1:6" ht="16.5" customHeight="1">
      <c r="A55" s="375"/>
      <c r="B55" s="385" t="s">
        <v>1274</v>
      </c>
    </row>
    <row r="56" spans="1:6" ht="16.5" customHeight="1">
      <c r="A56" s="375"/>
      <c r="B56" s="385" t="s">
        <v>1275</v>
      </c>
    </row>
    <row r="57" spans="1:6" ht="16.5" customHeight="1">
      <c r="A57" s="375"/>
      <c r="B57" s="385" t="s">
        <v>1276</v>
      </c>
    </row>
    <row r="58" spans="1:6" ht="52.5" customHeight="1">
      <c r="A58" s="375"/>
      <c r="B58" s="385" t="s">
        <v>1277</v>
      </c>
    </row>
    <row r="59" spans="1:6">
      <c r="B59" s="426" t="s">
        <v>816</v>
      </c>
      <c r="C59" s="414" t="s">
        <v>213</v>
      </c>
      <c r="D59" s="373">
        <v>1</v>
      </c>
      <c r="E59" s="403">
        <v>2500</v>
      </c>
      <c r="F59" s="374">
        <f>SUM(D59*E59)</f>
        <v>2500</v>
      </c>
    </row>
    <row r="60" spans="1:6" ht="11.55" customHeight="1">
      <c r="B60" s="426"/>
      <c r="C60" s="372"/>
      <c r="F60" s="387"/>
    </row>
    <row r="61" spans="1:6" s="430" customFormat="1" ht="33" customHeight="1">
      <c r="A61" s="427">
        <v>5</v>
      </c>
      <c r="B61" s="428" t="s">
        <v>1278</v>
      </c>
      <c r="C61" s="429" t="s">
        <v>213</v>
      </c>
      <c r="D61" s="373">
        <v>1</v>
      </c>
      <c r="E61" s="403">
        <v>500</v>
      </c>
      <c r="F61" s="374">
        <f>SUM(D61*E61)</f>
        <v>500</v>
      </c>
    </row>
    <row r="62" spans="1:6" ht="12.6" customHeight="1">
      <c r="B62" s="426"/>
      <c r="C62" s="372"/>
      <c r="F62" s="387"/>
    </row>
    <row r="63" spans="1:6" ht="47.25" customHeight="1">
      <c r="A63" s="431">
        <v>6</v>
      </c>
      <c r="B63" s="432" t="s">
        <v>1279</v>
      </c>
      <c r="C63" s="372" t="s">
        <v>213</v>
      </c>
      <c r="D63" s="373">
        <v>1</v>
      </c>
      <c r="E63" s="403">
        <v>1000</v>
      </c>
      <c r="F63" s="374">
        <f>SUM(D63*E63)</f>
        <v>1000</v>
      </c>
    </row>
    <row r="64" spans="1:6">
      <c r="A64" s="375"/>
      <c r="D64" s="373" t="s">
        <v>1246</v>
      </c>
    </row>
    <row r="65" spans="1:6" ht="46.5" customHeight="1">
      <c r="A65" s="433">
        <v>7</v>
      </c>
      <c r="B65" s="434" t="s">
        <v>1280</v>
      </c>
      <c r="C65" s="372" t="s">
        <v>213</v>
      </c>
      <c r="D65" s="373">
        <v>1</v>
      </c>
      <c r="E65" s="403">
        <v>1000</v>
      </c>
      <c r="F65" s="374">
        <f>SUM(D65*E65)</f>
        <v>1000</v>
      </c>
    </row>
    <row r="66" spans="1:6">
      <c r="A66" s="433"/>
      <c r="B66" s="434"/>
      <c r="C66" s="372"/>
      <c r="F66" s="387"/>
    </row>
    <row r="67" spans="1:6" ht="17.25" customHeight="1">
      <c r="A67" s="397" t="s">
        <v>1256</v>
      </c>
      <c r="B67" s="398" t="s">
        <v>38</v>
      </c>
      <c r="C67" s="399"/>
      <c r="D67" s="400" t="s">
        <v>1246</v>
      </c>
      <c r="E67" s="401"/>
      <c r="F67" s="402">
        <f>SUM(F36:F65)</f>
        <v>14700</v>
      </c>
    </row>
    <row r="68" spans="1:6">
      <c r="D68" s="435"/>
    </row>
    <row r="69" spans="1:6">
      <c r="A69" s="404" t="s">
        <v>1281</v>
      </c>
      <c r="B69" s="405" t="s">
        <v>1282</v>
      </c>
      <c r="C69" s="406"/>
      <c r="D69" s="407" t="s">
        <v>1246</v>
      </c>
      <c r="E69" s="408"/>
      <c r="F69" s="409"/>
    </row>
    <row r="70" spans="1:6">
      <c r="D70" s="373" t="s">
        <v>1246</v>
      </c>
    </row>
    <row r="71" spans="1:6" ht="66">
      <c r="A71" s="436">
        <v>1</v>
      </c>
      <c r="B71" s="437" t="s">
        <v>833</v>
      </c>
      <c r="C71" s="372" t="s">
        <v>213</v>
      </c>
      <c r="D71" s="373">
        <v>1</v>
      </c>
      <c r="E71" s="403">
        <v>1000</v>
      </c>
      <c r="F71" s="374">
        <f>SUM(D71*E71)</f>
        <v>1000</v>
      </c>
    </row>
    <row r="72" spans="1:6">
      <c r="A72" s="375"/>
      <c r="D72" s="373" t="s">
        <v>1246</v>
      </c>
    </row>
    <row r="73" spans="1:6">
      <c r="A73" s="397" t="s">
        <v>1281</v>
      </c>
      <c r="B73" s="398" t="s">
        <v>38</v>
      </c>
      <c r="C73" s="399"/>
      <c r="D73" s="400" t="s">
        <v>1246</v>
      </c>
      <c r="E73" s="401"/>
      <c r="F73" s="402">
        <f>SUM(F71:F72)</f>
        <v>1000</v>
      </c>
    </row>
    <row r="74" spans="1:6">
      <c r="D74" s="435"/>
    </row>
    <row r="75" spans="1:6">
      <c r="A75" s="348" t="s">
        <v>1283</v>
      </c>
      <c r="B75" s="349" t="s">
        <v>1284</v>
      </c>
      <c r="C75" s="350"/>
      <c r="D75" s="351"/>
      <c r="E75" s="352"/>
      <c r="F75" s="353"/>
    </row>
    <row r="76" spans="1:6">
      <c r="A76" s="354"/>
      <c r="B76" s="366"/>
      <c r="C76" s="356"/>
      <c r="D76" s="438"/>
      <c r="E76" s="358"/>
      <c r="F76" s="359"/>
    </row>
    <row r="77" spans="1:6">
      <c r="A77" s="360" t="s">
        <v>1285</v>
      </c>
      <c r="B77" s="361" t="s">
        <v>1242</v>
      </c>
      <c r="C77" s="439"/>
      <c r="D77" s="440"/>
      <c r="E77" s="441"/>
      <c r="F77" s="365"/>
    </row>
    <row r="78" spans="1:6">
      <c r="A78" s="354"/>
      <c r="B78" s="366"/>
      <c r="C78" s="356"/>
      <c r="D78" s="357"/>
      <c r="E78" s="358"/>
      <c r="F78" s="359"/>
    </row>
    <row r="79" spans="1:6" ht="43.2">
      <c r="A79" s="370">
        <v>1</v>
      </c>
      <c r="B79" s="368" t="s">
        <v>2318</v>
      </c>
      <c r="C79" s="372" t="s">
        <v>214</v>
      </c>
      <c r="D79" s="373">
        <v>465</v>
      </c>
      <c r="E79" s="403">
        <v>2</v>
      </c>
      <c r="F79" s="374">
        <f>SUM(D79*E79)</f>
        <v>930</v>
      </c>
    </row>
    <row r="80" spans="1:6">
      <c r="A80" s="370"/>
      <c r="B80" s="371"/>
      <c r="C80" s="372"/>
    </row>
    <row r="81" spans="1:6" ht="112.95" customHeight="1">
      <c r="A81" s="375">
        <v>2</v>
      </c>
      <c r="B81" s="442" t="s">
        <v>1286</v>
      </c>
    </row>
    <row r="82" spans="1:6" ht="16.2">
      <c r="A82" s="375"/>
      <c r="B82" s="386" t="s">
        <v>811</v>
      </c>
      <c r="C82" s="372" t="s">
        <v>1251</v>
      </c>
      <c r="D82" s="373">
        <v>465</v>
      </c>
      <c r="E82" s="403">
        <v>10</v>
      </c>
      <c r="F82" s="374">
        <f>SUM(D82*E82)</f>
        <v>4650</v>
      </c>
    </row>
    <row r="83" spans="1:6">
      <c r="A83" s="375"/>
      <c r="B83" s="386"/>
      <c r="C83" s="372"/>
      <c r="F83" s="387"/>
    </row>
    <row r="84" spans="1:6" ht="95.25" customHeight="1">
      <c r="A84" s="443">
        <v>3</v>
      </c>
      <c r="B84" s="444" t="s">
        <v>1287</v>
      </c>
      <c r="C84" s="414" t="s">
        <v>1251</v>
      </c>
      <c r="D84" s="373">
        <v>68</v>
      </c>
      <c r="E84" s="403">
        <v>20</v>
      </c>
      <c r="F84" s="374">
        <f>SUM(D84*E84)</f>
        <v>1360</v>
      </c>
    </row>
    <row r="85" spans="1:6">
      <c r="A85" s="375"/>
      <c r="B85" s="445"/>
      <c r="C85" s="414"/>
    </row>
    <row r="86" spans="1:6" ht="16.2">
      <c r="A86" s="388">
        <v>4</v>
      </c>
      <c r="B86" s="389" t="s">
        <v>806</v>
      </c>
      <c r="C86" s="390" t="s">
        <v>1252</v>
      </c>
      <c r="D86" s="373">
        <v>252</v>
      </c>
      <c r="E86" s="403">
        <v>2</v>
      </c>
      <c r="F86" s="374">
        <f>SUM(D86*E86)</f>
        <v>504</v>
      </c>
    </row>
    <row r="87" spans="1:6">
      <c r="A87" s="375"/>
      <c r="B87" s="386"/>
      <c r="C87" s="372"/>
      <c r="F87" s="387"/>
    </row>
    <row r="88" spans="1:6" ht="39.6">
      <c r="A88" s="370">
        <v>5</v>
      </c>
      <c r="B88" s="371" t="s">
        <v>807</v>
      </c>
      <c r="C88" s="372" t="s">
        <v>1251</v>
      </c>
      <c r="D88" s="373">
        <v>44</v>
      </c>
      <c r="E88" s="403">
        <v>60</v>
      </c>
      <c r="F88" s="374">
        <f>SUM(D88*E88)</f>
        <v>2640</v>
      </c>
    </row>
    <row r="89" spans="1:6">
      <c r="A89" s="375"/>
      <c r="B89" s="386"/>
      <c r="C89" s="372"/>
      <c r="F89" s="387"/>
    </row>
    <row r="90" spans="1:6" ht="39.6">
      <c r="A90" s="391">
        <v>6</v>
      </c>
      <c r="B90" s="392" t="s">
        <v>1253</v>
      </c>
      <c r="C90" s="372" t="s">
        <v>1251</v>
      </c>
      <c r="D90" s="373">
        <v>86</v>
      </c>
      <c r="E90" s="403">
        <v>60</v>
      </c>
      <c r="F90" s="374">
        <f>SUM(D90*E90)</f>
        <v>5160</v>
      </c>
    </row>
    <row r="91" spans="1:6">
      <c r="A91" s="391"/>
      <c r="B91" s="392"/>
      <c r="C91" s="372"/>
      <c r="F91" s="387"/>
    </row>
    <row r="92" spans="1:6" ht="52.8">
      <c r="A92" s="393">
        <v>7</v>
      </c>
      <c r="B92" s="394" t="s">
        <v>809</v>
      </c>
      <c r="C92" s="372" t="s">
        <v>214</v>
      </c>
      <c r="D92" s="373">
        <v>465</v>
      </c>
      <c r="E92" s="403">
        <v>2</v>
      </c>
      <c r="F92" s="374">
        <f>SUM(D92*E92)</f>
        <v>930</v>
      </c>
    </row>
    <row r="93" spans="1:6">
      <c r="A93" s="375"/>
      <c r="B93" s="386"/>
      <c r="C93" s="372"/>
      <c r="F93" s="387"/>
    </row>
    <row r="94" spans="1:6" ht="66">
      <c r="A94" s="393">
        <v>8</v>
      </c>
      <c r="B94" s="394" t="s">
        <v>808</v>
      </c>
      <c r="C94" s="372" t="s">
        <v>1251</v>
      </c>
      <c r="D94" s="373">
        <v>297</v>
      </c>
      <c r="E94" s="403">
        <v>10</v>
      </c>
      <c r="F94" s="374">
        <f>SUM(D94*E94)</f>
        <v>2970</v>
      </c>
    </row>
    <row r="95" spans="1:6">
      <c r="A95" s="375"/>
      <c r="B95" s="386"/>
      <c r="C95" s="372"/>
      <c r="F95" s="387"/>
    </row>
    <row r="96" spans="1:6" ht="73.2" customHeight="1">
      <c r="A96" s="395">
        <v>9</v>
      </c>
      <c r="B96" s="396" t="s">
        <v>1254</v>
      </c>
      <c r="C96" s="372" t="s">
        <v>1251</v>
      </c>
      <c r="D96" s="373">
        <v>106</v>
      </c>
      <c r="E96" s="403">
        <v>15</v>
      </c>
      <c r="F96" s="374">
        <f>SUM(D96*E96)</f>
        <v>1590</v>
      </c>
    </row>
    <row r="97" spans="1:6">
      <c r="A97" s="375"/>
      <c r="B97" s="386"/>
      <c r="C97" s="372"/>
      <c r="F97" s="387"/>
    </row>
    <row r="98" spans="1:6" ht="52.8">
      <c r="A98" s="395">
        <v>10</v>
      </c>
      <c r="B98" s="396" t="s">
        <v>1255</v>
      </c>
      <c r="C98" s="372" t="s">
        <v>1252</v>
      </c>
      <c r="D98" s="373">
        <v>438</v>
      </c>
      <c r="E98" s="403">
        <v>5</v>
      </c>
      <c r="F98" s="374">
        <f>SUM(D98*E98)</f>
        <v>2190</v>
      </c>
    </row>
    <row r="99" spans="1:6">
      <c r="A99" s="375"/>
      <c r="B99" s="386"/>
      <c r="C99" s="372"/>
      <c r="F99" s="387"/>
    </row>
    <row r="100" spans="1:6">
      <c r="A100" s="397" t="s">
        <v>1285</v>
      </c>
      <c r="B100" s="398" t="s">
        <v>38</v>
      </c>
      <c r="C100" s="399"/>
      <c r="D100" s="400" t="s">
        <v>1246</v>
      </c>
      <c r="E100" s="401"/>
      <c r="F100" s="402">
        <f>SUM(F79:F99)</f>
        <v>22924</v>
      </c>
    </row>
    <row r="101" spans="1:6">
      <c r="A101" s="375"/>
      <c r="B101" s="386"/>
      <c r="C101" s="372"/>
      <c r="D101" s="435"/>
      <c r="F101" s="387"/>
    </row>
    <row r="102" spans="1:6">
      <c r="A102" s="404" t="s">
        <v>1288</v>
      </c>
      <c r="B102" s="446" t="s">
        <v>1289</v>
      </c>
      <c r="C102" s="447"/>
      <c r="D102" s="448"/>
      <c r="E102" s="449"/>
      <c r="F102" s="450"/>
    </row>
    <row r="103" spans="1:6">
      <c r="A103" s="375"/>
      <c r="B103" s="386"/>
      <c r="C103" s="372"/>
      <c r="F103" s="387"/>
    </row>
    <row r="104" spans="1:6" ht="43.2">
      <c r="A104" s="370">
        <v>1</v>
      </c>
      <c r="B104" s="451" t="s">
        <v>2319</v>
      </c>
      <c r="C104" s="372" t="s">
        <v>214</v>
      </c>
      <c r="D104" s="373">
        <v>452</v>
      </c>
      <c r="E104" s="403">
        <v>2</v>
      </c>
      <c r="F104" s="374">
        <f>SUM(D104*E104)</f>
        <v>904</v>
      </c>
    </row>
    <row r="105" spans="1:6">
      <c r="A105" s="375"/>
      <c r="B105" s="386"/>
      <c r="C105" s="372"/>
      <c r="F105" s="387"/>
    </row>
    <row r="106" spans="1:6" ht="119.25" customHeight="1">
      <c r="A106" s="452">
        <v>2</v>
      </c>
      <c r="B106" s="453" t="s">
        <v>810</v>
      </c>
      <c r="C106" s="372"/>
      <c r="F106" s="387"/>
    </row>
    <row r="107" spans="1:6" ht="16.2">
      <c r="A107" s="375"/>
      <c r="B107" s="454" t="s">
        <v>811</v>
      </c>
      <c r="C107" s="372" t="s">
        <v>1251</v>
      </c>
      <c r="D107" s="373">
        <v>449</v>
      </c>
      <c r="E107" s="403">
        <v>15</v>
      </c>
      <c r="F107" s="374">
        <f>SUM(D107*E107)</f>
        <v>6735</v>
      </c>
    </row>
    <row r="108" spans="1:6">
      <c r="A108" s="375"/>
      <c r="B108" s="386"/>
      <c r="C108" s="372"/>
      <c r="F108" s="387"/>
    </row>
    <row r="109" spans="1:6" ht="86.4">
      <c r="A109" s="443">
        <v>3</v>
      </c>
      <c r="B109" s="455" t="s">
        <v>1290</v>
      </c>
      <c r="C109" s="372" t="s">
        <v>1251</v>
      </c>
      <c r="D109" s="373">
        <v>193</v>
      </c>
      <c r="E109" s="403">
        <v>10</v>
      </c>
      <c r="F109" s="374">
        <f>SUM(D109*E109)</f>
        <v>1930</v>
      </c>
    </row>
    <row r="110" spans="1:6">
      <c r="A110" s="375"/>
      <c r="B110" s="386"/>
      <c r="C110" s="372"/>
      <c r="F110" s="387"/>
    </row>
    <row r="111" spans="1:6" ht="16.2">
      <c r="A111" s="456">
        <v>4</v>
      </c>
      <c r="B111" s="457" t="s">
        <v>806</v>
      </c>
      <c r="C111" s="390" t="s">
        <v>1252</v>
      </c>
      <c r="D111" s="373">
        <v>386</v>
      </c>
      <c r="E111" s="403">
        <v>2</v>
      </c>
      <c r="F111" s="374">
        <f>SUM(D111*E111)</f>
        <v>772</v>
      </c>
    </row>
    <row r="112" spans="1:6">
      <c r="A112" s="375"/>
      <c r="B112" s="386"/>
      <c r="C112" s="372"/>
      <c r="F112" s="387"/>
    </row>
    <row r="113" spans="1:6" ht="145.19999999999999">
      <c r="A113" s="458">
        <v>5</v>
      </c>
      <c r="B113" s="459" t="s">
        <v>812</v>
      </c>
      <c r="C113" s="372" t="s">
        <v>1251</v>
      </c>
      <c r="D113" s="373">
        <v>46</v>
      </c>
      <c r="E113" s="403">
        <v>60</v>
      </c>
      <c r="F113" s="374">
        <f>SUM(D113*E113)</f>
        <v>2760</v>
      </c>
    </row>
    <row r="114" spans="1:6">
      <c r="A114" s="375"/>
      <c r="B114" s="386"/>
      <c r="C114" s="372"/>
      <c r="F114" s="387"/>
    </row>
    <row r="115" spans="1:6" ht="118.8">
      <c r="A115" s="460">
        <v>6</v>
      </c>
      <c r="B115" s="461" t="s">
        <v>813</v>
      </c>
      <c r="C115" s="372" t="s">
        <v>1251</v>
      </c>
      <c r="D115" s="373">
        <v>184</v>
      </c>
      <c r="E115" s="403">
        <v>50</v>
      </c>
      <c r="F115" s="374">
        <f>SUM(D115*E115)</f>
        <v>9200</v>
      </c>
    </row>
    <row r="116" spans="1:6">
      <c r="A116" s="460"/>
      <c r="B116" s="461"/>
      <c r="C116" s="372"/>
      <c r="F116" s="387"/>
    </row>
    <row r="117" spans="1:6" ht="52.8">
      <c r="A117" s="393">
        <v>7</v>
      </c>
      <c r="B117" s="394" t="s">
        <v>1291</v>
      </c>
      <c r="C117" s="372" t="s">
        <v>214</v>
      </c>
      <c r="D117" s="373">
        <v>452</v>
      </c>
      <c r="E117" s="403">
        <v>2</v>
      </c>
      <c r="F117" s="374">
        <f>SUM(D117*E117)</f>
        <v>904</v>
      </c>
    </row>
    <row r="118" spans="1:6">
      <c r="A118" s="375"/>
      <c r="B118" s="386"/>
      <c r="C118" s="372"/>
      <c r="F118" s="387"/>
    </row>
    <row r="119" spans="1:6" ht="52.8">
      <c r="A119" s="462">
        <v>8</v>
      </c>
      <c r="B119" s="463" t="s">
        <v>1292</v>
      </c>
      <c r="C119" s="372" t="s">
        <v>1251</v>
      </c>
      <c r="D119" s="373">
        <v>238</v>
      </c>
      <c r="E119" s="403">
        <v>10</v>
      </c>
      <c r="F119" s="374">
        <f>SUM(D119*E119)</f>
        <v>2380</v>
      </c>
    </row>
    <row r="120" spans="1:6">
      <c r="A120" s="375"/>
      <c r="B120" s="445"/>
      <c r="C120" s="414"/>
      <c r="F120" s="387"/>
    </row>
    <row r="121" spans="1:6" ht="158.4">
      <c r="A121" s="464">
        <v>9</v>
      </c>
      <c r="B121" s="465" t="s">
        <v>1293</v>
      </c>
      <c r="C121" s="372" t="s">
        <v>1251</v>
      </c>
      <c r="D121" s="373">
        <v>174</v>
      </c>
      <c r="E121" s="403">
        <v>10</v>
      </c>
      <c r="F121" s="374">
        <f>SUM(D121*E121)</f>
        <v>1740</v>
      </c>
    </row>
    <row r="122" spans="1:6">
      <c r="A122" s="375"/>
      <c r="B122" s="386"/>
      <c r="C122" s="372"/>
      <c r="F122" s="387"/>
    </row>
    <row r="123" spans="1:6" ht="52.8">
      <c r="A123" s="395">
        <v>10</v>
      </c>
      <c r="B123" s="396" t="s">
        <v>1255</v>
      </c>
      <c r="C123" s="372" t="s">
        <v>1252</v>
      </c>
      <c r="D123" s="373">
        <v>465</v>
      </c>
      <c r="E123" s="403">
        <v>5</v>
      </c>
      <c r="F123" s="374">
        <f>SUM(D123*E123)</f>
        <v>2325</v>
      </c>
    </row>
    <row r="124" spans="1:6">
      <c r="A124" s="375"/>
      <c r="B124" s="386"/>
      <c r="C124" s="372"/>
      <c r="F124" s="387"/>
    </row>
    <row r="125" spans="1:6">
      <c r="A125" s="397" t="s">
        <v>1288</v>
      </c>
      <c r="B125" s="398" t="s">
        <v>38</v>
      </c>
      <c r="C125" s="399"/>
      <c r="D125" s="400" t="s">
        <v>1246</v>
      </c>
      <c r="E125" s="401"/>
      <c r="F125" s="402">
        <f>SUM(F103:F123)</f>
        <v>29650</v>
      </c>
    </row>
    <row r="126" spans="1:6">
      <c r="D126" s="435"/>
    </row>
    <row r="127" spans="1:6">
      <c r="A127" s="404" t="s">
        <v>1294</v>
      </c>
      <c r="B127" s="446" t="s">
        <v>1295</v>
      </c>
      <c r="C127" s="447"/>
      <c r="D127" s="448"/>
      <c r="E127" s="449"/>
      <c r="F127" s="450"/>
    </row>
    <row r="128" spans="1:6">
      <c r="A128" s="375"/>
      <c r="B128" s="386"/>
      <c r="C128" s="372"/>
      <c r="F128" s="387"/>
    </row>
    <row r="129" spans="1:6" ht="198">
      <c r="A129" s="466">
        <v>1</v>
      </c>
      <c r="B129" s="467" t="s">
        <v>1296</v>
      </c>
      <c r="C129" s="372"/>
      <c r="F129" s="387"/>
    </row>
    <row r="130" spans="1:6" ht="81.599999999999994">
      <c r="A130" s="375"/>
      <c r="B130" s="468" t="s">
        <v>1297</v>
      </c>
      <c r="C130" s="372" t="s">
        <v>31</v>
      </c>
      <c r="D130" s="373">
        <v>1</v>
      </c>
      <c r="E130" s="403">
        <v>2500</v>
      </c>
      <c r="F130" s="374">
        <f>SUM(D130*E130)</f>
        <v>2500</v>
      </c>
    </row>
    <row r="131" spans="1:6">
      <c r="A131" s="375"/>
      <c r="B131" s="469"/>
      <c r="C131" s="372"/>
      <c r="F131" s="387"/>
    </row>
    <row r="132" spans="1:6" ht="72">
      <c r="A132" s="470">
        <v>2</v>
      </c>
      <c r="B132" s="471" t="s">
        <v>1298</v>
      </c>
      <c r="C132" s="472" t="s">
        <v>31</v>
      </c>
      <c r="D132" s="373">
        <v>3</v>
      </c>
      <c r="E132" s="403">
        <v>100</v>
      </c>
      <c r="F132" s="374">
        <f>SUM(D132*E132)</f>
        <v>300</v>
      </c>
    </row>
    <row r="133" spans="1:6">
      <c r="A133" s="375"/>
      <c r="B133" s="475"/>
      <c r="C133" s="414"/>
    </row>
    <row r="134" spans="1:6" ht="72">
      <c r="A134" s="470">
        <v>3</v>
      </c>
      <c r="B134" s="471" t="s">
        <v>1299</v>
      </c>
      <c r="C134" s="369" t="s">
        <v>31</v>
      </c>
      <c r="D134" s="373">
        <v>4</v>
      </c>
      <c r="E134" s="403">
        <v>100</v>
      </c>
      <c r="F134" s="374">
        <f>SUM(D134*E134)</f>
        <v>400</v>
      </c>
    </row>
    <row r="135" spans="1:6">
      <c r="A135" s="470"/>
      <c r="B135" s="471"/>
      <c r="C135" s="369"/>
    </row>
    <row r="136" spans="1:6" ht="288">
      <c r="A136" s="470">
        <v>4</v>
      </c>
      <c r="B136" s="471" t="s">
        <v>1300</v>
      </c>
      <c r="C136" s="472" t="s">
        <v>31</v>
      </c>
      <c r="D136" s="373">
        <v>1</v>
      </c>
      <c r="E136" s="473">
        <v>1500</v>
      </c>
      <c r="F136" s="476">
        <f>SUM(D136*E136)</f>
        <v>1500</v>
      </c>
    </row>
    <row r="137" spans="1:6">
      <c r="A137" s="470"/>
      <c r="B137" s="471"/>
      <c r="C137" s="472"/>
      <c r="E137" s="473"/>
      <c r="F137" s="476"/>
    </row>
    <row r="138" spans="1:6" ht="72">
      <c r="A138" s="470">
        <v>5</v>
      </c>
      <c r="B138" s="471" t="s">
        <v>814</v>
      </c>
      <c r="C138" s="472" t="s">
        <v>31</v>
      </c>
      <c r="D138" s="373">
        <v>1</v>
      </c>
      <c r="E138" s="473">
        <v>100</v>
      </c>
      <c r="F138" s="476">
        <f>SUM(D138*E138)</f>
        <v>100</v>
      </c>
    </row>
    <row r="139" spans="1:6">
      <c r="A139" s="375"/>
      <c r="B139" s="475"/>
      <c r="C139" s="414"/>
      <c r="E139" s="473"/>
      <c r="F139" s="477"/>
    </row>
    <row r="140" spans="1:6" ht="43.2">
      <c r="A140" s="470">
        <v>6</v>
      </c>
      <c r="B140" s="471" t="s">
        <v>815</v>
      </c>
      <c r="C140" s="472" t="s">
        <v>31</v>
      </c>
      <c r="D140" s="373">
        <v>1</v>
      </c>
      <c r="E140" s="473">
        <v>100</v>
      </c>
      <c r="F140" s="476">
        <f>SUM(D140*E140)</f>
        <v>100</v>
      </c>
    </row>
    <row r="141" spans="1:6">
      <c r="A141" s="375"/>
      <c r="B141" s="469"/>
      <c r="C141" s="372"/>
      <c r="F141" s="387"/>
    </row>
    <row r="142" spans="1:6">
      <c r="A142" s="397" t="s">
        <v>1294</v>
      </c>
      <c r="B142" s="398" t="s">
        <v>38</v>
      </c>
      <c r="C142" s="399"/>
      <c r="D142" s="400" t="s">
        <v>1246</v>
      </c>
      <c r="E142" s="401"/>
      <c r="F142" s="402">
        <f>SUM(F128:F141)</f>
        <v>4900</v>
      </c>
    </row>
    <row r="143" spans="1:6">
      <c r="D143" s="435"/>
    </row>
    <row r="144" spans="1:6">
      <c r="A144" s="404" t="s">
        <v>1301</v>
      </c>
      <c r="B144" s="405" t="s">
        <v>1302</v>
      </c>
      <c r="C144" s="478"/>
      <c r="D144" s="448" t="s">
        <v>1246</v>
      </c>
      <c r="E144" s="449"/>
      <c r="F144" s="409"/>
    </row>
    <row r="145" spans="1:6">
      <c r="D145" s="373" t="s">
        <v>1246</v>
      </c>
    </row>
    <row r="146" spans="1:6" ht="86.4">
      <c r="A146" s="479">
        <v>1</v>
      </c>
      <c r="B146" s="480" t="s">
        <v>1303</v>
      </c>
      <c r="C146" s="372"/>
      <c r="F146" s="387"/>
    </row>
    <row r="147" spans="1:6" ht="187.2">
      <c r="A147" s="375"/>
      <c r="B147" s="480" t="s">
        <v>1304</v>
      </c>
      <c r="D147" s="373" t="s">
        <v>1246</v>
      </c>
    </row>
    <row r="148" spans="1:6" ht="16.5" customHeight="1">
      <c r="B148" s="481" t="s">
        <v>1305</v>
      </c>
      <c r="C148" s="372" t="s">
        <v>31</v>
      </c>
      <c r="D148" s="373">
        <v>9</v>
      </c>
      <c r="E148" s="403">
        <v>600</v>
      </c>
      <c r="F148" s="374">
        <f>SUM(D148*E148)</f>
        <v>5400</v>
      </c>
    </row>
    <row r="149" spans="1:6" ht="16.5" customHeight="1">
      <c r="B149" s="481" t="s">
        <v>1306</v>
      </c>
      <c r="C149" s="372" t="s">
        <v>31</v>
      </c>
      <c r="D149" s="373">
        <v>2</v>
      </c>
      <c r="E149" s="403">
        <v>1000</v>
      </c>
      <c r="F149" s="374">
        <f>SUM(D149*E149)</f>
        <v>2000</v>
      </c>
    </row>
    <row r="151" spans="1:6" ht="216">
      <c r="A151" s="482">
        <v>2</v>
      </c>
      <c r="B151" s="480" t="s">
        <v>1307</v>
      </c>
      <c r="C151" s="414"/>
    </row>
    <row r="152" spans="1:6" ht="100.8">
      <c r="A152" s="375"/>
      <c r="B152" s="483" t="s">
        <v>1308</v>
      </c>
      <c r="C152" s="414" t="s">
        <v>31</v>
      </c>
      <c r="D152" s="373">
        <v>1</v>
      </c>
      <c r="E152" s="403">
        <v>18000</v>
      </c>
      <c r="F152" s="374">
        <f>SUM(D152*E152)</f>
        <v>18000</v>
      </c>
    </row>
    <row r="153" spans="1:6" ht="16.5" customHeight="1">
      <c r="B153" s="484"/>
      <c r="C153" s="414"/>
      <c r="D153" s="435"/>
      <c r="E153" s="485"/>
      <c r="F153" s="486"/>
    </row>
    <row r="154" spans="1:6">
      <c r="A154" s="397" t="s">
        <v>1301</v>
      </c>
      <c r="B154" s="398" t="s">
        <v>38</v>
      </c>
      <c r="C154" s="399"/>
      <c r="D154" s="400" t="s">
        <v>1246</v>
      </c>
      <c r="E154" s="401"/>
      <c r="F154" s="402">
        <f>SUM(F146:F152)</f>
        <v>25400</v>
      </c>
    </row>
    <row r="155" spans="1:6">
      <c r="D155" s="435"/>
    </row>
    <row r="156" spans="1:6">
      <c r="A156" s="404" t="s">
        <v>1309</v>
      </c>
      <c r="B156" s="405" t="s">
        <v>1257</v>
      </c>
      <c r="C156" s="478"/>
      <c r="D156" s="448" t="s">
        <v>1246</v>
      </c>
      <c r="E156" s="449"/>
      <c r="F156" s="409"/>
    </row>
    <row r="157" spans="1:6">
      <c r="A157" s="375"/>
      <c r="B157" s="386"/>
      <c r="C157" s="372"/>
      <c r="F157" s="387"/>
    </row>
    <row r="158" spans="1:6">
      <c r="A158" s="375"/>
      <c r="B158" s="487" t="s">
        <v>1310</v>
      </c>
      <c r="C158" s="372"/>
      <c r="F158" s="387"/>
    </row>
    <row r="159" spans="1:6">
      <c r="A159" s="375"/>
      <c r="B159" s="386"/>
      <c r="C159" s="372"/>
      <c r="F159" s="387"/>
    </row>
    <row r="160" spans="1:6" ht="145.19999999999999">
      <c r="A160" s="410">
        <v>1</v>
      </c>
      <c r="B160" s="416" t="s">
        <v>1259</v>
      </c>
      <c r="D160" s="373" t="s">
        <v>1246</v>
      </c>
    </row>
    <row r="161" spans="1:6">
      <c r="A161" s="375"/>
      <c r="B161" s="488" t="s">
        <v>1311</v>
      </c>
      <c r="C161" s="414" t="s">
        <v>214</v>
      </c>
      <c r="D161" s="373">
        <v>89</v>
      </c>
      <c r="E161" s="403">
        <v>20</v>
      </c>
      <c r="F161" s="374">
        <f t="shared" ref="F161" si="2">SUM(D161*E161)</f>
        <v>1780</v>
      </c>
    </row>
    <row r="162" spans="1:6">
      <c r="D162" s="373" t="s">
        <v>1246</v>
      </c>
    </row>
    <row r="163" spans="1:6" ht="123.6">
      <c r="A163" s="419">
        <v>2</v>
      </c>
      <c r="B163" s="420" t="s">
        <v>1312</v>
      </c>
      <c r="C163" s="372"/>
      <c r="F163" s="387"/>
    </row>
    <row r="164" spans="1:6">
      <c r="B164" s="421" t="s">
        <v>1313</v>
      </c>
      <c r="C164" s="372" t="s">
        <v>214</v>
      </c>
      <c r="D164" s="373">
        <v>89</v>
      </c>
      <c r="E164" s="403">
        <v>30</v>
      </c>
      <c r="F164" s="374">
        <f t="shared" ref="F164" si="3">SUM(D164*E164)</f>
        <v>2670</v>
      </c>
    </row>
    <row r="165" spans="1:6">
      <c r="D165" s="373" t="s">
        <v>1246</v>
      </c>
    </row>
    <row r="166" spans="1:6" ht="79.2">
      <c r="A166" s="422">
        <v>3</v>
      </c>
      <c r="B166" s="423" t="s">
        <v>1263</v>
      </c>
      <c r="D166" s="373" t="s">
        <v>1246</v>
      </c>
    </row>
    <row r="167" spans="1:6">
      <c r="B167" s="489" t="s">
        <v>1314</v>
      </c>
    </row>
    <row r="168" spans="1:6">
      <c r="B168" s="425" t="s">
        <v>1270</v>
      </c>
    </row>
    <row r="169" spans="1:6">
      <c r="A169" s="375"/>
      <c r="B169" s="425" t="s">
        <v>1267</v>
      </c>
    </row>
    <row r="170" spans="1:6" ht="29.25" customHeight="1">
      <c r="B170" s="425" t="s">
        <v>1315</v>
      </c>
    </row>
    <row r="171" spans="1:6">
      <c r="A171" s="375"/>
      <c r="B171" s="425" t="s">
        <v>1267</v>
      </c>
    </row>
    <row r="172" spans="1:6">
      <c r="A172" s="375"/>
      <c r="B172" s="425" t="s">
        <v>1265</v>
      </c>
    </row>
    <row r="173" spans="1:6" ht="30.75" customHeight="1">
      <c r="B173" s="490" t="s">
        <v>1316</v>
      </c>
    </row>
    <row r="174" spans="1:6">
      <c r="B174" s="425" t="s">
        <v>1276</v>
      </c>
    </row>
    <row r="175" spans="1:6">
      <c r="B175" s="425" t="s">
        <v>1317</v>
      </c>
    </row>
    <row r="176" spans="1:6">
      <c r="A176" s="375"/>
      <c r="B176" s="425" t="s">
        <v>1318</v>
      </c>
    </row>
    <row r="177" spans="1:6">
      <c r="B177" s="425" t="s">
        <v>1319</v>
      </c>
    </row>
    <row r="178" spans="1:6">
      <c r="B178" s="426" t="s">
        <v>816</v>
      </c>
      <c r="C178" s="372" t="s">
        <v>213</v>
      </c>
      <c r="D178" s="373">
        <v>1</v>
      </c>
      <c r="E178" s="403">
        <v>5000</v>
      </c>
      <c r="F178" s="374">
        <f>SUM(D178*E178)</f>
        <v>5000</v>
      </c>
    </row>
    <row r="179" spans="1:6">
      <c r="B179" s="426"/>
      <c r="C179" s="372"/>
      <c r="F179" s="387"/>
    </row>
    <row r="180" spans="1:6" s="430" customFormat="1" ht="57.6">
      <c r="A180" s="427">
        <v>4</v>
      </c>
      <c r="B180" s="428" t="s">
        <v>1320</v>
      </c>
      <c r="C180" s="429" t="s">
        <v>213</v>
      </c>
      <c r="D180" s="373">
        <v>2</v>
      </c>
      <c r="E180" s="403">
        <v>200</v>
      </c>
      <c r="F180" s="374">
        <f>SUM(D180*E180)</f>
        <v>400</v>
      </c>
    </row>
    <row r="181" spans="1:6">
      <c r="B181" s="426"/>
      <c r="C181" s="414"/>
    </row>
    <row r="182" spans="1:6" s="430" customFormat="1" ht="28.8">
      <c r="A182" s="427">
        <v>5</v>
      </c>
      <c r="B182" s="428" t="s">
        <v>1321</v>
      </c>
      <c r="C182" s="429" t="s">
        <v>213</v>
      </c>
      <c r="D182" s="373">
        <v>1</v>
      </c>
      <c r="E182" s="403">
        <v>50</v>
      </c>
      <c r="F182" s="374">
        <f>SUM(D182*E182)</f>
        <v>50</v>
      </c>
    </row>
    <row r="183" spans="1:6">
      <c r="B183" s="426"/>
      <c r="C183" s="372"/>
      <c r="F183" s="387"/>
    </row>
    <row r="184" spans="1:6" ht="39.6">
      <c r="A184" s="431">
        <v>6</v>
      </c>
      <c r="B184" s="432" t="s">
        <v>1322</v>
      </c>
      <c r="C184" s="372" t="s">
        <v>213</v>
      </c>
      <c r="D184" s="373">
        <v>1</v>
      </c>
      <c r="E184" s="403">
        <v>150</v>
      </c>
      <c r="F184" s="374">
        <f>SUM(D184*E184)</f>
        <v>150</v>
      </c>
    </row>
    <row r="185" spans="1:6">
      <c r="A185" s="375"/>
      <c r="D185" s="373" t="s">
        <v>1246</v>
      </c>
    </row>
    <row r="186" spans="1:6" ht="39.6">
      <c r="A186" s="433">
        <v>7</v>
      </c>
      <c r="B186" s="434" t="s">
        <v>1323</v>
      </c>
      <c r="C186" s="372" t="s">
        <v>213</v>
      </c>
      <c r="D186" s="373">
        <v>1</v>
      </c>
      <c r="E186" s="403">
        <v>250</v>
      </c>
      <c r="F186" s="374">
        <f>SUM(D186*E186)</f>
        <v>250</v>
      </c>
    </row>
    <row r="187" spans="1:6">
      <c r="A187" s="433"/>
      <c r="B187" s="434"/>
      <c r="C187" s="372"/>
    </row>
    <row r="188" spans="1:6">
      <c r="A188" s="375"/>
      <c r="B188" s="487" t="s">
        <v>1324</v>
      </c>
      <c r="C188" s="372"/>
      <c r="F188" s="387"/>
    </row>
    <row r="189" spans="1:6">
      <c r="A189" s="375"/>
      <c r="B189" s="487"/>
      <c r="C189" s="372"/>
      <c r="F189" s="387"/>
    </row>
    <row r="190" spans="1:6" ht="237.6">
      <c r="A190" s="491">
        <v>8</v>
      </c>
      <c r="B190" s="492" t="s">
        <v>1325</v>
      </c>
    </row>
    <row r="191" spans="1:6" ht="224.4">
      <c r="A191" s="491"/>
      <c r="B191" s="492" t="s">
        <v>1326</v>
      </c>
    </row>
    <row r="192" spans="1:6" ht="79.2">
      <c r="A192" s="491"/>
      <c r="B192" s="492" t="s">
        <v>1327</v>
      </c>
      <c r="C192" s="414" t="s">
        <v>213</v>
      </c>
      <c r="D192" s="373">
        <v>1</v>
      </c>
      <c r="E192" s="473">
        <v>5000</v>
      </c>
      <c r="F192" s="476">
        <f>SUM(D192*E192)</f>
        <v>5000</v>
      </c>
    </row>
    <row r="193" spans="1:6">
      <c r="A193" s="491"/>
      <c r="B193" s="492"/>
      <c r="C193" s="414"/>
      <c r="E193" s="473"/>
      <c r="F193" s="476"/>
    </row>
    <row r="194" spans="1:6" s="430" customFormat="1" ht="43.2">
      <c r="A194" s="427">
        <v>9</v>
      </c>
      <c r="B194" s="428" t="s">
        <v>1328</v>
      </c>
      <c r="C194" s="377"/>
      <c r="D194" s="373"/>
      <c r="E194" s="403"/>
      <c r="F194" s="374"/>
    </row>
    <row r="195" spans="1:6" s="430" customFormat="1" ht="100.8">
      <c r="A195" s="427"/>
      <c r="B195" s="428" t="s">
        <v>1329</v>
      </c>
      <c r="C195" s="429"/>
      <c r="D195" s="373"/>
      <c r="E195" s="473"/>
      <c r="F195" s="476"/>
    </row>
    <row r="196" spans="1:6" s="430" customFormat="1" ht="57.6">
      <c r="A196" s="427"/>
      <c r="B196" s="428" t="s">
        <v>1330</v>
      </c>
      <c r="C196" s="429" t="s">
        <v>213</v>
      </c>
      <c r="D196" s="373">
        <v>1</v>
      </c>
      <c r="E196" s="473">
        <v>250</v>
      </c>
      <c r="F196" s="476">
        <f>SUM(D196*E196)</f>
        <v>250</v>
      </c>
    </row>
    <row r="197" spans="1:6" s="430" customFormat="1">
      <c r="A197" s="427"/>
      <c r="B197" s="428"/>
      <c r="C197" s="429"/>
      <c r="D197" s="373"/>
      <c r="E197" s="473"/>
      <c r="F197" s="476"/>
    </row>
    <row r="198" spans="1:6" ht="145.19999999999999">
      <c r="A198" s="410">
        <v>10</v>
      </c>
      <c r="B198" s="416" t="s">
        <v>1331</v>
      </c>
      <c r="D198" s="373" t="s">
        <v>1246</v>
      </c>
    </row>
    <row r="199" spans="1:6">
      <c r="A199" s="375"/>
      <c r="B199" s="488" t="s">
        <v>1332</v>
      </c>
      <c r="C199" s="414" t="s">
        <v>214</v>
      </c>
      <c r="D199" s="373">
        <v>68</v>
      </c>
      <c r="E199" s="403">
        <v>40</v>
      </c>
      <c r="F199" s="374">
        <f>SUM(D199*E199)</f>
        <v>2720</v>
      </c>
    </row>
    <row r="200" spans="1:6">
      <c r="A200" s="375"/>
      <c r="B200" s="488" t="s">
        <v>1333</v>
      </c>
      <c r="C200" s="414" t="s">
        <v>214</v>
      </c>
      <c r="D200" s="373">
        <v>329</v>
      </c>
      <c r="E200" s="403">
        <v>20</v>
      </c>
      <c r="F200" s="374">
        <f>SUM(D200*E200)</f>
        <v>6580</v>
      </c>
    </row>
    <row r="201" spans="1:6">
      <c r="D201" s="373" t="s">
        <v>1246</v>
      </c>
    </row>
    <row r="202" spans="1:6" ht="79.2">
      <c r="A202" s="493">
        <v>11</v>
      </c>
      <c r="B202" s="494" t="s">
        <v>817</v>
      </c>
      <c r="D202" s="373" t="s">
        <v>1246</v>
      </c>
    </row>
    <row r="203" spans="1:6">
      <c r="A203" s="493"/>
      <c r="B203" s="494" t="s">
        <v>818</v>
      </c>
    </row>
    <row r="204" spans="1:6">
      <c r="A204" s="493"/>
      <c r="B204" s="494" t="s">
        <v>819</v>
      </c>
    </row>
    <row r="205" spans="1:6">
      <c r="A205" s="493"/>
      <c r="B205" s="494" t="s">
        <v>820</v>
      </c>
    </row>
    <row r="206" spans="1:6">
      <c r="A206" s="493"/>
      <c r="B206" s="494" t="s">
        <v>821</v>
      </c>
    </row>
    <row r="207" spans="1:6">
      <c r="A207" s="493"/>
      <c r="B207" s="494" t="s">
        <v>822</v>
      </c>
    </row>
    <row r="208" spans="1:6">
      <c r="A208" s="493"/>
      <c r="B208" s="494" t="s">
        <v>823</v>
      </c>
    </row>
    <row r="209" spans="1:6">
      <c r="A209" s="493"/>
      <c r="B209" s="494" t="s">
        <v>1334</v>
      </c>
    </row>
    <row r="210" spans="1:6">
      <c r="A210" s="493"/>
      <c r="B210" s="494" t="s">
        <v>824</v>
      </c>
    </row>
    <row r="211" spans="1:6" s="498" customFormat="1" ht="118.8">
      <c r="A211" s="495"/>
      <c r="B211" s="494" t="s">
        <v>1335</v>
      </c>
      <c r="C211" s="496" t="s">
        <v>213</v>
      </c>
      <c r="D211" s="497">
        <v>1</v>
      </c>
      <c r="E211" s="403">
        <v>1500</v>
      </c>
      <c r="F211" s="374">
        <f t="shared" ref="F211" si="4">SUM(D211*E211)</f>
        <v>1500</v>
      </c>
    </row>
    <row r="212" spans="1:6" s="498" customFormat="1">
      <c r="A212" s="495"/>
      <c r="B212" s="499"/>
      <c r="C212" s="496"/>
      <c r="D212" s="497"/>
      <c r="E212" s="403"/>
      <c r="F212" s="374"/>
    </row>
    <row r="213" spans="1:6" ht="52.8">
      <c r="A213" s="493">
        <v>12</v>
      </c>
      <c r="B213" s="494" t="s">
        <v>826</v>
      </c>
      <c r="D213" s="373" t="s">
        <v>1246</v>
      </c>
    </row>
    <row r="214" spans="1:6">
      <c r="A214" s="493"/>
      <c r="B214" s="494" t="s">
        <v>827</v>
      </c>
    </row>
    <row r="215" spans="1:6" ht="26.4">
      <c r="A215" s="493"/>
      <c r="B215" s="494" t="s">
        <v>828</v>
      </c>
    </row>
    <row r="216" spans="1:6">
      <c r="A216" s="493"/>
      <c r="B216" s="494" t="s">
        <v>829</v>
      </c>
    </row>
    <row r="217" spans="1:6">
      <c r="A217" s="493"/>
      <c r="B217" s="494" t="s">
        <v>830</v>
      </c>
    </row>
    <row r="218" spans="1:6" ht="26.4">
      <c r="A218" s="493"/>
      <c r="B218" s="494" t="s">
        <v>831</v>
      </c>
      <c r="C218" s="496" t="s">
        <v>213</v>
      </c>
      <c r="D218" s="497">
        <v>1</v>
      </c>
      <c r="E218" s="403">
        <v>800</v>
      </c>
      <c r="F218" s="374">
        <f t="shared" ref="F218:F220" si="5">SUM(D218*E218)</f>
        <v>800</v>
      </c>
    </row>
    <row r="219" spans="1:6" s="498" customFormat="1">
      <c r="A219" s="495"/>
      <c r="B219" s="499"/>
      <c r="C219" s="496"/>
      <c r="D219" s="497"/>
      <c r="E219" s="403"/>
      <c r="F219" s="374"/>
    </row>
    <row r="220" spans="1:6" ht="39.6">
      <c r="A220" s="491">
        <v>13</v>
      </c>
      <c r="B220" s="492" t="s">
        <v>1336</v>
      </c>
      <c r="C220" s="414" t="s">
        <v>213</v>
      </c>
      <c r="D220" s="373">
        <v>1</v>
      </c>
      <c r="E220" s="403">
        <v>250</v>
      </c>
      <c r="F220" s="374">
        <f t="shared" si="5"/>
        <v>250</v>
      </c>
    </row>
    <row r="221" spans="1:6">
      <c r="A221" s="491"/>
      <c r="B221" s="492"/>
      <c r="C221" s="414"/>
    </row>
    <row r="222" spans="1:6" ht="17.25" customHeight="1">
      <c r="A222" s="500" t="s">
        <v>1309</v>
      </c>
      <c r="B222" s="501" t="s">
        <v>38</v>
      </c>
      <c r="C222" s="502"/>
      <c r="D222" s="503" t="s">
        <v>1246</v>
      </c>
      <c r="E222" s="504"/>
      <c r="F222" s="505">
        <f>SUM(F160:F220)</f>
        <v>27400</v>
      </c>
    </row>
    <row r="223" spans="1:6">
      <c r="D223" s="435"/>
    </row>
    <row r="224" spans="1:6">
      <c r="A224" s="404" t="s">
        <v>1337</v>
      </c>
      <c r="B224" s="446" t="s">
        <v>1338</v>
      </c>
      <c r="C224" s="447"/>
      <c r="D224" s="448"/>
      <c r="E224" s="449"/>
      <c r="F224" s="450"/>
    </row>
    <row r="225" spans="1:6">
      <c r="A225" s="375"/>
      <c r="D225" s="373" t="s">
        <v>1246</v>
      </c>
    </row>
    <row r="226" spans="1:6" ht="52.8">
      <c r="A226" s="493">
        <v>1</v>
      </c>
      <c r="B226" s="506" t="s">
        <v>1339</v>
      </c>
      <c r="D226" s="373" t="s">
        <v>1246</v>
      </c>
    </row>
    <row r="227" spans="1:6">
      <c r="A227" s="375"/>
      <c r="B227" s="385" t="s">
        <v>1340</v>
      </c>
      <c r="D227" s="373" t="s">
        <v>1246</v>
      </c>
    </row>
    <row r="228" spans="1:6">
      <c r="B228" s="421" t="s">
        <v>1262</v>
      </c>
      <c r="C228" s="372" t="s">
        <v>214</v>
      </c>
      <c r="D228" s="373">
        <v>489</v>
      </c>
      <c r="E228" s="403">
        <v>50</v>
      </c>
      <c r="F228" s="374">
        <f t="shared" ref="F228" si="6">SUM(D228*E228)</f>
        <v>24450</v>
      </c>
    </row>
    <row r="229" spans="1:6">
      <c r="A229" s="375"/>
      <c r="B229" s="386"/>
      <c r="C229" s="372"/>
      <c r="F229" s="387"/>
    </row>
    <row r="230" spans="1:6">
      <c r="A230" s="375"/>
      <c r="B230" s="385" t="s">
        <v>1341</v>
      </c>
      <c r="D230" s="373" t="s">
        <v>1246</v>
      </c>
    </row>
    <row r="231" spans="1:6">
      <c r="A231" s="375"/>
      <c r="B231" s="421" t="s">
        <v>1262</v>
      </c>
      <c r="C231" s="372" t="s">
        <v>31</v>
      </c>
      <c r="D231" s="373">
        <v>58</v>
      </c>
      <c r="E231" s="403">
        <v>50</v>
      </c>
      <c r="F231" s="374">
        <f t="shared" ref="F231" si="7">SUM(D231*E231)</f>
        <v>2900</v>
      </c>
    </row>
    <row r="232" spans="1:6">
      <c r="A232" s="375"/>
      <c r="B232" s="386"/>
      <c r="C232" s="372"/>
      <c r="F232" s="387"/>
    </row>
    <row r="233" spans="1:6" ht="28.8">
      <c r="A233" s="375"/>
      <c r="B233" s="385" t="s">
        <v>1342</v>
      </c>
      <c r="D233" s="373" t="s">
        <v>1246</v>
      </c>
    </row>
    <row r="234" spans="1:6">
      <c r="B234" s="421" t="s">
        <v>1262</v>
      </c>
      <c r="C234" s="372" t="s">
        <v>214</v>
      </c>
      <c r="D234" s="373">
        <v>286</v>
      </c>
      <c r="E234" s="403">
        <v>50</v>
      </c>
      <c r="F234" s="374">
        <f t="shared" ref="F234" si="8">SUM(D234*E234)</f>
        <v>14300</v>
      </c>
    </row>
    <row r="235" spans="1:6">
      <c r="A235" s="375"/>
      <c r="B235" s="386"/>
      <c r="C235" s="372"/>
      <c r="F235" s="387"/>
    </row>
    <row r="236" spans="1:6" ht="28.8">
      <c r="A236" s="375"/>
      <c r="B236" s="385" t="s">
        <v>1343</v>
      </c>
      <c r="D236" s="373" t="s">
        <v>1246</v>
      </c>
    </row>
    <row r="237" spans="1:6">
      <c r="B237" s="421" t="s">
        <v>1262</v>
      </c>
      <c r="C237" s="372" t="s">
        <v>31</v>
      </c>
      <c r="D237" s="373">
        <v>149</v>
      </c>
      <c r="E237" s="403">
        <v>50</v>
      </c>
      <c r="F237" s="374">
        <f t="shared" ref="F237" si="9">SUM(D237*E237)</f>
        <v>7450</v>
      </c>
    </row>
    <row r="238" spans="1:6">
      <c r="A238" s="375"/>
      <c r="B238" s="386"/>
      <c r="C238" s="372"/>
      <c r="F238" s="387"/>
    </row>
    <row r="239" spans="1:6" ht="43.2">
      <c r="A239" s="507">
        <v>2</v>
      </c>
      <c r="B239" s="480" t="s">
        <v>1344</v>
      </c>
      <c r="D239" s="373" t="s">
        <v>1246</v>
      </c>
    </row>
    <row r="240" spans="1:6">
      <c r="A240" s="375"/>
      <c r="B240" s="508" t="s">
        <v>1345</v>
      </c>
      <c r="C240" s="372" t="s">
        <v>31</v>
      </c>
      <c r="D240" s="373">
        <v>37</v>
      </c>
      <c r="E240" s="403">
        <v>50</v>
      </c>
      <c r="F240" s="374">
        <f>SUM(D240*E240)</f>
        <v>1850</v>
      </c>
    </row>
    <row r="241" spans="1:6">
      <c r="A241" s="375"/>
      <c r="B241" s="386"/>
      <c r="C241" s="372"/>
      <c r="F241" s="387"/>
    </row>
    <row r="242" spans="1:6" ht="330">
      <c r="A242" s="509">
        <v>3</v>
      </c>
      <c r="B242" s="510" t="s">
        <v>1346</v>
      </c>
    </row>
    <row r="243" spans="1:6">
      <c r="A243" s="509"/>
      <c r="B243" s="510" t="s">
        <v>1347</v>
      </c>
      <c r="C243" s="372"/>
    </row>
    <row r="244" spans="1:6" ht="118.8">
      <c r="A244" s="509"/>
      <c r="B244" s="510" t="s">
        <v>1348</v>
      </c>
      <c r="C244" s="372" t="s">
        <v>213</v>
      </c>
      <c r="D244" s="373">
        <v>2</v>
      </c>
      <c r="E244" s="403">
        <v>3500</v>
      </c>
      <c r="F244" s="374">
        <f>SUM(D244*E244)</f>
        <v>7000</v>
      </c>
    </row>
    <row r="245" spans="1:6">
      <c r="A245" s="375"/>
      <c r="B245" s="386"/>
      <c r="C245" s="372"/>
      <c r="F245" s="387"/>
    </row>
    <row r="246" spans="1:6" ht="348.75" customHeight="1">
      <c r="A246" s="511">
        <v>4</v>
      </c>
      <c r="B246" s="480" t="s">
        <v>1349</v>
      </c>
      <c r="E246" s="435"/>
      <c r="F246" s="512"/>
    </row>
    <row r="247" spans="1:6" ht="230.4">
      <c r="A247" s="511"/>
      <c r="B247" s="480" t="s">
        <v>1350</v>
      </c>
      <c r="C247" s="414" t="s">
        <v>213</v>
      </c>
      <c r="D247" s="373">
        <v>1</v>
      </c>
      <c r="E247" s="435">
        <v>3500</v>
      </c>
      <c r="F247" s="513">
        <f>SUM(D247*E247)</f>
        <v>3500</v>
      </c>
    </row>
    <row r="248" spans="1:6">
      <c r="A248" s="511"/>
      <c r="B248" s="480"/>
      <c r="C248" s="414"/>
      <c r="E248" s="473"/>
      <c r="F248" s="513"/>
    </row>
    <row r="249" spans="1:6" ht="374.4">
      <c r="A249" s="491">
        <v>5</v>
      </c>
      <c r="B249" s="514" t="s">
        <v>1351</v>
      </c>
      <c r="C249" s="515"/>
      <c r="E249" s="473"/>
      <c r="F249" s="516"/>
    </row>
    <row r="250" spans="1:6">
      <c r="B250" s="517" t="s">
        <v>1352</v>
      </c>
      <c r="C250" s="515" t="s">
        <v>31</v>
      </c>
      <c r="D250" s="373">
        <v>1</v>
      </c>
      <c r="E250" s="473">
        <v>1000</v>
      </c>
      <c r="F250" s="516">
        <f>SUM(D250*E250)</f>
        <v>1000</v>
      </c>
    </row>
    <row r="251" spans="1:6">
      <c r="B251" s="517" t="s">
        <v>1353</v>
      </c>
      <c r="C251" s="515" t="s">
        <v>31</v>
      </c>
      <c r="D251" s="373">
        <v>1</v>
      </c>
      <c r="E251" s="473">
        <v>500</v>
      </c>
      <c r="F251" s="516">
        <f>SUM(D251*E251)</f>
        <v>500</v>
      </c>
    </row>
    <row r="252" spans="1:6">
      <c r="B252" s="517"/>
      <c r="C252" s="515"/>
      <c r="E252" s="473"/>
      <c r="F252" s="516"/>
    </row>
    <row r="253" spans="1:6" ht="279.60000000000002">
      <c r="A253" s="491">
        <v>6</v>
      </c>
      <c r="B253" s="518" t="s">
        <v>1354</v>
      </c>
      <c r="C253" s="515"/>
      <c r="E253" s="473"/>
      <c r="F253" s="516"/>
    </row>
    <row r="254" spans="1:6">
      <c r="B254" s="517" t="s">
        <v>1355</v>
      </c>
      <c r="C254" s="515" t="s">
        <v>31</v>
      </c>
      <c r="D254" s="373">
        <v>1</v>
      </c>
      <c r="E254" s="473">
        <v>250</v>
      </c>
      <c r="F254" s="516">
        <f>SUM(D254*E254)</f>
        <v>250</v>
      </c>
    </row>
    <row r="255" spans="1:6">
      <c r="B255" s="517"/>
      <c r="C255" s="515"/>
      <c r="E255" s="473"/>
      <c r="F255" s="516"/>
    </row>
    <row r="256" spans="1:6" ht="39.6">
      <c r="A256" s="509">
        <v>7</v>
      </c>
      <c r="B256" s="510" t="s">
        <v>1356</v>
      </c>
      <c r="C256" s="372" t="s">
        <v>213</v>
      </c>
      <c r="D256" s="373">
        <v>1</v>
      </c>
      <c r="E256" s="403">
        <v>500</v>
      </c>
      <c r="F256" s="374">
        <f>SUM(D256*E256)</f>
        <v>500</v>
      </c>
    </row>
    <row r="257" spans="1:6">
      <c r="A257" s="375"/>
      <c r="B257" s="386"/>
      <c r="C257" s="372"/>
      <c r="F257" s="387"/>
    </row>
    <row r="258" spans="1:6">
      <c r="A258" s="397" t="s">
        <v>1337</v>
      </c>
      <c r="B258" s="398" t="s">
        <v>38</v>
      </c>
      <c r="C258" s="399"/>
      <c r="D258" s="400" t="s">
        <v>1246</v>
      </c>
      <c r="E258" s="401"/>
      <c r="F258" s="402">
        <f>SUM(F226:F256)</f>
        <v>63700</v>
      </c>
    </row>
    <row r="259" spans="1:6">
      <c r="D259" s="435"/>
    </row>
    <row r="260" spans="1:6">
      <c r="A260" s="404" t="s">
        <v>1357</v>
      </c>
      <c r="B260" s="405" t="s">
        <v>1282</v>
      </c>
      <c r="C260" s="478"/>
      <c r="D260" s="448" t="s">
        <v>1246</v>
      </c>
      <c r="E260" s="449"/>
      <c r="F260" s="409"/>
    </row>
    <row r="261" spans="1:6">
      <c r="D261" s="373" t="s">
        <v>1246</v>
      </c>
    </row>
    <row r="262" spans="1:6" ht="66">
      <c r="A262" s="436">
        <v>1</v>
      </c>
      <c r="B262" s="437" t="s">
        <v>833</v>
      </c>
      <c r="C262" s="372" t="s">
        <v>213</v>
      </c>
      <c r="D262" s="373">
        <v>1</v>
      </c>
      <c r="E262" s="403">
        <v>250</v>
      </c>
      <c r="F262" s="374">
        <f>SUM(D262*E262)</f>
        <v>250</v>
      </c>
    </row>
    <row r="263" spans="1:6">
      <c r="A263" s="375"/>
      <c r="D263" s="373" t="s">
        <v>1246</v>
      </c>
    </row>
    <row r="264" spans="1:6">
      <c r="A264" s="519" t="s">
        <v>1357</v>
      </c>
      <c r="B264" s="520" t="s">
        <v>38</v>
      </c>
      <c r="C264" s="521"/>
      <c r="D264" s="522" t="s">
        <v>1246</v>
      </c>
      <c r="E264" s="523"/>
      <c r="F264" s="402">
        <f>SUM(F261:F263)</f>
        <v>250</v>
      </c>
    </row>
    <row r="265" spans="1:6">
      <c r="D265" s="435"/>
    </row>
    <row r="266" spans="1:6">
      <c r="A266" s="524" t="s">
        <v>1358</v>
      </c>
      <c r="B266" s="525" t="s">
        <v>1359</v>
      </c>
      <c r="C266" s="526"/>
      <c r="D266" s="527"/>
      <c r="E266" s="528"/>
      <c r="F266" s="529"/>
    </row>
    <row r="267" spans="1:6">
      <c r="B267" s="421"/>
      <c r="C267" s="372"/>
      <c r="D267" s="435"/>
    </row>
    <row r="268" spans="1:6">
      <c r="A268" s="530" t="s">
        <v>1360</v>
      </c>
      <c r="B268" s="531" t="s">
        <v>1361</v>
      </c>
      <c r="C268" s="447"/>
      <c r="D268" s="448"/>
      <c r="E268" s="449"/>
      <c r="F268" s="409"/>
    </row>
    <row r="269" spans="1:6">
      <c r="B269" s="421"/>
      <c r="C269" s="372"/>
    </row>
    <row r="270" spans="1:6" ht="66">
      <c r="A270" s="491">
        <v>1</v>
      </c>
      <c r="B270" s="421" t="s">
        <v>1362</v>
      </c>
      <c r="C270" s="372"/>
    </row>
    <row r="271" spans="1:6" ht="16.2">
      <c r="A271" s="532"/>
      <c r="B271" s="517" t="s">
        <v>1363</v>
      </c>
      <c r="C271" s="414" t="s">
        <v>1364</v>
      </c>
      <c r="D271" s="373">
        <v>10</v>
      </c>
      <c r="E271" s="403">
        <v>20</v>
      </c>
      <c r="F271" s="374">
        <f>SUM(D271*E271)</f>
        <v>200</v>
      </c>
    </row>
    <row r="272" spans="1:6" ht="16.2">
      <c r="A272" s="532"/>
      <c r="B272" s="517" t="s">
        <v>1365</v>
      </c>
      <c r="C272" s="414" t="s">
        <v>1364</v>
      </c>
      <c r="D272" s="373">
        <v>10</v>
      </c>
      <c r="E272" s="403">
        <v>20</v>
      </c>
      <c r="F272" s="374">
        <f>SUM(D272*E272)</f>
        <v>200</v>
      </c>
    </row>
    <row r="273" spans="1:6">
      <c r="B273" s="421"/>
      <c r="C273" s="372"/>
    </row>
    <row r="274" spans="1:6">
      <c r="A274" s="519" t="s">
        <v>1360</v>
      </c>
      <c r="B274" s="520" t="s">
        <v>38</v>
      </c>
      <c r="C274" s="521"/>
      <c r="D274" s="522" t="s">
        <v>1246</v>
      </c>
      <c r="E274" s="523"/>
      <c r="F274" s="402">
        <f>SUM(F270:F273)</f>
        <v>400</v>
      </c>
    </row>
    <row r="275" spans="1:6">
      <c r="B275" s="421"/>
      <c r="C275" s="372"/>
      <c r="D275" s="435"/>
    </row>
    <row r="276" spans="1:6">
      <c r="A276" s="530" t="s">
        <v>1366</v>
      </c>
      <c r="B276" s="531" t="s">
        <v>1367</v>
      </c>
      <c r="C276" s="447"/>
      <c r="D276" s="448"/>
      <c r="E276" s="449"/>
      <c r="F276" s="409"/>
    </row>
    <row r="277" spans="1:6">
      <c r="B277" s="421"/>
      <c r="C277" s="372"/>
    </row>
    <row r="278" spans="1:6" ht="94.8">
      <c r="A278" s="491">
        <v>1</v>
      </c>
      <c r="B278" s="421" t="s">
        <v>1368</v>
      </c>
      <c r="C278" s="372"/>
    </row>
    <row r="279" spans="1:6" ht="26.4">
      <c r="B279" s="421" t="s">
        <v>1369</v>
      </c>
      <c r="C279" s="372"/>
    </row>
    <row r="280" spans="1:6">
      <c r="B280" s="421" t="s">
        <v>836</v>
      </c>
      <c r="C280" s="372" t="s">
        <v>214</v>
      </c>
      <c r="D280" s="373">
        <v>115</v>
      </c>
      <c r="E280" s="403">
        <v>20</v>
      </c>
      <c r="F280" s="374">
        <f t="shared" ref="F280:F281" si="10">SUM(D280*E280)</f>
        <v>2300</v>
      </c>
    </row>
    <row r="281" spans="1:6">
      <c r="B281" s="421" t="s">
        <v>1313</v>
      </c>
      <c r="C281" s="372" t="s">
        <v>214</v>
      </c>
      <c r="D281" s="373">
        <v>237</v>
      </c>
      <c r="E281" s="403">
        <v>30</v>
      </c>
      <c r="F281" s="374">
        <f t="shared" si="10"/>
        <v>7110</v>
      </c>
    </row>
    <row r="282" spans="1:6">
      <c r="B282" s="421"/>
      <c r="C282" s="372"/>
    </row>
    <row r="283" spans="1:6" ht="26.4">
      <c r="B283" s="421" t="s">
        <v>1370</v>
      </c>
      <c r="C283" s="372"/>
    </row>
    <row r="284" spans="1:6" ht="15.6" customHeight="1">
      <c r="B284" s="421" t="s">
        <v>836</v>
      </c>
      <c r="C284" s="372" t="s">
        <v>31</v>
      </c>
      <c r="D284" s="373">
        <v>19</v>
      </c>
      <c r="E284" s="403">
        <v>20</v>
      </c>
      <c r="F284" s="374">
        <f t="shared" ref="F284:F285" si="11">SUM(D284*E284)</f>
        <v>380</v>
      </c>
    </row>
    <row r="285" spans="1:6" ht="15.6" customHeight="1">
      <c r="B285" s="421" t="s">
        <v>1313</v>
      </c>
      <c r="C285" s="372" t="s">
        <v>31</v>
      </c>
      <c r="D285" s="373">
        <v>68</v>
      </c>
      <c r="E285" s="403">
        <v>30</v>
      </c>
      <c r="F285" s="374">
        <f t="shared" si="11"/>
        <v>2040</v>
      </c>
    </row>
    <row r="286" spans="1:6">
      <c r="B286" s="421"/>
      <c r="C286" s="372"/>
    </row>
    <row r="287" spans="1:6" ht="26.4">
      <c r="B287" s="421" t="s">
        <v>1371</v>
      </c>
      <c r="C287" s="372"/>
    </row>
    <row r="288" spans="1:6">
      <c r="B288" s="421" t="s">
        <v>1313</v>
      </c>
      <c r="C288" s="372" t="s">
        <v>214</v>
      </c>
      <c r="D288" s="373">
        <v>79</v>
      </c>
      <c r="E288" s="403">
        <v>30</v>
      </c>
      <c r="F288" s="374">
        <f>SUM(D288*E288)</f>
        <v>2370</v>
      </c>
    </row>
    <row r="289" spans="1:6">
      <c r="B289" s="421"/>
      <c r="C289" s="372"/>
    </row>
    <row r="290" spans="1:6" ht="26.4">
      <c r="B290" s="421" t="s">
        <v>1372</v>
      </c>
      <c r="C290" s="372"/>
    </row>
    <row r="291" spans="1:6" ht="16.5" customHeight="1">
      <c r="B291" s="421" t="s">
        <v>1313</v>
      </c>
      <c r="C291" s="372" t="s">
        <v>31</v>
      </c>
      <c r="D291" s="373">
        <v>65</v>
      </c>
      <c r="E291" s="403">
        <v>30</v>
      </c>
      <c r="F291" s="374">
        <f>SUM(D291*E291)</f>
        <v>1950</v>
      </c>
    </row>
    <row r="292" spans="1:6">
      <c r="B292" s="421"/>
      <c r="C292" s="372"/>
    </row>
    <row r="293" spans="1:6" ht="66">
      <c r="A293" s="491">
        <v>2</v>
      </c>
      <c r="B293" s="421" t="s">
        <v>1373</v>
      </c>
      <c r="C293" s="372"/>
    </row>
    <row r="294" spans="1:6">
      <c r="B294" s="533" t="s">
        <v>1374</v>
      </c>
      <c r="C294" s="372" t="s">
        <v>214</v>
      </c>
      <c r="D294" s="373">
        <v>115</v>
      </c>
      <c r="E294" s="403">
        <v>8</v>
      </c>
      <c r="F294" s="374">
        <f>SUM(D294*E294)</f>
        <v>920</v>
      </c>
    </row>
    <row r="295" spans="1:6">
      <c r="B295" s="533" t="s">
        <v>1375</v>
      </c>
      <c r="C295" s="372" t="s">
        <v>214</v>
      </c>
      <c r="D295" s="373">
        <v>318</v>
      </c>
      <c r="E295" s="403">
        <v>9</v>
      </c>
      <c r="F295" s="374">
        <f>SUM(D295*E295)</f>
        <v>2862</v>
      </c>
    </row>
    <row r="296" spans="1:6">
      <c r="B296" s="421"/>
      <c r="C296" s="372"/>
    </row>
    <row r="297" spans="1:6" ht="66">
      <c r="A297" s="491">
        <v>3</v>
      </c>
      <c r="B297" s="421" t="s">
        <v>1376</v>
      </c>
      <c r="C297" s="372"/>
    </row>
    <row r="298" spans="1:6">
      <c r="B298" s="421" t="s">
        <v>835</v>
      </c>
      <c r="C298" s="372"/>
    </row>
    <row r="299" spans="1:6">
      <c r="B299" s="421" t="s">
        <v>1313</v>
      </c>
      <c r="C299" s="372" t="s">
        <v>214</v>
      </c>
      <c r="D299" s="373">
        <v>65</v>
      </c>
      <c r="E299" s="403">
        <v>30</v>
      </c>
      <c r="F299" s="374">
        <f>SUM(D299*E299)</f>
        <v>1950</v>
      </c>
    </row>
    <row r="300" spans="1:6">
      <c r="B300" s="421" t="s">
        <v>834</v>
      </c>
      <c r="C300" s="372" t="s">
        <v>214</v>
      </c>
      <c r="D300" s="373">
        <v>118</v>
      </c>
      <c r="E300" s="403">
        <v>20</v>
      </c>
      <c r="F300" s="374">
        <f>SUM(D300*E300)</f>
        <v>2360</v>
      </c>
    </row>
    <row r="301" spans="1:6">
      <c r="B301" s="421" t="s">
        <v>1377</v>
      </c>
      <c r="C301" s="372" t="s">
        <v>214</v>
      </c>
      <c r="D301" s="373">
        <v>129</v>
      </c>
      <c r="E301" s="403">
        <v>15</v>
      </c>
      <c r="F301" s="374">
        <f>SUM(D301*E301)</f>
        <v>1935</v>
      </c>
    </row>
    <row r="302" spans="1:6">
      <c r="B302" s="421"/>
      <c r="C302" s="372"/>
    </row>
    <row r="303" spans="1:6">
      <c r="B303" s="421" t="s">
        <v>832</v>
      </c>
      <c r="C303" s="372"/>
    </row>
    <row r="304" spans="1:6">
      <c r="B304" s="421" t="s">
        <v>1313</v>
      </c>
      <c r="C304" s="372" t="s">
        <v>31</v>
      </c>
      <c r="D304" s="373">
        <v>39</v>
      </c>
      <c r="E304" s="403">
        <v>30</v>
      </c>
      <c r="F304" s="374">
        <f>SUM(D304*E304)</f>
        <v>1170</v>
      </c>
    </row>
    <row r="305" spans="1:6">
      <c r="B305" s="421" t="s">
        <v>834</v>
      </c>
      <c r="C305" s="372" t="s">
        <v>31</v>
      </c>
      <c r="D305" s="373">
        <v>65</v>
      </c>
      <c r="E305" s="403">
        <v>20</v>
      </c>
      <c r="F305" s="374">
        <f>SUM(D305*E305)</f>
        <v>1300</v>
      </c>
    </row>
    <row r="306" spans="1:6">
      <c r="B306" s="421" t="s">
        <v>1377</v>
      </c>
      <c r="C306" s="372" t="s">
        <v>31</v>
      </c>
      <c r="D306" s="373">
        <v>97</v>
      </c>
      <c r="E306" s="403">
        <v>15</v>
      </c>
      <c r="F306" s="374">
        <f>SUM(D306*E306)</f>
        <v>1455</v>
      </c>
    </row>
    <row r="307" spans="1:6">
      <c r="B307" s="421"/>
      <c r="C307" s="372"/>
      <c r="F307" s="387"/>
    </row>
    <row r="308" spans="1:6" ht="52.8">
      <c r="A308" s="491">
        <v>4</v>
      </c>
      <c r="B308" s="421" t="s">
        <v>840</v>
      </c>
      <c r="C308" s="372"/>
    </row>
    <row r="309" spans="1:6">
      <c r="B309" s="421" t="s">
        <v>841</v>
      </c>
      <c r="C309" s="372" t="s">
        <v>31</v>
      </c>
      <c r="D309" s="373">
        <v>20</v>
      </c>
      <c r="E309" s="403">
        <v>50</v>
      </c>
      <c r="F309" s="374">
        <f>SUM(D309*E309)</f>
        <v>1000</v>
      </c>
    </row>
    <row r="310" spans="1:6">
      <c r="B310" s="421"/>
      <c r="C310" s="372"/>
    </row>
    <row r="311" spans="1:6" ht="52.8">
      <c r="A311" s="491">
        <v>5</v>
      </c>
      <c r="B311" s="421" t="s">
        <v>837</v>
      </c>
      <c r="C311" s="372"/>
    </row>
    <row r="312" spans="1:6">
      <c r="B312" s="421" t="s">
        <v>1378</v>
      </c>
      <c r="C312" s="372" t="s">
        <v>31</v>
      </c>
      <c r="D312" s="373">
        <v>14</v>
      </c>
      <c r="E312" s="403">
        <v>50</v>
      </c>
      <c r="F312" s="374">
        <f>SUM(D312*E312)</f>
        <v>700</v>
      </c>
    </row>
    <row r="313" spans="1:6">
      <c r="B313" s="421" t="s">
        <v>1379</v>
      </c>
      <c r="C313" s="372" t="s">
        <v>31</v>
      </c>
      <c r="D313" s="373">
        <v>6</v>
      </c>
      <c r="E313" s="403">
        <v>50</v>
      </c>
      <c r="F313" s="374">
        <f>SUM(D313*E313)</f>
        <v>300</v>
      </c>
    </row>
    <row r="314" spans="1:6">
      <c r="B314" s="421"/>
      <c r="C314" s="372"/>
    </row>
    <row r="315" spans="1:6" ht="26.4">
      <c r="A315" s="491">
        <v>6</v>
      </c>
      <c r="B315" s="421" t="s">
        <v>838</v>
      </c>
      <c r="C315" s="372"/>
    </row>
    <row r="316" spans="1:6">
      <c r="B316" s="421" t="s">
        <v>1380</v>
      </c>
      <c r="C316" s="372" t="s">
        <v>31</v>
      </c>
      <c r="D316" s="373">
        <v>14</v>
      </c>
      <c r="E316" s="403">
        <v>150</v>
      </c>
      <c r="F316" s="374">
        <f>SUM(D316*E316)</f>
        <v>2100</v>
      </c>
    </row>
    <row r="317" spans="1:6">
      <c r="B317" s="421" t="s">
        <v>1381</v>
      </c>
      <c r="C317" s="372" t="s">
        <v>31</v>
      </c>
      <c r="D317" s="373">
        <v>6</v>
      </c>
      <c r="E317" s="403">
        <v>150</v>
      </c>
      <c r="F317" s="374">
        <f>SUM(D317*E317)</f>
        <v>900</v>
      </c>
    </row>
    <row r="318" spans="1:6">
      <c r="B318" s="421"/>
      <c r="C318" s="372"/>
    </row>
    <row r="319" spans="1:6" ht="39.6">
      <c r="A319" s="491">
        <v>7</v>
      </c>
      <c r="B319" s="421" t="s">
        <v>1382</v>
      </c>
      <c r="C319" s="372" t="s">
        <v>31</v>
      </c>
      <c r="D319" s="373">
        <v>4</v>
      </c>
      <c r="E319" s="403">
        <v>150</v>
      </c>
      <c r="F319" s="374">
        <f>SUM(D319*E319)</f>
        <v>600</v>
      </c>
    </row>
    <row r="320" spans="1:6">
      <c r="B320" s="421"/>
      <c r="C320" s="372"/>
      <c r="F320" s="387"/>
    </row>
    <row r="321" spans="1:6" ht="52.8">
      <c r="A321" s="491">
        <v>8</v>
      </c>
      <c r="B321" s="421" t="s">
        <v>1383</v>
      </c>
      <c r="C321" s="372" t="s">
        <v>31</v>
      </c>
      <c r="D321" s="373">
        <v>3</v>
      </c>
      <c r="E321" s="403">
        <v>150</v>
      </c>
      <c r="F321" s="374">
        <f>SUM(D321*E321)</f>
        <v>450</v>
      </c>
    </row>
    <row r="322" spans="1:6">
      <c r="B322" s="421"/>
      <c r="C322" s="372"/>
      <c r="F322" s="387"/>
    </row>
    <row r="323" spans="1:6" ht="39.6">
      <c r="A323" s="491">
        <v>9</v>
      </c>
      <c r="B323" s="421" t="s">
        <v>1384</v>
      </c>
      <c r="C323" s="372" t="s">
        <v>31</v>
      </c>
      <c r="D323" s="373">
        <v>1</v>
      </c>
      <c r="E323" s="403">
        <v>150</v>
      </c>
      <c r="F323" s="374">
        <f>SUM(D323*E323)</f>
        <v>150</v>
      </c>
    </row>
    <row r="324" spans="1:6">
      <c r="B324" s="421"/>
      <c r="C324" s="372"/>
      <c r="F324" s="387"/>
    </row>
    <row r="325" spans="1:6" ht="81.599999999999994">
      <c r="A325" s="491">
        <v>10</v>
      </c>
      <c r="B325" s="421" t="s">
        <v>1385</v>
      </c>
      <c r="C325" s="369" t="s">
        <v>31</v>
      </c>
      <c r="D325" s="357">
        <v>17</v>
      </c>
      <c r="E325" s="358">
        <v>250</v>
      </c>
      <c r="F325" s="359">
        <f>SUM(D325*E325)</f>
        <v>4250</v>
      </c>
    </row>
    <row r="326" spans="1:6">
      <c r="B326" s="421"/>
      <c r="C326" s="372"/>
    </row>
    <row r="327" spans="1:6" ht="66">
      <c r="A327" s="491">
        <v>11</v>
      </c>
      <c r="B327" s="421" t="s">
        <v>1386</v>
      </c>
      <c r="C327" s="372"/>
    </row>
    <row r="328" spans="1:6">
      <c r="A328" s="491"/>
      <c r="B328" s="421" t="s">
        <v>1387</v>
      </c>
      <c r="C328" s="372" t="s">
        <v>31</v>
      </c>
      <c r="D328" s="373">
        <v>1</v>
      </c>
      <c r="E328" s="403">
        <v>50</v>
      </c>
      <c r="F328" s="374">
        <f>SUM(D328*E328)</f>
        <v>50</v>
      </c>
    </row>
    <row r="329" spans="1:6">
      <c r="B329" s="421"/>
      <c r="C329" s="372"/>
      <c r="F329" s="387"/>
    </row>
    <row r="330" spans="1:6" ht="26.4">
      <c r="A330" s="491">
        <v>12</v>
      </c>
      <c r="B330" s="421" t="s">
        <v>1388</v>
      </c>
      <c r="C330" s="372" t="s">
        <v>31</v>
      </c>
      <c r="D330" s="373">
        <v>18</v>
      </c>
      <c r="E330" s="403">
        <v>150</v>
      </c>
      <c r="F330" s="374">
        <f>SUM(D330*E330)</f>
        <v>2700</v>
      </c>
    </row>
    <row r="331" spans="1:6">
      <c r="B331" s="421"/>
      <c r="C331" s="372"/>
      <c r="F331" s="387"/>
    </row>
    <row r="332" spans="1:6" ht="39.6">
      <c r="A332" s="491">
        <v>13</v>
      </c>
      <c r="B332" s="421" t="s">
        <v>1389</v>
      </c>
      <c r="C332" s="372" t="s">
        <v>31</v>
      </c>
      <c r="D332" s="373">
        <v>86</v>
      </c>
      <c r="E332" s="403">
        <v>10</v>
      </c>
      <c r="F332" s="374">
        <f>SUM(D332*E332)</f>
        <v>860</v>
      </c>
    </row>
    <row r="333" spans="1:6">
      <c r="A333" s="491"/>
      <c r="B333" s="517"/>
      <c r="C333" s="414"/>
    </row>
    <row r="334" spans="1:6" ht="105.6">
      <c r="A334" s="491">
        <v>14</v>
      </c>
      <c r="B334" s="421" t="s">
        <v>1390</v>
      </c>
      <c r="C334" s="372" t="s">
        <v>213</v>
      </c>
      <c r="D334" s="373">
        <v>17</v>
      </c>
      <c r="E334" s="403">
        <v>500</v>
      </c>
      <c r="F334" s="374">
        <f>SUM(D334*E334)</f>
        <v>8500</v>
      </c>
    </row>
    <row r="335" spans="1:6">
      <c r="A335" s="491"/>
      <c r="B335" s="421"/>
      <c r="C335" s="372"/>
    </row>
    <row r="336" spans="1:6" ht="66">
      <c r="A336" s="491">
        <v>15</v>
      </c>
      <c r="B336" s="421" t="s">
        <v>1391</v>
      </c>
    </row>
    <row r="337" spans="1:6">
      <c r="A337" s="491"/>
      <c r="B337" s="421" t="s">
        <v>1392</v>
      </c>
      <c r="C337" s="372" t="s">
        <v>31</v>
      </c>
      <c r="D337" s="373">
        <v>15</v>
      </c>
      <c r="E337" s="403">
        <v>50</v>
      </c>
      <c r="F337" s="374">
        <f>SUM(D337*E337)</f>
        <v>750</v>
      </c>
    </row>
    <row r="338" spans="1:6">
      <c r="A338" s="491"/>
      <c r="B338" s="421"/>
      <c r="C338" s="372"/>
    </row>
    <row r="339" spans="1:6" ht="52.8">
      <c r="A339" s="491" t="s">
        <v>386</v>
      </c>
      <c r="B339" s="421" t="s">
        <v>2373</v>
      </c>
    </row>
    <row r="340" spans="1:6">
      <c r="A340" s="491"/>
      <c r="B340" s="421" t="s">
        <v>2374</v>
      </c>
      <c r="C340" s="372" t="s">
        <v>214</v>
      </c>
      <c r="D340" s="373">
        <v>15</v>
      </c>
      <c r="E340" s="403">
        <v>20</v>
      </c>
      <c r="F340" s="374">
        <f>SUM(D340*E340)</f>
        <v>300</v>
      </c>
    </row>
    <row r="341" spans="1:6">
      <c r="A341" s="491"/>
      <c r="B341" s="421" t="s">
        <v>2375</v>
      </c>
      <c r="C341" s="372" t="s">
        <v>214</v>
      </c>
      <c r="D341" s="373">
        <v>69</v>
      </c>
      <c r="E341" s="403">
        <v>30</v>
      </c>
      <c r="F341" s="374">
        <f>SUM(D341*E341)</f>
        <v>2070</v>
      </c>
    </row>
    <row r="342" spans="1:6">
      <c r="A342" s="491"/>
      <c r="B342" s="421"/>
      <c r="C342" s="372"/>
    </row>
    <row r="343" spans="1:6" ht="39.6">
      <c r="A343" s="491" t="s">
        <v>387</v>
      </c>
      <c r="B343" s="421" t="s">
        <v>1393</v>
      </c>
      <c r="C343" s="372" t="s">
        <v>213</v>
      </c>
      <c r="D343" s="373">
        <v>1</v>
      </c>
      <c r="E343" s="403">
        <v>50</v>
      </c>
      <c r="F343" s="374">
        <f>SUM(D343*E343)</f>
        <v>50</v>
      </c>
    </row>
    <row r="344" spans="1:6">
      <c r="A344" s="491"/>
      <c r="B344" s="421"/>
      <c r="C344" s="372"/>
    </row>
    <row r="345" spans="1:6">
      <c r="A345" s="397" t="s">
        <v>1366</v>
      </c>
      <c r="B345" s="398" t="s">
        <v>38</v>
      </c>
      <c r="C345" s="399"/>
      <c r="D345" s="400" t="s">
        <v>1246</v>
      </c>
      <c r="E345" s="401"/>
      <c r="F345" s="402">
        <f>SUM(F278:F343)</f>
        <v>55832</v>
      </c>
    </row>
    <row r="346" spans="1:6">
      <c r="A346" s="491"/>
      <c r="B346" s="421"/>
      <c r="C346" s="372"/>
      <c r="D346" s="435"/>
    </row>
    <row r="347" spans="1:6">
      <c r="A347" s="534" t="s">
        <v>1394</v>
      </c>
      <c r="B347" s="535" t="s">
        <v>1282</v>
      </c>
      <c r="C347" s="536"/>
      <c r="D347" s="440"/>
      <c r="E347" s="441"/>
      <c r="F347" s="365"/>
    </row>
    <row r="348" spans="1:6">
      <c r="A348" s="491"/>
      <c r="B348" s="421"/>
      <c r="C348" s="372"/>
    </row>
    <row r="349" spans="1:6" ht="66">
      <c r="A349" s="491">
        <v>1</v>
      </c>
      <c r="B349" s="421" t="s">
        <v>842</v>
      </c>
      <c r="C349" s="372" t="s">
        <v>213</v>
      </c>
      <c r="D349" s="373">
        <v>1</v>
      </c>
      <c r="E349" s="403">
        <v>250</v>
      </c>
      <c r="F349" s="374">
        <f>SUM(D349*E349)</f>
        <v>250</v>
      </c>
    </row>
    <row r="350" spans="1:6">
      <c r="A350" s="491"/>
      <c r="B350" s="421"/>
      <c r="C350" s="372"/>
    </row>
    <row r="351" spans="1:6">
      <c r="A351" s="397" t="s">
        <v>1394</v>
      </c>
      <c r="B351" s="398" t="s">
        <v>38</v>
      </c>
      <c r="C351" s="399"/>
      <c r="D351" s="400" t="s">
        <v>1246</v>
      </c>
      <c r="E351" s="401"/>
      <c r="F351" s="402">
        <f>SUM(F349:F350)</f>
        <v>250</v>
      </c>
    </row>
    <row r="352" spans="1:6">
      <c r="D352" s="435"/>
    </row>
    <row r="353" spans="1:6">
      <c r="A353" s="537" t="s">
        <v>1395</v>
      </c>
      <c r="B353" s="538" t="s">
        <v>1396</v>
      </c>
      <c r="C353" s="526"/>
      <c r="D353" s="527"/>
      <c r="E353" s="528"/>
      <c r="F353" s="539"/>
    </row>
    <row r="354" spans="1:6">
      <c r="A354" s="375"/>
      <c r="B354" s="437"/>
      <c r="C354" s="372"/>
      <c r="D354" s="435"/>
      <c r="F354" s="415"/>
    </row>
    <row r="355" spans="1:6">
      <c r="A355" s="540" t="s">
        <v>1397</v>
      </c>
      <c r="B355" s="541" t="s">
        <v>1398</v>
      </c>
      <c r="C355" s="542"/>
      <c r="D355" s="407"/>
      <c r="E355" s="408"/>
      <c r="F355" s="543"/>
    </row>
    <row r="356" spans="1:6">
      <c r="A356" s="375"/>
      <c r="B356" s="437"/>
      <c r="C356" s="372"/>
      <c r="F356" s="415"/>
    </row>
    <row r="357" spans="1:6" ht="79.2">
      <c r="A357" s="491">
        <v>1</v>
      </c>
      <c r="B357" s="437" t="s">
        <v>1399</v>
      </c>
      <c r="C357" s="372"/>
      <c r="F357" s="415"/>
    </row>
    <row r="358" spans="1:6">
      <c r="A358" s="375"/>
      <c r="B358" s="437" t="s">
        <v>1400</v>
      </c>
      <c r="C358" s="372" t="s">
        <v>214</v>
      </c>
      <c r="D358" s="373">
        <v>130</v>
      </c>
      <c r="E358" s="403">
        <v>10</v>
      </c>
      <c r="F358" s="374">
        <f>SUM(D358*E358)</f>
        <v>1300</v>
      </c>
    </row>
    <row r="359" spans="1:6">
      <c r="A359" s="375"/>
      <c r="B359" s="437"/>
      <c r="C359" s="372"/>
      <c r="E359" s="473"/>
      <c r="F359" s="544"/>
    </row>
    <row r="360" spans="1:6">
      <c r="A360" s="397" t="s">
        <v>1397</v>
      </c>
      <c r="B360" s="398" t="s">
        <v>38</v>
      </c>
      <c r="C360" s="399"/>
      <c r="D360" s="400" t="s">
        <v>1246</v>
      </c>
      <c r="E360" s="401"/>
      <c r="F360" s="402">
        <f>SUM(F357:F359)</f>
        <v>1300</v>
      </c>
    </row>
    <row r="361" spans="1:6">
      <c r="A361" s="375"/>
      <c r="B361" s="437"/>
      <c r="C361" s="372"/>
      <c r="D361" s="435"/>
      <c r="F361" s="415"/>
    </row>
    <row r="362" spans="1:6">
      <c r="A362" s="404" t="s">
        <v>1401</v>
      </c>
      <c r="B362" s="545" t="s">
        <v>1402</v>
      </c>
      <c r="C362" s="478"/>
      <c r="D362" s="440"/>
      <c r="E362" s="449"/>
      <c r="F362" s="409"/>
    </row>
    <row r="363" spans="1:6">
      <c r="A363" s="375"/>
      <c r="B363" s="437"/>
      <c r="C363" s="372"/>
      <c r="F363" s="415"/>
    </row>
    <row r="364" spans="1:6" ht="118.8">
      <c r="A364" s="491">
        <v>1</v>
      </c>
      <c r="B364" s="437" t="s">
        <v>1403</v>
      </c>
      <c r="C364" s="372"/>
      <c r="F364" s="415"/>
    </row>
    <row r="365" spans="1:6">
      <c r="A365" s="375"/>
      <c r="B365" s="437" t="s">
        <v>1404</v>
      </c>
      <c r="C365" s="372" t="s">
        <v>214</v>
      </c>
      <c r="D365" s="373">
        <v>144</v>
      </c>
      <c r="E365" s="403">
        <v>20</v>
      </c>
      <c r="F365" s="374">
        <f>SUM(D365*E365)</f>
        <v>2880</v>
      </c>
    </row>
    <row r="366" spans="1:6">
      <c r="A366" s="375"/>
      <c r="B366" s="437" t="s">
        <v>1405</v>
      </c>
      <c r="C366" s="372" t="s">
        <v>214</v>
      </c>
      <c r="D366" s="373">
        <v>208</v>
      </c>
      <c r="E366" s="403">
        <v>25</v>
      </c>
      <c r="F366" s="374">
        <f>SUM(D366*E366)</f>
        <v>5200</v>
      </c>
    </row>
    <row r="367" spans="1:6">
      <c r="A367" s="375"/>
      <c r="B367" s="437" t="s">
        <v>1406</v>
      </c>
      <c r="C367" s="372" t="s">
        <v>214</v>
      </c>
      <c r="D367" s="373">
        <v>168</v>
      </c>
      <c r="E367" s="403">
        <v>30</v>
      </c>
      <c r="F367" s="374">
        <f>SUM(D367*E367)</f>
        <v>5040</v>
      </c>
    </row>
    <row r="368" spans="1:6">
      <c r="A368" s="375"/>
      <c r="B368" s="437" t="s">
        <v>1407</v>
      </c>
      <c r="C368" s="372" t="s">
        <v>214</v>
      </c>
      <c r="D368" s="373">
        <v>64</v>
      </c>
      <c r="E368" s="403">
        <v>35</v>
      </c>
      <c r="F368" s="374">
        <f>SUM(D368*E368)</f>
        <v>2240</v>
      </c>
    </row>
    <row r="369" spans="1:6">
      <c r="A369" s="375"/>
      <c r="B369" s="437"/>
      <c r="C369" s="372"/>
      <c r="F369" s="415"/>
    </row>
    <row r="370" spans="1:6" ht="105.6">
      <c r="A370" s="491">
        <v>2</v>
      </c>
      <c r="B370" s="437" t="s">
        <v>1408</v>
      </c>
      <c r="C370" s="372"/>
      <c r="F370" s="415"/>
    </row>
    <row r="371" spans="1:6">
      <c r="A371" s="375"/>
      <c r="B371" s="437" t="s">
        <v>1404</v>
      </c>
      <c r="C371" s="372" t="s">
        <v>214</v>
      </c>
      <c r="D371" s="373">
        <v>465</v>
      </c>
      <c r="E371" s="403">
        <v>20</v>
      </c>
      <c r="F371" s="374">
        <f>SUM(D371*E371)</f>
        <v>9300</v>
      </c>
    </row>
    <row r="372" spans="1:6">
      <c r="A372" s="375"/>
      <c r="B372" s="437" t="s">
        <v>1405</v>
      </c>
      <c r="C372" s="372" t="s">
        <v>214</v>
      </c>
      <c r="D372" s="373">
        <v>190</v>
      </c>
      <c r="E372" s="403">
        <v>25</v>
      </c>
      <c r="F372" s="374">
        <f>SUM(D372*E372)</f>
        <v>4750</v>
      </c>
    </row>
    <row r="373" spans="1:6">
      <c r="A373" s="375"/>
      <c r="B373" s="437" t="s">
        <v>1406</v>
      </c>
      <c r="C373" s="372" t="s">
        <v>214</v>
      </c>
      <c r="D373" s="373">
        <v>192</v>
      </c>
      <c r="E373" s="403">
        <v>30</v>
      </c>
      <c r="F373" s="374">
        <f>SUM(D373*E373)</f>
        <v>5760</v>
      </c>
    </row>
    <row r="374" spans="1:6">
      <c r="A374" s="375"/>
      <c r="B374" s="437" t="s">
        <v>1407</v>
      </c>
      <c r="C374" s="372" t="s">
        <v>214</v>
      </c>
      <c r="D374" s="373">
        <v>64</v>
      </c>
      <c r="E374" s="403">
        <v>35</v>
      </c>
      <c r="F374" s="374">
        <f>SUM(D374*E374)</f>
        <v>2240</v>
      </c>
    </row>
    <row r="375" spans="1:6">
      <c r="A375" s="375"/>
      <c r="B375" s="437"/>
      <c r="C375" s="372"/>
      <c r="F375" s="415"/>
    </row>
    <row r="376" spans="1:6" ht="39.6">
      <c r="A376" s="491">
        <v>3</v>
      </c>
      <c r="B376" s="437" t="s">
        <v>1409</v>
      </c>
      <c r="C376" s="372"/>
      <c r="F376" s="415"/>
    </row>
    <row r="377" spans="1:6">
      <c r="A377" s="375"/>
      <c r="B377" s="437" t="s">
        <v>1410</v>
      </c>
      <c r="C377" s="372" t="s">
        <v>214</v>
      </c>
      <c r="D377" s="373">
        <v>465</v>
      </c>
      <c r="E377" s="403">
        <v>3</v>
      </c>
      <c r="F377" s="374">
        <f>SUM(D377*E377)</f>
        <v>1395</v>
      </c>
    </row>
    <row r="378" spans="1:6">
      <c r="A378" s="375"/>
      <c r="B378" s="437" t="s">
        <v>1411</v>
      </c>
      <c r="C378" s="372" t="s">
        <v>214</v>
      </c>
      <c r="D378" s="373">
        <v>190</v>
      </c>
      <c r="E378" s="403">
        <v>5</v>
      </c>
      <c r="F378" s="374">
        <f>SUM(D378*E378)</f>
        <v>950</v>
      </c>
    </row>
    <row r="379" spans="1:6">
      <c r="A379" s="375"/>
      <c r="B379" s="437" t="s">
        <v>1412</v>
      </c>
      <c r="C379" s="372" t="s">
        <v>214</v>
      </c>
      <c r="D379" s="373">
        <v>192</v>
      </c>
      <c r="E379" s="403">
        <v>7</v>
      </c>
      <c r="F379" s="374">
        <f>SUM(D379*E379)</f>
        <v>1344</v>
      </c>
    </row>
    <row r="380" spans="1:6">
      <c r="A380" s="375"/>
      <c r="B380" s="437" t="s">
        <v>1413</v>
      </c>
      <c r="C380" s="372" t="s">
        <v>214</v>
      </c>
      <c r="D380" s="373">
        <v>64</v>
      </c>
      <c r="E380" s="403">
        <v>8</v>
      </c>
      <c r="F380" s="374">
        <f>SUM(D380*E380)</f>
        <v>512</v>
      </c>
    </row>
    <row r="381" spans="1:6">
      <c r="A381" s="375"/>
      <c r="B381" s="437"/>
      <c r="C381" s="372"/>
      <c r="F381" s="415"/>
    </row>
    <row r="382" spans="1:6" ht="39.6">
      <c r="A382" s="491">
        <v>4</v>
      </c>
      <c r="B382" s="437" t="s">
        <v>1414</v>
      </c>
      <c r="C382" s="372"/>
      <c r="F382" s="415"/>
    </row>
    <row r="383" spans="1:6">
      <c r="A383" s="375"/>
      <c r="B383" s="437" t="s">
        <v>1415</v>
      </c>
      <c r="C383" s="372"/>
      <c r="F383" s="415"/>
    </row>
    <row r="384" spans="1:6">
      <c r="A384" s="375"/>
      <c r="B384" s="437" t="s">
        <v>1416</v>
      </c>
      <c r="C384" s="372" t="s">
        <v>214</v>
      </c>
      <c r="D384" s="373">
        <v>144</v>
      </c>
      <c r="E384" s="403">
        <v>3</v>
      </c>
      <c r="F384" s="374">
        <f>SUM(D384*E384)</f>
        <v>432</v>
      </c>
    </row>
    <row r="385" spans="1:6">
      <c r="A385" s="375"/>
      <c r="B385" s="437" t="s">
        <v>1417</v>
      </c>
      <c r="C385" s="372" t="s">
        <v>214</v>
      </c>
      <c r="D385" s="373">
        <v>208</v>
      </c>
      <c r="E385" s="403">
        <v>5</v>
      </c>
      <c r="F385" s="374">
        <f>SUM(D385*E385)</f>
        <v>1040</v>
      </c>
    </row>
    <row r="386" spans="1:6">
      <c r="A386" s="375"/>
      <c r="B386" s="437" t="s">
        <v>1418</v>
      </c>
      <c r="C386" s="372" t="s">
        <v>214</v>
      </c>
      <c r="D386" s="373">
        <v>168</v>
      </c>
      <c r="E386" s="403">
        <v>7</v>
      </c>
      <c r="F386" s="374">
        <f>SUM(D386*E386)</f>
        <v>1176</v>
      </c>
    </row>
    <row r="387" spans="1:6">
      <c r="A387" s="375"/>
      <c r="B387" s="437" t="s">
        <v>1419</v>
      </c>
      <c r="C387" s="372" t="s">
        <v>214</v>
      </c>
      <c r="D387" s="373">
        <v>64</v>
      </c>
      <c r="E387" s="403">
        <v>8</v>
      </c>
      <c r="F387" s="374">
        <f>SUM(D387*E387)</f>
        <v>512</v>
      </c>
    </row>
    <row r="388" spans="1:6">
      <c r="A388" s="375"/>
      <c r="B388" s="437"/>
      <c r="C388" s="372"/>
    </row>
    <row r="389" spans="1:6" ht="26.4">
      <c r="A389" s="491">
        <v>5</v>
      </c>
      <c r="B389" s="437" t="s">
        <v>1420</v>
      </c>
      <c r="C389" s="372"/>
      <c r="F389" s="415"/>
    </row>
    <row r="390" spans="1:6">
      <c r="A390" s="375"/>
      <c r="B390" s="437" t="s">
        <v>1421</v>
      </c>
      <c r="C390" s="372" t="s">
        <v>31</v>
      </c>
      <c r="D390" s="373">
        <v>22</v>
      </c>
      <c r="E390" s="403">
        <v>30</v>
      </c>
      <c r="F390" s="374">
        <f>SUM(D390*E390)</f>
        <v>660</v>
      </c>
    </row>
    <row r="391" spans="1:6">
      <c r="A391" s="375"/>
      <c r="B391" s="437"/>
      <c r="C391" s="372"/>
      <c r="F391" s="387"/>
    </row>
    <row r="392" spans="1:6">
      <c r="A392" s="491">
        <v>6</v>
      </c>
      <c r="B392" s="437" t="s">
        <v>1422</v>
      </c>
      <c r="C392" s="372"/>
      <c r="F392" s="415"/>
    </row>
    <row r="393" spans="1:6">
      <c r="A393" s="375"/>
      <c r="B393" s="437" t="s">
        <v>1423</v>
      </c>
      <c r="C393" s="372" t="s">
        <v>31</v>
      </c>
      <c r="D393" s="373">
        <v>95</v>
      </c>
      <c r="E393" s="403">
        <v>30</v>
      </c>
      <c r="F393" s="374">
        <f>SUM(D393*E393)</f>
        <v>2850</v>
      </c>
    </row>
    <row r="394" spans="1:6">
      <c r="A394" s="375"/>
      <c r="B394" s="437"/>
      <c r="C394" s="372"/>
      <c r="F394" s="387"/>
    </row>
    <row r="395" spans="1:6" s="430" customFormat="1" ht="28.8">
      <c r="A395" s="427">
        <v>7</v>
      </c>
      <c r="B395" s="428" t="s">
        <v>1424</v>
      </c>
      <c r="C395" s="429"/>
      <c r="D395" s="546"/>
      <c r="E395" s="547"/>
      <c r="F395" s="548"/>
    </row>
    <row r="396" spans="1:6" s="430" customFormat="1">
      <c r="A396" s="427"/>
      <c r="B396" s="430" t="s">
        <v>1425</v>
      </c>
      <c r="C396" s="549" t="s">
        <v>31</v>
      </c>
      <c r="D396" s="373">
        <v>1</v>
      </c>
      <c r="E396" s="403">
        <v>30</v>
      </c>
      <c r="F396" s="374">
        <f>SUM(D396*E396)</f>
        <v>30</v>
      </c>
    </row>
    <row r="397" spans="1:6" s="430" customFormat="1">
      <c r="A397" s="427"/>
      <c r="B397" s="430" t="s">
        <v>1426</v>
      </c>
      <c r="C397" s="549" t="s">
        <v>31</v>
      </c>
      <c r="D397" s="373">
        <v>3</v>
      </c>
      <c r="E397" s="403">
        <v>30</v>
      </c>
      <c r="F397" s="374">
        <f>SUM(D397*E397)</f>
        <v>90</v>
      </c>
    </row>
    <row r="398" spans="1:6" s="430" customFormat="1">
      <c r="A398" s="427"/>
      <c r="B398" s="430" t="s">
        <v>1427</v>
      </c>
      <c r="C398" s="549" t="s">
        <v>31</v>
      </c>
      <c r="D398" s="373">
        <v>2</v>
      </c>
      <c r="E398" s="403">
        <v>40</v>
      </c>
      <c r="F398" s="374">
        <f>SUM(D398*E398)</f>
        <v>80</v>
      </c>
    </row>
    <row r="399" spans="1:6">
      <c r="A399" s="375"/>
      <c r="B399" s="437"/>
      <c r="C399" s="372"/>
      <c r="F399" s="415"/>
    </row>
    <row r="400" spans="1:6" ht="79.2">
      <c r="A400" s="491">
        <v>8</v>
      </c>
      <c r="B400" s="437" t="s">
        <v>1428</v>
      </c>
      <c r="C400" s="372" t="s">
        <v>31</v>
      </c>
      <c r="D400" s="373">
        <v>195</v>
      </c>
      <c r="E400" s="403">
        <v>10</v>
      </c>
      <c r="F400" s="374">
        <f>SUM(D400*E400)</f>
        <v>1950</v>
      </c>
    </row>
    <row r="401" spans="1:6">
      <c r="A401" s="375"/>
      <c r="B401" s="437"/>
      <c r="C401" s="372"/>
      <c r="F401" s="415"/>
    </row>
    <row r="402" spans="1:6" ht="98.4">
      <c r="A402" s="491">
        <v>9</v>
      </c>
      <c r="B402" s="437" t="s">
        <v>1429</v>
      </c>
      <c r="C402" s="372" t="s">
        <v>213</v>
      </c>
      <c r="D402" s="373">
        <v>1</v>
      </c>
      <c r="E402" s="403">
        <v>50</v>
      </c>
      <c r="F402" s="374">
        <f>SUM(D402*E402)</f>
        <v>50</v>
      </c>
    </row>
    <row r="403" spans="1:6">
      <c r="A403" s="491"/>
      <c r="B403" s="437"/>
      <c r="C403" s="372"/>
    </row>
    <row r="404" spans="1:6" ht="39.6">
      <c r="A404" s="491">
        <v>10</v>
      </c>
      <c r="B404" s="437" t="s">
        <v>1430</v>
      </c>
      <c r="C404" s="372" t="s">
        <v>213</v>
      </c>
      <c r="D404" s="373">
        <v>1</v>
      </c>
      <c r="E404" s="403">
        <v>500</v>
      </c>
      <c r="F404" s="374">
        <f>SUM(D404*E404)</f>
        <v>500</v>
      </c>
    </row>
    <row r="405" spans="1:6">
      <c r="A405" s="375"/>
      <c r="B405" s="437"/>
      <c r="C405" s="372"/>
      <c r="F405" s="415"/>
    </row>
    <row r="406" spans="1:6" ht="26.4">
      <c r="A406" s="491">
        <v>11</v>
      </c>
      <c r="B406" s="437" t="s">
        <v>1431</v>
      </c>
      <c r="C406" s="372" t="s">
        <v>213</v>
      </c>
      <c r="D406" s="373">
        <v>1</v>
      </c>
      <c r="E406" s="403">
        <v>150</v>
      </c>
      <c r="F406" s="374">
        <f>SUM(D406*E406)</f>
        <v>150</v>
      </c>
    </row>
    <row r="407" spans="1:6">
      <c r="A407" s="491"/>
      <c r="B407" s="437"/>
      <c r="C407" s="372"/>
      <c r="F407" s="387"/>
    </row>
    <row r="408" spans="1:6" ht="26.4">
      <c r="A408" s="491">
        <v>12</v>
      </c>
      <c r="B408" s="437" t="s">
        <v>1432</v>
      </c>
      <c r="C408" s="372" t="s">
        <v>213</v>
      </c>
      <c r="D408" s="373">
        <v>11</v>
      </c>
      <c r="E408" s="403">
        <v>250</v>
      </c>
      <c r="F408" s="374">
        <f>SUM(D408*E408)</f>
        <v>2750</v>
      </c>
    </row>
    <row r="409" spans="1:6">
      <c r="A409" s="491"/>
      <c r="B409" s="437"/>
      <c r="C409" s="372"/>
    </row>
    <row r="410" spans="1:6" ht="66">
      <c r="A410" s="491">
        <v>13</v>
      </c>
      <c r="B410" s="492" t="s">
        <v>1433</v>
      </c>
      <c r="C410" s="414"/>
      <c r="E410" s="473"/>
      <c r="F410" s="476"/>
    </row>
    <row r="411" spans="1:6">
      <c r="A411" s="375"/>
      <c r="B411" s="492" t="s">
        <v>1434</v>
      </c>
      <c r="C411" s="414" t="s">
        <v>214</v>
      </c>
      <c r="D411" s="373">
        <v>69</v>
      </c>
      <c r="E411" s="473">
        <v>50</v>
      </c>
      <c r="F411" s="476">
        <f>SUM(D411*E411)</f>
        <v>3450</v>
      </c>
    </row>
    <row r="412" spans="1:6">
      <c r="A412" s="375"/>
      <c r="B412" s="492"/>
      <c r="C412" s="414"/>
      <c r="E412" s="473"/>
      <c r="F412" s="477"/>
    </row>
    <row r="413" spans="1:6" ht="123.75" customHeight="1">
      <c r="A413" s="491">
        <v>14</v>
      </c>
      <c r="B413" s="492" t="s">
        <v>1435</v>
      </c>
      <c r="C413" s="414"/>
      <c r="E413" s="473"/>
      <c r="F413" s="476"/>
    </row>
    <row r="414" spans="1:6" ht="21.6" customHeight="1">
      <c r="A414" s="375"/>
      <c r="B414" s="492" t="s">
        <v>1436</v>
      </c>
      <c r="C414" s="414" t="s">
        <v>31</v>
      </c>
      <c r="D414" s="373">
        <v>7</v>
      </c>
      <c r="E414" s="473">
        <v>500</v>
      </c>
      <c r="F414" s="486">
        <f>SUM(D414*E414)</f>
        <v>3500</v>
      </c>
    </row>
    <row r="415" spans="1:6">
      <c r="A415" s="375"/>
      <c r="B415" s="492"/>
      <c r="C415" s="414"/>
      <c r="E415" s="473"/>
      <c r="F415" s="476"/>
    </row>
    <row r="416" spans="1:6" ht="39.6">
      <c r="A416" s="491">
        <v>15</v>
      </c>
      <c r="B416" s="492" t="s">
        <v>1336</v>
      </c>
      <c r="C416" s="414" t="s">
        <v>213</v>
      </c>
      <c r="D416" s="373">
        <v>7</v>
      </c>
      <c r="E416" s="473">
        <v>250</v>
      </c>
      <c r="F416" s="476">
        <f>SUM(D416*E416)</f>
        <v>1750</v>
      </c>
    </row>
    <row r="417" spans="1:6">
      <c r="A417" s="491"/>
      <c r="B417" s="437"/>
      <c r="C417" s="372"/>
      <c r="F417" s="387"/>
    </row>
    <row r="418" spans="1:6">
      <c r="A418" s="397" t="s">
        <v>1401</v>
      </c>
      <c r="B418" s="398" t="s">
        <v>38</v>
      </c>
      <c r="C418" s="399"/>
      <c r="D418" s="400" t="s">
        <v>1246</v>
      </c>
      <c r="E418" s="401"/>
      <c r="F418" s="402">
        <f>SUM(F363:F417)</f>
        <v>62581</v>
      </c>
    </row>
    <row r="419" spans="1:6">
      <c r="A419" s="491"/>
      <c r="B419" s="437"/>
      <c r="C419" s="372"/>
      <c r="D419" s="435"/>
      <c r="F419" s="387"/>
    </row>
    <row r="420" spans="1:6">
      <c r="A420" s="550" t="s">
        <v>1437</v>
      </c>
      <c r="B420" s="545" t="s">
        <v>1282</v>
      </c>
      <c r="C420" s="478"/>
      <c r="D420" s="448"/>
      <c r="E420" s="449"/>
      <c r="F420" s="409"/>
    </row>
    <row r="421" spans="1:6">
      <c r="A421" s="491"/>
      <c r="B421" s="437"/>
      <c r="C421" s="372"/>
      <c r="F421" s="387"/>
    </row>
    <row r="422" spans="1:6" ht="66">
      <c r="A422" s="491">
        <v>1</v>
      </c>
      <c r="B422" s="437" t="s">
        <v>842</v>
      </c>
      <c r="C422" s="372" t="s">
        <v>213</v>
      </c>
      <c r="D422" s="373">
        <v>1</v>
      </c>
      <c r="E422" s="403">
        <v>50</v>
      </c>
      <c r="F422" s="374">
        <f>SUM(D422*E422)</f>
        <v>50</v>
      </c>
    </row>
    <row r="423" spans="1:6">
      <c r="A423" s="491"/>
      <c r="B423" s="437"/>
      <c r="C423" s="372"/>
      <c r="D423" s="551"/>
      <c r="E423" s="552"/>
      <c r="F423" s="387"/>
    </row>
    <row r="424" spans="1:6">
      <c r="A424" s="397" t="s">
        <v>1437</v>
      </c>
      <c r="B424" s="398" t="s">
        <v>38</v>
      </c>
      <c r="C424" s="399"/>
      <c r="D424" s="400" t="s">
        <v>1246</v>
      </c>
      <c r="E424" s="401"/>
      <c r="F424" s="402">
        <f>SUM(F421:F423)</f>
        <v>50</v>
      </c>
    </row>
    <row r="425" spans="1:6">
      <c r="D425" s="435"/>
    </row>
    <row r="426" spans="1:6">
      <c r="A426" s="404" t="s">
        <v>1438</v>
      </c>
      <c r="B426" s="405" t="s">
        <v>1439</v>
      </c>
      <c r="C426" s="478"/>
      <c r="D426" s="448"/>
      <c r="E426" s="449"/>
      <c r="F426" s="409"/>
    </row>
    <row r="427" spans="1:6">
      <c r="A427" s="553"/>
      <c r="C427" s="372"/>
    </row>
    <row r="428" spans="1:6" s="430" customFormat="1" ht="43.2">
      <c r="A428" s="427">
        <v>1</v>
      </c>
      <c r="B428" s="554" t="s">
        <v>1440</v>
      </c>
      <c r="C428" s="555"/>
      <c r="D428" s="556"/>
      <c r="E428" s="557"/>
      <c r="F428" s="558"/>
    </row>
    <row r="429" spans="1:6" s="430" customFormat="1" ht="28.8">
      <c r="A429" s="427"/>
      <c r="B429" s="554" t="s">
        <v>1441</v>
      </c>
      <c r="C429" s="555"/>
      <c r="D429" s="556"/>
      <c r="E429" s="557"/>
      <c r="F429" s="558"/>
    </row>
    <row r="430" spans="1:6" s="430" customFormat="1" ht="28.8">
      <c r="A430" s="427"/>
      <c r="B430" s="554" t="s">
        <v>1442</v>
      </c>
      <c r="C430" s="555"/>
      <c r="D430" s="556"/>
      <c r="E430" s="557"/>
      <c r="F430" s="558"/>
    </row>
    <row r="431" spans="1:6" s="430" customFormat="1" ht="259.2">
      <c r="A431" s="427"/>
      <c r="B431" s="559" t="s">
        <v>1443</v>
      </c>
      <c r="C431" s="555"/>
      <c r="D431" s="556"/>
      <c r="E431" s="557"/>
      <c r="F431" s="558"/>
    </row>
    <row r="432" spans="1:6" s="430" customFormat="1" ht="28.8">
      <c r="A432" s="427"/>
      <c r="B432" s="554" t="s">
        <v>1444</v>
      </c>
      <c r="C432" s="555"/>
      <c r="D432" s="556"/>
      <c r="E432" s="557"/>
      <c r="F432" s="558"/>
    </row>
    <row r="433" spans="1:6" s="430" customFormat="1" ht="42">
      <c r="A433" s="427"/>
      <c r="B433" s="560" t="s">
        <v>1445</v>
      </c>
      <c r="C433" s="561" t="s">
        <v>213</v>
      </c>
      <c r="D433" s="435">
        <v>1</v>
      </c>
      <c r="E433" s="562">
        <v>1000</v>
      </c>
      <c r="F433" s="474">
        <f>E433*D433</f>
        <v>1000</v>
      </c>
    </row>
    <row r="434" spans="1:6" s="430" customFormat="1">
      <c r="A434" s="427"/>
      <c r="B434" s="563"/>
      <c r="C434" s="561"/>
      <c r="D434" s="373"/>
      <c r="E434" s="403"/>
      <c r="F434" s="474"/>
    </row>
    <row r="435" spans="1:6" s="430" customFormat="1" ht="43.2">
      <c r="A435" s="427">
        <v>2</v>
      </c>
      <c r="B435" s="564" t="s">
        <v>1446</v>
      </c>
      <c r="C435" s="555"/>
      <c r="D435" s="556"/>
      <c r="E435" s="547"/>
    </row>
    <row r="436" spans="1:6" s="430" customFormat="1" ht="43.2">
      <c r="A436" s="427"/>
      <c r="B436" s="564" t="s">
        <v>1447</v>
      </c>
      <c r="C436" s="555"/>
      <c r="D436" s="556"/>
      <c r="E436" s="547"/>
      <c r="F436" s="558"/>
    </row>
    <row r="437" spans="1:6" s="430" customFormat="1" ht="158.4">
      <c r="A437" s="427"/>
      <c r="B437" s="565" t="s">
        <v>1448</v>
      </c>
      <c r="C437" s="555"/>
      <c r="D437" s="556"/>
      <c r="E437" s="547"/>
      <c r="F437" s="558"/>
    </row>
    <row r="438" spans="1:6" s="430" customFormat="1" ht="93.6">
      <c r="A438" s="427"/>
      <c r="B438" s="565" t="s">
        <v>1449</v>
      </c>
      <c r="C438" s="555"/>
      <c r="D438" s="556"/>
      <c r="E438" s="547"/>
      <c r="F438" s="558"/>
    </row>
    <row r="439" spans="1:6" s="430" customFormat="1">
      <c r="A439" s="427"/>
      <c r="B439" s="564" t="s">
        <v>1450</v>
      </c>
      <c r="C439" s="555"/>
      <c r="D439" s="556"/>
      <c r="E439" s="547"/>
      <c r="F439" s="558"/>
    </row>
    <row r="440" spans="1:6" s="430" customFormat="1" ht="28.8">
      <c r="A440" s="427"/>
      <c r="B440" s="564" t="s">
        <v>1451</v>
      </c>
      <c r="C440" s="555"/>
      <c r="D440" s="556"/>
      <c r="E440" s="547"/>
      <c r="F440" s="558"/>
    </row>
    <row r="441" spans="1:6" s="430" customFormat="1">
      <c r="A441" s="427"/>
      <c r="B441" s="564" t="s">
        <v>825</v>
      </c>
      <c r="C441" s="555"/>
      <c r="D441" s="556"/>
      <c r="E441" s="547"/>
      <c r="F441" s="558"/>
    </row>
    <row r="442" spans="1:6" s="430" customFormat="1" ht="86.4">
      <c r="A442" s="427"/>
      <c r="B442" s="565" t="s">
        <v>1452</v>
      </c>
      <c r="C442" s="561" t="s">
        <v>213</v>
      </c>
      <c r="D442" s="435">
        <v>1</v>
      </c>
      <c r="E442" s="562">
        <v>800</v>
      </c>
      <c r="F442" s="474">
        <f>E442*D442</f>
        <v>800</v>
      </c>
    </row>
    <row r="443" spans="1:6" s="430" customFormat="1">
      <c r="A443" s="427"/>
      <c r="B443" s="565"/>
      <c r="C443" s="561"/>
      <c r="D443" s="373"/>
      <c r="E443" s="403"/>
      <c r="F443" s="474"/>
    </row>
    <row r="444" spans="1:6" s="568" customFormat="1" ht="28.8">
      <c r="A444" s="553">
        <v>3</v>
      </c>
      <c r="B444" s="560" t="s">
        <v>1453</v>
      </c>
      <c r="C444" s="414"/>
      <c r="D444" s="566"/>
      <c r="E444" s="567"/>
      <c r="F444" s="415"/>
    </row>
    <row r="445" spans="1:6" s="568" customFormat="1" ht="26.4">
      <c r="A445" s="553"/>
      <c r="B445" s="560" t="s">
        <v>1454</v>
      </c>
      <c r="C445" s="414"/>
      <c r="D445" s="566"/>
      <c r="E445" s="567"/>
      <c r="F445" s="415"/>
    </row>
    <row r="446" spans="1:6" s="568" customFormat="1" ht="26.4">
      <c r="A446" s="553"/>
      <c r="B446" s="560" t="s">
        <v>1455</v>
      </c>
      <c r="C446" s="414"/>
      <c r="D446" s="566"/>
      <c r="E446" s="567"/>
      <c r="F446" s="415"/>
    </row>
    <row r="447" spans="1:6" s="568" customFormat="1" ht="240">
      <c r="A447" s="553"/>
      <c r="B447" s="560" t="s">
        <v>1456</v>
      </c>
      <c r="C447" s="414"/>
      <c r="D447" s="566"/>
      <c r="E447" s="567"/>
      <c r="F447" s="569"/>
    </row>
    <row r="448" spans="1:6" s="568" customFormat="1">
      <c r="A448" s="553"/>
      <c r="B448" s="570" t="s">
        <v>1457</v>
      </c>
      <c r="C448" s="414"/>
      <c r="D448" s="566"/>
      <c r="E448" s="567"/>
      <c r="F448" s="415"/>
    </row>
    <row r="449" spans="1:6" s="568" customFormat="1" ht="26.4">
      <c r="A449" s="553"/>
      <c r="B449" s="560" t="s">
        <v>1458</v>
      </c>
      <c r="C449" s="414" t="s">
        <v>213</v>
      </c>
      <c r="D449" s="373">
        <v>8</v>
      </c>
      <c r="E449" s="403">
        <v>700</v>
      </c>
      <c r="F449" s="374">
        <f>SUM(D449*E449)</f>
        <v>5600</v>
      </c>
    </row>
    <row r="450" spans="1:6" s="568" customFormat="1">
      <c r="A450" s="553"/>
      <c r="B450" s="560"/>
      <c r="C450" s="414"/>
      <c r="D450" s="571"/>
      <c r="E450" s="572"/>
      <c r="F450" s="415"/>
    </row>
    <row r="451" spans="1:6" s="568" customFormat="1" ht="28.8">
      <c r="A451" s="553">
        <v>4</v>
      </c>
      <c r="B451" s="560" t="s">
        <v>1459</v>
      </c>
      <c r="C451" s="414"/>
      <c r="D451" s="566"/>
      <c r="E451" s="567"/>
      <c r="F451" s="415"/>
    </row>
    <row r="452" spans="1:6" s="568" customFormat="1" ht="217.5" customHeight="1">
      <c r="A452" s="553"/>
      <c r="B452" s="560" t="s">
        <v>1460</v>
      </c>
      <c r="C452" s="414"/>
      <c r="D452" s="566"/>
      <c r="E452" s="567"/>
      <c r="F452" s="415"/>
    </row>
    <row r="453" spans="1:6" s="568" customFormat="1" ht="159.75" customHeight="1">
      <c r="A453" s="553"/>
      <c r="B453" s="560" t="s">
        <v>1461</v>
      </c>
      <c r="C453" s="414"/>
      <c r="D453" s="566"/>
      <c r="E453" s="567"/>
      <c r="F453" s="415"/>
    </row>
    <row r="454" spans="1:6" s="568" customFormat="1" ht="57.6">
      <c r="A454" s="553"/>
      <c r="B454" s="565" t="s">
        <v>1462</v>
      </c>
      <c r="C454" s="414" t="s">
        <v>213</v>
      </c>
      <c r="D454" s="373">
        <v>11</v>
      </c>
      <c r="E454" s="403">
        <v>500</v>
      </c>
      <c r="F454" s="374">
        <f>SUM(D454*E454)</f>
        <v>5500</v>
      </c>
    </row>
    <row r="455" spans="1:6" s="568" customFormat="1">
      <c r="A455" s="553"/>
      <c r="B455" s="560"/>
      <c r="C455" s="414"/>
      <c r="D455" s="373"/>
      <c r="E455" s="403"/>
      <c r="F455" s="374"/>
    </row>
    <row r="456" spans="1:6" s="568" customFormat="1" ht="28.8">
      <c r="A456" s="553">
        <v>5</v>
      </c>
      <c r="B456" s="560" t="s">
        <v>1463</v>
      </c>
      <c r="C456" s="414"/>
      <c r="D456" s="566"/>
      <c r="E456" s="567"/>
      <c r="F456" s="415"/>
    </row>
    <row r="457" spans="1:6" s="568" customFormat="1">
      <c r="A457" s="553"/>
      <c r="B457" s="573" t="s">
        <v>1464</v>
      </c>
      <c r="C457" s="414"/>
      <c r="D457" s="566"/>
      <c r="E457" s="567"/>
      <c r="F457" s="415"/>
    </row>
    <row r="458" spans="1:6" s="568" customFormat="1">
      <c r="A458" s="553"/>
      <c r="B458" s="573" t="s">
        <v>1465</v>
      </c>
      <c r="C458" s="414"/>
      <c r="D458" s="566"/>
      <c r="E458" s="567"/>
      <c r="F458" s="415"/>
    </row>
    <row r="459" spans="1:6" s="568" customFormat="1" ht="323.25" customHeight="1">
      <c r="A459" s="553"/>
      <c r="B459" s="573" t="s">
        <v>1466</v>
      </c>
      <c r="C459" s="414"/>
      <c r="D459" s="566"/>
      <c r="E459" s="567"/>
      <c r="F459" s="569"/>
    </row>
    <row r="460" spans="1:6" s="568" customFormat="1" ht="26.4">
      <c r="A460" s="553"/>
      <c r="B460" s="560" t="s">
        <v>1458</v>
      </c>
      <c r="C460" s="414" t="s">
        <v>213</v>
      </c>
      <c r="D460" s="373">
        <v>13</v>
      </c>
      <c r="E460" s="403">
        <v>1000</v>
      </c>
      <c r="F460" s="374">
        <f>SUM(D460*E460)</f>
        <v>13000</v>
      </c>
    </row>
    <row r="461" spans="1:6" s="568" customFormat="1">
      <c r="A461" s="553"/>
      <c r="B461" s="560"/>
      <c r="C461" s="414"/>
      <c r="D461" s="373"/>
      <c r="E461" s="403"/>
      <c r="F461" s="374"/>
    </row>
    <row r="462" spans="1:6" s="568" customFormat="1" ht="28.8">
      <c r="A462" s="553">
        <v>6</v>
      </c>
      <c r="B462" s="560" t="s">
        <v>1467</v>
      </c>
      <c r="C462" s="414"/>
      <c r="D462" s="566"/>
      <c r="E462" s="567"/>
      <c r="F462" s="415"/>
    </row>
    <row r="463" spans="1:6" s="568" customFormat="1" ht="357.75" customHeight="1">
      <c r="A463" s="553"/>
      <c r="B463" s="574" t="s">
        <v>1468</v>
      </c>
      <c r="C463" s="414"/>
      <c r="D463" s="566"/>
      <c r="E463" s="567"/>
      <c r="F463" s="415"/>
    </row>
    <row r="464" spans="1:6" s="568" customFormat="1" ht="121.5" customHeight="1">
      <c r="A464" s="553"/>
      <c r="B464" s="560" t="s">
        <v>1469</v>
      </c>
      <c r="C464" s="414"/>
      <c r="D464" s="566"/>
      <c r="E464" s="567"/>
      <c r="F464" s="415"/>
    </row>
    <row r="465" spans="1:6" s="568" customFormat="1" ht="57.6">
      <c r="A465" s="553"/>
      <c r="B465" s="565" t="s">
        <v>1462</v>
      </c>
      <c r="C465" s="414" t="s">
        <v>213</v>
      </c>
      <c r="D465" s="373">
        <v>15</v>
      </c>
      <c r="E465" s="403">
        <v>800</v>
      </c>
      <c r="F465" s="374">
        <f>SUM(D465*E465)</f>
        <v>12000</v>
      </c>
    </row>
    <row r="466" spans="1:6" s="568" customFormat="1">
      <c r="A466" s="553"/>
      <c r="B466" s="560"/>
      <c r="C466" s="414"/>
      <c r="D466" s="373"/>
      <c r="E466" s="403"/>
      <c r="F466" s="374"/>
    </row>
    <row r="467" spans="1:6" s="568" customFormat="1" ht="28.8">
      <c r="A467" s="553">
        <v>7</v>
      </c>
      <c r="B467" s="554" t="s">
        <v>1470</v>
      </c>
      <c r="C467" s="414"/>
      <c r="D467" s="566"/>
      <c r="E467" s="575"/>
      <c r="F467" s="544"/>
    </row>
    <row r="468" spans="1:6" s="568" customFormat="1" ht="57.6">
      <c r="A468" s="553"/>
      <c r="B468" s="570" t="s">
        <v>1471</v>
      </c>
      <c r="C468" s="414"/>
      <c r="D468" s="566"/>
      <c r="E468" s="575"/>
      <c r="F468" s="544"/>
    </row>
    <row r="469" spans="1:6" s="568" customFormat="1" ht="216" customHeight="1">
      <c r="A469" s="553"/>
      <c r="B469" s="576" t="s">
        <v>1472</v>
      </c>
      <c r="C469" s="414"/>
      <c r="D469" s="566"/>
      <c r="E469" s="575"/>
      <c r="F469" s="544"/>
    </row>
    <row r="470" spans="1:6" s="568" customFormat="1">
      <c r="A470" s="553"/>
      <c r="B470" s="577" t="s">
        <v>1473</v>
      </c>
      <c r="C470" s="414" t="s">
        <v>213</v>
      </c>
      <c r="D470" s="373">
        <v>3</v>
      </c>
      <c r="E470" s="473">
        <v>1500</v>
      </c>
      <c r="F470" s="578">
        <f>SUM(D470*E470)</f>
        <v>4500</v>
      </c>
    </row>
    <row r="471" spans="1:6" s="568" customFormat="1">
      <c r="A471" s="553"/>
      <c r="B471" s="560"/>
      <c r="C471" s="414"/>
      <c r="D471" s="373"/>
      <c r="E471" s="403"/>
      <c r="F471" s="374"/>
    </row>
    <row r="472" spans="1:6" s="568" customFormat="1" ht="27.6">
      <c r="A472" s="553">
        <v>8</v>
      </c>
      <c r="B472" s="576" t="s">
        <v>1474</v>
      </c>
      <c r="C472" s="414"/>
      <c r="D472" s="579"/>
      <c r="E472" s="580"/>
      <c r="F472" s="581"/>
    </row>
    <row r="473" spans="1:6" s="568" customFormat="1" ht="57.6">
      <c r="A473" s="553"/>
      <c r="B473" s="576" t="s">
        <v>1475</v>
      </c>
      <c r="C473" s="414"/>
      <c r="D473" s="373"/>
      <c r="E473" s="582"/>
      <c r="F473" s="581"/>
    </row>
    <row r="474" spans="1:6" s="568" customFormat="1" ht="18" customHeight="1">
      <c r="A474" s="553"/>
      <c r="B474" s="576" t="s">
        <v>1476</v>
      </c>
      <c r="C474" s="414"/>
      <c r="D474" s="373"/>
      <c r="E474" s="582"/>
      <c r="F474" s="581"/>
    </row>
    <row r="475" spans="1:6" s="568" customFormat="1">
      <c r="A475" s="553"/>
      <c r="B475" s="576" t="s">
        <v>1477</v>
      </c>
      <c r="C475" s="414"/>
      <c r="D475" s="373"/>
      <c r="E475" s="582"/>
      <c r="F475" s="581"/>
    </row>
    <row r="476" spans="1:6" s="568" customFormat="1" ht="43.2">
      <c r="A476" s="553"/>
      <c r="B476" s="576" t="s">
        <v>1478</v>
      </c>
      <c r="C476" s="414"/>
      <c r="D476" s="373"/>
      <c r="E476" s="582"/>
      <c r="F476" s="581"/>
    </row>
    <row r="477" spans="1:6" s="568" customFormat="1">
      <c r="A477" s="553"/>
      <c r="B477" s="576" t="s">
        <v>839</v>
      </c>
      <c r="C477" s="414" t="s">
        <v>31</v>
      </c>
      <c r="D477" s="373">
        <v>2</v>
      </c>
      <c r="E477" s="582">
        <v>1000</v>
      </c>
      <c r="F477" s="581">
        <f>SUM(D477*E477)</f>
        <v>2000</v>
      </c>
    </row>
    <row r="478" spans="1:6" s="568" customFormat="1">
      <c r="A478" s="553"/>
      <c r="B478" s="576"/>
      <c r="C478" s="414"/>
      <c r="D478" s="373"/>
      <c r="E478" s="582"/>
      <c r="F478" s="581"/>
    </row>
    <row r="479" spans="1:6" s="568" customFormat="1" ht="175.2">
      <c r="A479" s="553">
        <v>9</v>
      </c>
      <c r="B479" s="560" t="s">
        <v>1479</v>
      </c>
      <c r="C479" s="515"/>
      <c r="D479" s="579"/>
      <c r="E479" s="572"/>
      <c r="F479" s="403"/>
    </row>
    <row r="480" spans="1:6" s="568" customFormat="1">
      <c r="A480" s="553"/>
      <c r="B480" s="560" t="s">
        <v>1480</v>
      </c>
      <c r="C480" s="515" t="s">
        <v>213</v>
      </c>
      <c r="D480" s="373">
        <v>9</v>
      </c>
      <c r="E480" s="582">
        <v>1000</v>
      </c>
      <c r="F480" s="581">
        <f>SUM(D480*E480)</f>
        <v>9000</v>
      </c>
    </row>
    <row r="481" spans="1:6" s="568" customFormat="1">
      <c r="A481" s="553"/>
      <c r="B481" s="560"/>
      <c r="C481" s="515"/>
      <c r="D481" s="373"/>
      <c r="E481" s="473"/>
      <c r="F481" s="473"/>
    </row>
    <row r="482" spans="1:6" s="568" customFormat="1">
      <c r="A482" s="553">
        <v>10</v>
      </c>
      <c r="B482" s="560" t="s">
        <v>843</v>
      </c>
      <c r="C482" s="414"/>
      <c r="D482" s="579"/>
      <c r="E482" s="572"/>
      <c r="F482" s="415"/>
    </row>
    <row r="483" spans="1:6" s="568" customFormat="1">
      <c r="A483" s="553"/>
      <c r="B483" s="560"/>
      <c r="C483" s="414"/>
      <c r="D483" s="579"/>
      <c r="E483" s="572"/>
      <c r="F483" s="415"/>
    </row>
    <row r="484" spans="1:6" s="568" customFormat="1">
      <c r="A484" s="553"/>
      <c r="B484" s="577" t="s">
        <v>1481</v>
      </c>
      <c r="C484" s="414"/>
      <c r="D484" s="373"/>
      <c r="E484" s="403"/>
      <c r="F484" s="374"/>
    </row>
    <row r="485" spans="1:6" s="568" customFormat="1" ht="26.4">
      <c r="A485" s="553"/>
      <c r="B485" s="574" t="s">
        <v>1482</v>
      </c>
      <c r="C485" s="414" t="s">
        <v>31</v>
      </c>
      <c r="D485" s="373">
        <v>21</v>
      </c>
      <c r="E485" s="403">
        <v>40</v>
      </c>
      <c r="F485" s="374">
        <f>SUM(D485*E485)</f>
        <v>840</v>
      </c>
    </row>
    <row r="486" spans="1:6" s="568" customFormat="1">
      <c r="A486" s="553"/>
      <c r="B486" s="560"/>
      <c r="C486" s="414"/>
      <c r="D486" s="579"/>
      <c r="E486" s="572"/>
      <c r="F486" s="415"/>
    </row>
    <row r="487" spans="1:6" s="568" customFormat="1">
      <c r="A487" s="553"/>
      <c r="B487" s="577" t="s">
        <v>1483</v>
      </c>
      <c r="C487" s="414"/>
      <c r="D487" s="373"/>
      <c r="E487" s="403"/>
      <c r="F487" s="374"/>
    </row>
    <row r="488" spans="1:6" s="568" customFormat="1" ht="79.2">
      <c r="A488" s="553"/>
      <c r="B488" s="574" t="s">
        <v>1484</v>
      </c>
      <c r="C488" s="414" t="s">
        <v>31</v>
      </c>
      <c r="D488" s="373">
        <v>27</v>
      </c>
      <c r="E488" s="403">
        <v>100</v>
      </c>
      <c r="F488" s="374">
        <f>SUM(D488*E488)</f>
        <v>2700</v>
      </c>
    </row>
    <row r="489" spans="1:6" s="568" customFormat="1">
      <c r="A489" s="553"/>
      <c r="B489" s="560"/>
      <c r="C489" s="414"/>
      <c r="D489" s="579"/>
      <c r="E489" s="572"/>
      <c r="F489" s="415"/>
    </row>
    <row r="490" spans="1:6" s="568" customFormat="1">
      <c r="A490" s="553"/>
      <c r="B490" s="577" t="s">
        <v>844</v>
      </c>
      <c r="C490" s="414"/>
      <c r="D490" s="373"/>
      <c r="E490" s="403"/>
      <c r="F490" s="374"/>
    </row>
    <row r="491" spans="1:6" s="568" customFormat="1" ht="66">
      <c r="A491" s="553"/>
      <c r="B491" s="560" t="s">
        <v>1485</v>
      </c>
      <c r="C491" s="414" t="s">
        <v>31</v>
      </c>
      <c r="D491" s="373">
        <v>27</v>
      </c>
      <c r="E491" s="403">
        <v>50</v>
      </c>
      <c r="F491" s="374">
        <f>SUM(D491*E491)</f>
        <v>1350</v>
      </c>
    </row>
    <row r="492" spans="1:6" s="568" customFormat="1">
      <c r="A492" s="553"/>
      <c r="B492" s="560"/>
      <c r="C492" s="414"/>
      <c r="D492" s="579"/>
      <c r="E492" s="572"/>
      <c r="F492" s="415"/>
    </row>
    <row r="493" spans="1:6" s="568" customFormat="1">
      <c r="A493" s="553"/>
      <c r="B493" s="577" t="s">
        <v>1486</v>
      </c>
      <c r="C493" s="414"/>
      <c r="D493" s="373"/>
      <c r="E493" s="403"/>
      <c r="F493" s="374"/>
    </row>
    <row r="494" spans="1:6" s="568" customFormat="1" ht="39.6">
      <c r="A494" s="553"/>
      <c r="B494" s="560" t="s">
        <v>1487</v>
      </c>
      <c r="C494" s="414" t="s">
        <v>31</v>
      </c>
      <c r="D494" s="373">
        <v>27</v>
      </c>
      <c r="E494" s="403">
        <v>30</v>
      </c>
      <c r="F494" s="374">
        <f>SUM(D494*E494)</f>
        <v>810</v>
      </c>
    </row>
    <row r="495" spans="1:6" s="568" customFormat="1">
      <c r="A495" s="553"/>
      <c r="B495" s="560"/>
      <c r="C495" s="414"/>
      <c r="D495" s="579"/>
      <c r="E495" s="572"/>
      <c r="F495" s="415"/>
    </row>
    <row r="496" spans="1:6" s="568" customFormat="1">
      <c r="A496" s="553"/>
      <c r="B496" s="577" t="s">
        <v>1488</v>
      </c>
      <c r="C496" s="414"/>
      <c r="D496" s="373"/>
      <c r="E496" s="403"/>
      <c r="F496" s="374"/>
    </row>
    <row r="497" spans="1:6" s="568" customFormat="1" ht="26.4">
      <c r="A497" s="553"/>
      <c r="B497" s="560" t="s">
        <v>1489</v>
      </c>
      <c r="C497" s="414" t="s">
        <v>31</v>
      </c>
      <c r="D497" s="373">
        <v>22</v>
      </c>
      <c r="E497" s="403">
        <v>30</v>
      </c>
      <c r="F497" s="374">
        <f>SUM(D497*E497)</f>
        <v>660</v>
      </c>
    </row>
    <row r="498" spans="1:6" s="568" customFormat="1">
      <c r="A498" s="553"/>
      <c r="B498" s="560"/>
      <c r="C498" s="414"/>
      <c r="D498" s="579"/>
      <c r="E498" s="572"/>
      <c r="F498" s="415"/>
    </row>
    <row r="499" spans="1:6" s="568" customFormat="1">
      <c r="A499" s="553"/>
      <c r="B499" s="577" t="s">
        <v>1490</v>
      </c>
      <c r="C499" s="414"/>
      <c r="D499" s="373"/>
      <c r="E499" s="403"/>
      <c r="F499" s="374"/>
    </row>
    <row r="500" spans="1:6" ht="39.6">
      <c r="A500" s="553"/>
      <c r="B500" s="560" t="s">
        <v>1491</v>
      </c>
      <c r="C500" s="414" t="s">
        <v>31</v>
      </c>
      <c r="D500" s="373">
        <v>21</v>
      </c>
      <c r="E500" s="403">
        <v>15</v>
      </c>
      <c r="F500" s="374">
        <f>SUM(D500*E500)</f>
        <v>315</v>
      </c>
    </row>
    <row r="501" spans="1:6">
      <c r="A501" s="375"/>
    </row>
    <row r="502" spans="1:6">
      <c r="A502" s="583" t="s">
        <v>1438</v>
      </c>
      <c r="B502" s="398" t="s">
        <v>38</v>
      </c>
      <c r="C502" s="399"/>
      <c r="D502" s="400" t="s">
        <v>1246</v>
      </c>
      <c r="E502" s="401"/>
      <c r="F502" s="402">
        <f>SUM(F428:F501)</f>
        <v>60075</v>
      </c>
    </row>
    <row r="503" spans="1:6">
      <c r="A503" s="375"/>
      <c r="D503" s="435"/>
    </row>
    <row r="504" spans="1:6" s="588" customFormat="1">
      <c r="A504" s="584" t="s">
        <v>1492</v>
      </c>
      <c r="B504" s="585" t="s">
        <v>1493</v>
      </c>
      <c r="C504" s="478"/>
      <c r="D504" s="448"/>
      <c r="E504" s="586"/>
      <c r="F504" s="587"/>
    </row>
    <row r="505" spans="1:6">
      <c r="A505" s="347"/>
      <c r="B505" s="589"/>
      <c r="E505" s="473"/>
      <c r="F505" s="569"/>
    </row>
    <row r="506" spans="1:6" ht="86.4">
      <c r="A506" s="590">
        <v>1</v>
      </c>
      <c r="B506" s="591" t="s">
        <v>217</v>
      </c>
      <c r="C506" s="592"/>
      <c r="D506" s="593" t="s">
        <v>1246</v>
      </c>
      <c r="F506" s="379"/>
    </row>
    <row r="507" spans="1:6">
      <c r="A507" s="590"/>
      <c r="B507" s="594"/>
      <c r="C507" s="595" t="s">
        <v>213</v>
      </c>
      <c r="D507" s="596">
        <v>1</v>
      </c>
      <c r="E507" s="403">
        <v>1000</v>
      </c>
      <c r="F507" s="374">
        <f>SUM(D507*E507)</f>
        <v>1000</v>
      </c>
    </row>
    <row r="508" spans="1:6">
      <c r="A508" s="590"/>
      <c r="B508" s="597"/>
      <c r="C508" s="595"/>
      <c r="D508" s="596" t="s">
        <v>1246</v>
      </c>
      <c r="E508" s="598"/>
      <c r="F508" s="387"/>
    </row>
    <row r="509" spans="1:6" ht="72">
      <c r="A509" s="590">
        <v>2</v>
      </c>
      <c r="B509" s="599" t="s">
        <v>1494</v>
      </c>
      <c r="C509" s="592"/>
      <c r="D509" s="593" t="s">
        <v>1246</v>
      </c>
      <c r="E509" s="598"/>
      <c r="F509" s="387"/>
    </row>
    <row r="510" spans="1:6">
      <c r="A510" s="590"/>
      <c r="B510" s="597"/>
      <c r="C510" s="595" t="s">
        <v>213</v>
      </c>
      <c r="D510" s="596">
        <v>1</v>
      </c>
      <c r="E510" s="403">
        <v>1000</v>
      </c>
      <c r="F510" s="374">
        <f>SUM(D510*E510)</f>
        <v>1000</v>
      </c>
    </row>
    <row r="511" spans="1:6">
      <c r="A511" s="590"/>
      <c r="B511" s="597"/>
      <c r="C511" s="595"/>
      <c r="D511" s="596" t="s">
        <v>1246</v>
      </c>
      <c r="E511" s="598"/>
      <c r="F511" s="387"/>
    </row>
    <row r="512" spans="1:6" ht="72">
      <c r="A512" s="590">
        <v>3</v>
      </c>
      <c r="B512" s="599" t="s">
        <v>1495</v>
      </c>
      <c r="C512" s="592"/>
      <c r="D512" s="593" t="s">
        <v>1246</v>
      </c>
      <c r="E512" s="598"/>
      <c r="F512" s="387"/>
    </row>
    <row r="513" spans="1:6">
      <c r="A513" s="590"/>
      <c r="B513" s="600"/>
      <c r="C513" s="595" t="s">
        <v>213</v>
      </c>
      <c r="D513" s="596">
        <v>1</v>
      </c>
      <c r="E513" s="403">
        <v>1000</v>
      </c>
      <c r="F513" s="374">
        <f>SUM(D513*E513)</f>
        <v>1000</v>
      </c>
    </row>
    <row r="514" spans="1:6" ht="86.4">
      <c r="A514" s="590">
        <v>4</v>
      </c>
      <c r="B514" s="591" t="s">
        <v>1496</v>
      </c>
      <c r="C514" s="592"/>
      <c r="D514" s="593" t="s">
        <v>1246</v>
      </c>
      <c r="F514" s="379"/>
    </row>
    <row r="515" spans="1:6">
      <c r="A515" s="590"/>
      <c r="B515" s="594"/>
      <c r="C515" s="595" t="s">
        <v>213</v>
      </c>
      <c r="D515" s="596">
        <v>1</v>
      </c>
      <c r="E515" s="403">
        <v>1000</v>
      </c>
      <c r="F515" s="374">
        <f>SUM(D515*E515)</f>
        <v>1000</v>
      </c>
    </row>
    <row r="516" spans="1:6">
      <c r="A516" s="590"/>
      <c r="B516" s="442"/>
      <c r="C516" s="601"/>
      <c r="D516" s="602"/>
      <c r="E516" s="603"/>
      <c r="F516" s="387"/>
    </row>
    <row r="517" spans="1:6">
      <c r="A517" s="604" t="s">
        <v>1492</v>
      </c>
      <c r="B517" s="605" t="s">
        <v>38</v>
      </c>
      <c r="C517" s="606"/>
      <c r="D517" s="607" t="s">
        <v>1246</v>
      </c>
      <c r="E517" s="608"/>
      <c r="F517" s="402">
        <f>SUM(F506:F516)</f>
        <v>4000</v>
      </c>
    </row>
    <row r="518" spans="1:6">
      <c r="A518" s="609"/>
      <c r="B518" s="610"/>
      <c r="C518" s="595"/>
      <c r="D518" s="596"/>
      <c r="E518" s="611"/>
    </row>
    <row r="519" spans="1:6">
      <c r="A519" s="347"/>
      <c r="B519" s="612" t="s">
        <v>143</v>
      </c>
      <c r="E519" s="473"/>
      <c r="F519" s="569"/>
    </row>
    <row r="520" spans="1:6">
      <c r="A520" s="347"/>
      <c r="B520" s="612"/>
      <c r="E520" s="473"/>
      <c r="F520" s="569"/>
    </row>
    <row r="521" spans="1:6">
      <c r="A521" s="613" t="s">
        <v>1239</v>
      </c>
      <c r="B521" s="614" t="str">
        <f>B2</f>
        <v>PRIKLJUČCI-VODOVOD I KANALIZACIJA</v>
      </c>
      <c r="C521" s="615"/>
      <c r="D521" s="616"/>
      <c r="E521" s="617"/>
      <c r="F521" s="618"/>
    </row>
    <row r="522" spans="1:6">
      <c r="A522" s="613" t="s">
        <v>1241</v>
      </c>
      <c r="B522" s="619" t="str">
        <f>B4</f>
        <v>ZEMLJANI RADOVI - VODOVOD</v>
      </c>
      <c r="C522" s="615"/>
      <c r="D522" s="616"/>
      <c r="E522" s="617"/>
      <c r="F522" s="620">
        <f>F32</f>
        <v>7683</v>
      </c>
    </row>
    <row r="523" spans="1:6">
      <c r="A523" s="613" t="s">
        <v>1256</v>
      </c>
      <c r="B523" s="619" t="str">
        <f>B34</f>
        <v xml:space="preserve"> VODOVODNI RADOVI </v>
      </c>
      <c r="C523" s="615"/>
      <c r="D523" s="616"/>
      <c r="E523" s="617"/>
      <c r="F523" s="620">
        <f>F67</f>
        <v>14700</v>
      </c>
    </row>
    <row r="524" spans="1:6">
      <c r="A524" s="613" t="s">
        <v>1281</v>
      </c>
      <c r="B524" s="619" t="str">
        <f>B69</f>
        <v>OSTALI TROŠKOVI</v>
      </c>
      <c r="C524" s="615"/>
      <c r="D524" s="616"/>
      <c r="E524" s="617"/>
      <c r="F524" s="620">
        <f>F73</f>
        <v>1000</v>
      </c>
    </row>
    <row r="525" spans="1:6">
      <c r="A525" s="613" t="s">
        <v>1283</v>
      </c>
      <c r="B525" s="614" t="str">
        <f>B75</f>
        <v>VANJSKI VODOVOD I KANALIZACIJA</v>
      </c>
      <c r="C525" s="615"/>
      <c r="D525" s="616"/>
      <c r="E525" s="617"/>
      <c r="F525" s="620"/>
    </row>
    <row r="526" spans="1:6">
      <c r="A526" s="613" t="s">
        <v>1285</v>
      </c>
      <c r="B526" s="619" t="str">
        <f>B77</f>
        <v>ZEMLJANI RADOVI - VODOVOD</v>
      </c>
      <c r="C526" s="615"/>
      <c r="D526" s="616"/>
      <c r="E526" s="617"/>
      <c r="F526" s="620">
        <f>F100</f>
        <v>22924</v>
      </c>
    </row>
    <row r="527" spans="1:6">
      <c r="A527" s="613" t="s">
        <v>1288</v>
      </c>
      <c r="B527" s="619" t="str">
        <f>B102</f>
        <v>ZEMLJANI RADOVI - KANALIZACIJA</v>
      </c>
      <c r="C527" s="615"/>
      <c r="D527" s="616"/>
      <c r="E527" s="617"/>
      <c r="F527" s="620">
        <f>F125</f>
        <v>29650</v>
      </c>
    </row>
    <row r="528" spans="1:6">
      <c r="A528" s="613" t="s">
        <v>1294</v>
      </c>
      <c r="B528" s="619" t="str">
        <f>B127</f>
        <v>BETONSKI RADOVI - VODOVOD</v>
      </c>
      <c r="C528" s="615"/>
      <c r="D528" s="616"/>
      <c r="E528" s="617"/>
      <c r="F528" s="620">
        <f>F142</f>
        <v>4900</v>
      </c>
    </row>
    <row r="529" spans="1:6">
      <c r="A529" s="613" t="s">
        <v>1301</v>
      </c>
      <c r="B529" s="619" t="str">
        <f>B144</f>
        <v>BETONSKI RADOVI - KANALIZACIJA</v>
      </c>
      <c r="C529" s="615"/>
      <c r="D529" s="616"/>
      <c r="E529" s="617"/>
      <c r="F529" s="620">
        <f>F154</f>
        <v>25400</v>
      </c>
    </row>
    <row r="530" spans="1:6">
      <c r="A530" s="613" t="s">
        <v>1309</v>
      </c>
      <c r="B530" s="619" t="str">
        <f>B156</f>
        <v xml:space="preserve"> VODOVODNI RADOVI </v>
      </c>
      <c r="C530" s="615"/>
      <c r="D530" s="616"/>
      <c r="E530" s="617"/>
      <c r="F530" s="620">
        <f>F222</f>
        <v>27400</v>
      </c>
    </row>
    <row r="531" spans="1:6">
      <c r="A531" s="613" t="s">
        <v>1337</v>
      </c>
      <c r="B531" s="619" t="str">
        <f>B224</f>
        <v>KANALIZACIJSKI RADOVI - MONTAŽNI</v>
      </c>
      <c r="C531" s="615"/>
      <c r="D531" s="616"/>
      <c r="E531" s="617"/>
      <c r="F531" s="620">
        <f>F258</f>
        <v>63700</v>
      </c>
    </row>
    <row r="532" spans="1:6">
      <c r="A532" s="613" t="s">
        <v>1357</v>
      </c>
      <c r="B532" s="619" t="str">
        <f>B260</f>
        <v>OSTALI TROŠKOVI</v>
      </c>
      <c r="C532" s="615"/>
      <c r="D532" s="616"/>
      <c r="E532" s="617"/>
      <c r="F532" s="620">
        <f>F264</f>
        <v>250</v>
      </c>
    </row>
    <row r="533" spans="1:6">
      <c r="A533" s="613" t="s">
        <v>1358</v>
      </c>
      <c r="B533" s="614" t="str">
        <f>B266</f>
        <v xml:space="preserve">UNUTARNJA KANALIZACIJA </v>
      </c>
      <c r="C533" s="615"/>
      <c r="D533" s="616"/>
      <c r="E533" s="617"/>
      <c r="F533" s="620"/>
    </row>
    <row r="534" spans="1:6">
      <c r="A534" s="613" t="s">
        <v>1360</v>
      </c>
      <c r="B534" s="621" t="str">
        <f>B268</f>
        <v>BETONSKI RADOVI -  KANALIZACIJA</v>
      </c>
      <c r="C534" s="615"/>
      <c r="D534" s="616"/>
      <c r="E534" s="617"/>
      <c r="F534" s="620">
        <f>F274</f>
        <v>400</v>
      </c>
    </row>
    <row r="535" spans="1:6">
      <c r="A535" s="613" t="s">
        <v>1366</v>
      </c>
      <c r="B535" s="621" t="str">
        <f>B276</f>
        <v xml:space="preserve"> KANALIZACIJSKI RADOVI</v>
      </c>
      <c r="C535" s="615"/>
      <c r="D535" s="616"/>
      <c r="E535" s="617"/>
      <c r="F535" s="620">
        <f>F345</f>
        <v>55832</v>
      </c>
    </row>
    <row r="536" spans="1:6">
      <c r="A536" s="613" t="s">
        <v>1394</v>
      </c>
      <c r="B536" s="621" t="str">
        <f>B347</f>
        <v>OSTALI TROŠKOVI</v>
      </c>
      <c r="C536" s="615"/>
      <c r="D536" s="616"/>
      <c r="E536" s="617"/>
      <c r="F536" s="620">
        <f>F351</f>
        <v>250</v>
      </c>
    </row>
    <row r="537" spans="1:6">
      <c r="A537" s="613" t="s">
        <v>1395</v>
      </c>
      <c r="B537" s="614" t="str">
        <f>B353</f>
        <v>UNUTARNJI VODOVOD</v>
      </c>
      <c r="C537" s="615"/>
      <c r="D537" s="616"/>
      <c r="E537" s="617"/>
      <c r="F537" s="620"/>
    </row>
    <row r="538" spans="1:6">
      <c r="A538" s="613" t="s">
        <v>1397</v>
      </c>
      <c r="B538" s="621" t="str">
        <f>B355</f>
        <v>BETONSKI RADOVI -  VODOVOD</v>
      </c>
      <c r="C538" s="615"/>
      <c r="D538" s="616"/>
      <c r="E538" s="617"/>
      <c r="F538" s="620">
        <f>F360</f>
        <v>1300</v>
      </c>
    </row>
    <row r="539" spans="1:6">
      <c r="A539" s="613" t="s">
        <v>1401</v>
      </c>
      <c r="B539" s="621" t="str">
        <f>B362</f>
        <v>VODOVODNI RADOVI</v>
      </c>
      <c r="C539" s="615"/>
      <c r="D539" s="616"/>
      <c r="E539" s="617"/>
      <c r="F539" s="620">
        <f>F418</f>
        <v>62581</v>
      </c>
    </row>
    <row r="540" spans="1:6">
      <c r="A540" s="613" t="s">
        <v>1437</v>
      </c>
      <c r="B540" s="621" t="str">
        <f>B420</f>
        <v>OSTALI TROŠKOVI</v>
      </c>
      <c r="C540" s="615"/>
      <c r="D540" s="616"/>
      <c r="E540" s="617"/>
      <c r="F540" s="620">
        <f>F424</f>
        <v>50</v>
      </c>
    </row>
    <row r="541" spans="1:6" ht="14.25" customHeight="1">
      <c r="A541" s="613" t="s">
        <v>1438</v>
      </c>
      <c r="B541" s="614" t="str">
        <f>B426</f>
        <v>SANITARIJE</v>
      </c>
      <c r="C541" s="615"/>
      <c r="D541" s="616"/>
      <c r="E541" s="617"/>
      <c r="F541" s="620">
        <f>F502</f>
        <v>60075</v>
      </c>
    </row>
    <row r="542" spans="1:6" ht="14.25" customHeight="1">
      <c r="A542" s="613" t="s">
        <v>1492</v>
      </c>
      <c r="B542" s="621" t="str">
        <f>B504</f>
        <v>OSTALI RADOVI</v>
      </c>
      <c r="C542" s="615"/>
      <c r="D542" s="622"/>
      <c r="E542" s="617"/>
      <c r="F542" s="620">
        <f>F517</f>
        <v>4000</v>
      </c>
    </row>
    <row r="543" spans="1:6" ht="14.25" customHeight="1">
      <c r="A543" s="623"/>
      <c r="B543" s="624"/>
      <c r="C543" s="625"/>
      <c r="D543" s="626"/>
      <c r="E543" s="627"/>
      <c r="F543" s="628"/>
    </row>
    <row r="544" spans="1:6">
      <c r="A544" s="613"/>
      <c r="B544" s="629" t="s">
        <v>38</v>
      </c>
      <c r="C544" s="615"/>
      <c r="D544" s="616"/>
      <c r="E544" s="617"/>
      <c r="F544" s="620">
        <f>SUM(F522:F542)</f>
        <v>382095</v>
      </c>
    </row>
  </sheetData>
  <sheetProtection selectLockedCells="1"/>
  <pageMargins left="0.74803149606299213" right="0.74803149606299213" top="0.98425196850393704" bottom="0.74803149606299213" header="0" footer="0"/>
  <pageSetup paperSize="9" orientation="landscape" r:id="rId1"/>
  <headerFooter>
    <oddHeader>&amp;CStranica &amp;P</oddHeader>
  </headerFooter>
  <rowBreaks count="35" manualBreakCount="35">
    <brk id="9" max="5" man="1"/>
    <brk id="33" max="5" man="1"/>
    <brk id="40" max="5" man="1"/>
    <brk id="43" max="5" man="1"/>
    <brk id="74" max="5" man="1"/>
    <brk id="95" max="5" man="1"/>
    <brk id="126" max="5" man="1"/>
    <brk id="143" max="5" man="1"/>
    <brk id="155" max="5" man="1"/>
    <brk id="187" max="5" man="1"/>
    <brk id="193" max="5" man="1"/>
    <brk id="212" max="5" man="1"/>
    <brk id="223" max="5" man="1"/>
    <brk id="241" max="5" man="1"/>
    <brk id="255" max="5" man="1"/>
    <brk id="265" max="5" man="1"/>
    <brk id="275" max="5" man="1"/>
    <brk id="286" max="5" man="1"/>
    <brk id="296" max="5" man="1"/>
    <brk id="352" max="5" man="1"/>
    <brk id="361" max="5" man="1"/>
    <brk id="369" max="5" man="1"/>
    <brk id="381" max="5" man="1"/>
    <brk id="419" max="5" man="1"/>
    <brk id="425" max="5" man="1"/>
    <brk id="434" max="5" man="1"/>
    <brk id="438" max="5" man="1"/>
    <brk id="443" max="5" man="1"/>
    <brk id="452" max="5" man="1"/>
    <brk id="455" max="5" man="1"/>
    <brk id="466" max="5" man="1"/>
    <brk id="471" max="5" man="1"/>
    <brk id="481" max="5" man="1"/>
    <brk id="495" max="5" man="1"/>
    <brk id="518" max="5"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D490-88E1-470D-AF32-AFF91C20E7AD}">
  <dimension ref="A3:F840"/>
  <sheetViews>
    <sheetView topLeftCell="A842" zoomScaleNormal="100" zoomScaleSheetLayoutView="100" zoomScalePageLayoutView="115" workbookViewId="0">
      <selection activeCell="F840" sqref="F840"/>
    </sheetView>
  </sheetViews>
  <sheetFormatPr defaultRowHeight="14.4"/>
  <cols>
    <col min="1" max="1" width="4.44140625" style="932" customWidth="1"/>
    <col min="2" max="2" width="43" style="850" customWidth="1"/>
    <col min="3" max="3" width="6.21875" style="854" customWidth="1"/>
    <col min="4" max="4" width="7" style="854" customWidth="1"/>
    <col min="5" max="5" width="11.88671875" style="952" customWidth="1"/>
    <col min="6" max="6" width="13.21875" style="952" customWidth="1"/>
    <col min="7" max="142" width="8.77734375" style="951"/>
    <col min="143" max="143" width="3.77734375" style="951" customWidth="1"/>
    <col min="144" max="144" width="45.77734375" style="951" customWidth="1"/>
    <col min="145" max="145" width="7.77734375" style="951" customWidth="1"/>
    <col min="146" max="146" width="5.77734375" style="951" customWidth="1"/>
    <col min="147" max="147" width="10.77734375" style="951" customWidth="1"/>
    <col min="148" max="148" width="3.77734375" style="951" customWidth="1"/>
    <col min="149" max="149" width="11.77734375" style="951" customWidth="1"/>
    <col min="150" max="398" width="8.77734375" style="951"/>
    <col min="399" max="399" width="3.77734375" style="951" customWidth="1"/>
    <col min="400" max="400" width="45.77734375" style="951" customWidth="1"/>
    <col min="401" max="401" width="7.77734375" style="951" customWidth="1"/>
    <col min="402" max="402" width="5.77734375" style="951" customWidth="1"/>
    <col min="403" max="403" width="10.77734375" style="951" customWidth="1"/>
    <col min="404" max="404" width="3.77734375" style="951" customWidth="1"/>
    <col min="405" max="405" width="11.77734375" style="951" customWidth="1"/>
    <col min="406" max="654" width="8.77734375" style="951"/>
    <col min="655" max="655" width="3.77734375" style="951" customWidth="1"/>
    <col min="656" max="656" width="45.77734375" style="951" customWidth="1"/>
    <col min="657" max="657" width="7.77734375" style="951" customWidth="1"/>
    <col min="658" max="658" width="5.77734375" style="951" customWidth="1"/>
    <col min="659" max="659" width="10.77734375" style="951" customWidth="1"/>
    <col min="660" max="660" width="3.77734375" style="951" customWidth="1"/>
    <col min="661" max="661" width="11.77734375" style="951" customWidth="1"/>
    <col min="662" max="910" width="8.77734375" style="951"/>
    <col min="911" max="911" width="3.77734375" style="951" customWidth="1"/>
    <col min="912" max="912" width="45.77734375" style="951" customWidth="1"/>
    <col min="913" max="913" width="7.77734375" style="951" customWidth="1"/>
    <col min="914" max="914" width="5.77734375" style="951" customWidth="1"/>
    <col min="915" max="915" width="10.77734375" style="951" customWidth="1"/>
    <col min="916" max="916" width="3.77734375" style="951" customWidth="1"/>
    <col min="917" max="917" width="11.77734375" style="951" customWidth="1"/>
    <col min="918" max="1166" width="8.77734375" style="951"/>
    <col min="1167" max="1167" width="3.77734375" style="951" customWidth="1"/>
    <col min="1168" max="1168" width="45.77734375" style="951" customWidth="1"/>
    <col min="1169" max="1169" width="7.77734375" style="951" customWidth="1"/>
    <col min="1170" max="1170" width="5.77734375" style="951" customWidth="1"/>
    <col min="1171" max="1171" width="10.77734375" style="951" customWidth="1"/>
    <col min="1172" max="1172" width="3.77734375" style="951" customWidth="1"/>
    <col min="1173" max="1173" width="11.77734375" style="951" customWidth="1"/>
    <col min="1174" max="1422" width="8.77734375" style="951"/>
    <col min="1423" max="1423" width="3.77734375" style="951" customWidth="1"/>
    <col min="1424" max="1424" width="45.77734375" style="951" customWidth="1"/>
    <col min="1425" max="1425" width="7.77734375" style="951" customWidth="1"/>
    <col min="1426" max="1426" width="5.77734375" style="951" customWidth="1"/>
    <col min="1427" max="1427" width="10.77734375" style="951" customWidth="1"/>
    <col min="1428" max="1428" width="3.77734375" style="951" customWidth="1"/>
    <col min="1429" max="1429" width="11.77734375" style="951" customWidth="1"/>
    <col min="1430" max="1678" width="8.77734375" style="951"/>
    <col min="1679" max="1679" width="3.77734375" style="951" customWidth="1"/>
    <col min="1680" max="1680" width="45.77734375" style="951" customWidth="1"/>
    <col min="1681" max="1681" width="7.77734375" style="951" customWidth="1"/>
    <col min="1682" max="1682" width="5.77734375" style="951" customWidth="1"/>
    <col min="1683" max="1683" width="10.77734375" style="951" customWidth="1"/>
    <col min="1684" max="1684" width="3.77734375" style="951" customWidth="1"/>
    <col min="1685" max="1685" width="11.77734375" style="951" customWidth="1"/>
    <col min="1686" max="1934" width="8.77734375" style="951"/>
    <col min="1935" max="1935" width="3.77734375" style="951" customWidth="1"/>
    <col min="1936" max="1936" width="45.77734375" style="951" customWidth="1"/>
    <col min="1937" max="1937" width="7.77734375" style="951" customWidth="1"/>
    <col min="1938" max="1938" width="5.77734375" style="951" customWidth="1"/>
    <col min="1939" max="1939" width="10.77734375" style="951" customWidth="1"/>
    <col min="1940" max="1940" width="3.77734375" style="951" customWidth="1"/>
    <col min="1941" max="1941" width="11.77734375" style="951" customWidth="1"/>
    <col min="1942" max="2190" width="8.77734375" style="951"/>
    <col min="2191" max="2191" width="3.77734375" style="951" customWidth="1"/>
    <col min="2192" max="2192" width="45.77734375" style="951" customWidth="1"/>
    <col min="2193" max="2193" width="7.77734375" style="951" customWidth="1"/>
    <col min="2194" max="2194" width="5.77734375" style="951" customWidth="1"/>
    <col min="2195" max="2195" width="10.77734375" style="951" customWidth="1"/>
    <col min="2196" max="2196" width="3.77734375" style="951" customWidth="1"/>
    <col min="2197" max="2197" width="11.77734375" style="951" customWidth="1"/>
    <col min="2198" max="2446" width="8.77734375" style="951"/>
    <col min="2447" max="2447" width="3.77734375" style="951" customWidth="1"/>
    <col min="2448" max="2448" width="45.77734375" style="951" customWidth="1"/>
    <col min="2449" max="2449" width="7.77734375" style="951" customWidth="1"/>
    <col min="2450" max="2450" width="5.77734375" style="951" customWidth="1"/>
    <col min="2451" max="2451" width="10.77734375" style="951" customWidth="1"/>
    <col min="2452" max="2452" width="3.77734375" style="951" customWidth="1"/>
    <col min="2453" max="2453" width="11.77734375" style="951" customWidth="1"/>
    <col min="2454" max="2702" width="8.77734375" style="951"/>
    <col min="2703" max="2703" width="3.77734375" style="951" customWidth="1"/>
    <col min="2704" max="2704" width="45.77734375" style="951" customWidth="1"/>
    <col min="2705" max="2705" width="7.77734375" style="951" customWidth="1"/>
    <col min="2706" max="2706" width="5.77734375" style="951" customWidth="1"/>
    <col min="2707" max="2707" width="10.77734375" style="951" customWidth="1"/>
    <col min="2708" max="2708" width="3.77734375" style="951" customWidth="1"/>
    <col min="2709" max="2709" width="11.77734375" style="951" customWidth="1"/>
    <col min="2710" max="2958" width="8.77734375" style="951"/>
    <col min="2959" max="2959" width="3.77734375" style="951" customWidth="1"/>
    <col min="2960" max="2960" width="45.77734375" style="951" customWidth="1"/>
    <col min="2961" max="2961" width="7.77734375" style="951" customWidth="1"/>
    <col min="2962" max="2962" width="5.77734375" style="951" customWidth="1"/>
    <col min="2963" max="2963" width="10.77734375" style="951" customWidth="1"/>
    <col min="2964" max="2964" width="3.77734375" style="951" customWidth="1"/>
    <col min="2965" max="2965" width="11.77734375" style="951" customWidth="1"/>
    <col min="2966" max="3214" width="8.77734375" style="951"/>
    <col min="3215" max="3215" width="3.77734375" style="951" customWidth="1"/>
    <col min="3216" max="3216" width="45.77734375" style="951" customWidth="1"/>
    <col min="3217" max="3217" width="7.77734375" style="951" customWidth="1"/>
    <col min="3218" max="3218" width="5.77734375" style="951" customWidth="1"/>
    <col min="3219" max="3219" width="10.77734375" style="951" customWidth="1"/>
    <col min="3220" max="3220" width="3.77734375" style="951" customWidth="1"/>
    <col min="3221" max="3221" width="11.77734375" style="951" customWidth="1"/>
    <col min="3222" max="3470" width="8.77734375" style="951"/>
    <col min="3471" max="3471" width="3.77734375" style="951" customWidth="1"/>
    <col min="3472" max="3472" width="45.77734375" style="951" customWidth="1"/>
    <col min="3473" max="3473" width="7.77734375" style="951" customWidth="1"/>
    <col min="3474" max="3474" width="5.77734375" style="951" customWidth="1"/>
    <col min="3475" max="3475" width="10.77734375" style="951" customWidth="1"/>
    <col min="3476" max="3476" width="3.77734375" style="951" customWidth="1"/>
    <col min="3477" max="3477" width="11.77734375" style="951" customWidth="1"/>
    <col min="3478" max="3726" width="8.77734375" style="951"/>
    <col min="3727" max="3727" width="3.77734375" style="951" customWidth="1"/>
    <col min="3728" max="3728" width="45.77734375" style="951" customWidth="1"/>
    <col min="3729" max="3729" width="7.77734375" style="951" customWidth="1"/>
    <col min="3730" max="3730" width="5.77734375" style="951" customWidth="1"/>
    <col min="3731" max="3731" width="10.77734375" style="951" customWidth="1"/>
    <col min="3732" max="3732" width="3.77734375" style="951" customWidth="1"/>
    <col min="3733" max="3733" width="11.77734375" style="951" customWidth="1"/>
    <col min="3734" max="3982" width="8.77734375" style="951"/>
    <col min="3983" max="3983" width="3.77734375" style="951" customWidth="1"/>
    <col min="3984" max="3984" width="45.77734375" style="951" customWidth="1"/>
    <col min="3985" max="3985" width="7.77734375" style="951" customWidth="1"/>
    <col min="3986" max="3986" width="5.77734375" style="951" customWidth="1"/>
    <col min="3987" max="3987" width="10.77734375" style="951" customWidth="1"/>
    <col min="3988" max="3988" width="3.77734375" style="951" customWidth="1"/>
    <col min="3989" max="3989" width="11.77734375" style="951" customWidth="1"/>
    <col min="3990" max="4238" width="8.77734375" style="951"/>
    <col min="4239" max="4239" width="3.77734375" style="951" customWidth="1"/>
    <col min="4240" max="4240" width="45.77734375" style="951" customWidth="1"/>
    <col min="4241" max="4241" width="7.77734375" style="951" customWidth="1"/>
    <col min="4242" max="4242" width="5.77734375" style="951" customWidth="1"/>
    <col min="4243" max="4243" width="10.77734375" style="951" customWidth="1"/>
    <col min="4244" max="4244" width="3.77734375" style="951" customWidth="1"/>
    <col min="4245" max="4245" width="11.77734375" style="951" customWidth="1"/>
    <col min="4246" max="4494" width="8.77734375" style="951"/>
    <col min="4495" max="4495" width="3.77734375" style="951" customWidth="1"/>
    <col min="4496" max="4496" width="45.77734375" style="951" customWidth="1"/>
    <col min="4497" max="4497" width="7.77734375" style="951" customWidth="1"/>
    <col min="4498" max="4498" width="5.77734375" style="951" customWidth="1"/>
    <col min="4499" max="4499" width="10.77734375" style="951" customWidth="1"/>
    <col min="4500" max="4500" width="3.77734375" style="951" customWidth="1"/>
    <col min="4501" max="4501" width="11.77734375" style="951" customWidth="1"/>
    <col min="4502" max="4750" width="8.77734375" style="951"/>
    <col min="4751" max="4751" width="3.77734375" style="951" customWidth="1"/>
    <col min="4752" max="4752" width="45.77734375" style="951" customWidth="1"/>
    <col min="4753" max="4753" width="7.77734375" style="951" customWidth="1"/>
    <col min="4754" max="4754" width="5.77734375" style="951" customWidth="1"/>
    <col min="4755" max="4755" width="10.77734375" style="951" customWidth="1"/>
    <col min="4756" max="4756" width="3.77734375" style="951" customWidth="1"/>
    <col min="4757" max="4757" width="11.77734375" style="951" customWidth="1"/>
    <col min="4758" max="5006" width="8.77734375" style="951"/>
    <col min="5007" max="5007" width="3.77734375" style="951" customWidth="1"/>
    <col min="5008" max="5008" width="45.77734375" style="951" customWidth="1"/>
    <col min="5009" max="5009" width="7.77734375" style="951" customWidth="1"/>
    <col min="5010" max="5010" width="5.77734375" style="951" customWidth="1"/>
    <col min="5011" max="5011" width="10.77734375" style="951" customWidth="1"/>
    <col min="5012" max="5012" width="3.77734375" style="951" customWidth="1"/>
    <col min="5013" max="5013" width="11.77734375" style="951" customWidth="1"/>
    <col min="5014" max="5262" width="8.77734375" style="951"/>
    <col min="5263" max="5263" width="3.77734375" style="951" customWidth="1"/>
    <col min="5264" max="5264" width="45.77734375" style="951" customWidth="1"/>
    <col min="5265" max="5265" width="7.77734375" style="951" customWidth="1"/>
    <col min="5266" max="5266" width="5.77734375" style="951" customWidth="1"/>
    <col min="5267" max="5267" width="10.77734375" style="951" customWidth="1"/>
    <col min="5268" max="5268" width="3.77734375" style="951" customWidth="1"/>
    <col min="5269" max="5269" width="11.77734375" style="951" customWidth="1"/>
    <col min="5270" max="5518" width="8.77734375" style="951"/>
    <col min="5519" max="5519" width="3.77734375" style="951" customWidth="1"/>
    <col min="5520" max="5520" width="45.77734375" style="951" customWidth="1"/>
    <col min="5521" max="5521" width="7.77734375" style="951" customWidth="1"/>
    <col min="5522" max="5522" width="5.77734375" style="951" customWidth="1"/>
    <col min="5523" max="5523" width="10.77734375" style="951" customWidth="1"/>
    <col min="5524" max="5524" width="3.77734375" style="951" customWidth="1"/>
    <col min="5525" max="5525" width="11.77734375" style="951" customWidth="1"/>
    <col min="5526" max="5774" width="8.77734375" style="951"/>
    <col min="5775" max="5775" width="3.77734375" style="951" customWidth="1"/>
    <col min="5776" max="5776" width="45.77734375" style="951" customWidth="1"/>
    <col min="5777" max="5777" width="7.77734375" style="951" customWidth="1"/>
    <col min="5778" max="5778" width="5.77734375" style="951" customWidth="1"/>
    <col min="5779" max="5779" width="10.77734375" style="951" customWidth="1"/>
    <col min="5780" max="5780" width="3.77734375" style="951" customWidth="1"/>
    <col min="5781" max="5781" width="11.77734375" style="951" customWidth="1"/>
    <col min="5782" max="6030" width="8.77734375" style="951"/>
    <col min="6031" max="6031" width="3.77734375" style="951" customWidth="1"/>
    <col min="6032" max="6032" width="45.77734375" style="951" customWidth="1"/>
    <col min="6033" max="6033" width="7.77734375" style="951" customWidth="1"/>
    <col min="6034" max="6034" width="5.77734375" style="951" customWidth="1"/>
    <col min="6035" max="6035" width="10.77734375" style="951" customWidth="1"/>
    <col min="6036" max="6036" width="3.77734375" style="951" customWidth="1"/>
    <col min="6037" max="6037" width="11.77734375" style="951" customWidth="1"/>
    <col min="6038" max="6286" width="8.77734375" style="951"/>
    <col min="6287" max="6287" width="3.77734375" style="951" customWidth="1"/>
    <col min="6288" max="6288" width="45.77734375" style="951" customWidth="1"/>
    <col min="6289" max="6289" width="7.77734375" style="951" customWidth="1"/>
    <col min="6290" max="6290" width="5.77734375" style="951" customWidth="1"/>
    <col min="6291" max="6291" width="10.77734375" style="951" customWidth="1"/>
    <col min="6292" max="6292" width="3.77734375" style="951" customWidth="1"/>
    <col min="6293" max="6293" width="11.77734375" style="951" customWidth="1"/>
    <col min="6294" max="6542" width="8.77734375" style="951"/>
    <col min="6543" max="6543" width="3.77734375" style="951" customWidth="1"/>
    <col min="6544" max="6544" width="45.77734375" style="951" customWidth="1"/>
    <col min="6545" max="6545" width="7.77734375" style="951" customWidth="1"/>
    <col min="6546" max="6546" width="5.77734375" style="951" customWidth="1"/>
    <col min="6547" max="6547" width="10.77734375" style="951" customWidth="1"/>
    <col min="6548" max="6548" width="3.77734375" style="951" customWidth="1"/>
    <col min="6549" max="6549" width="11.77734375" style="951" customWidth="1"/>
    <col min="6550" max="6798" width="8.77734375" style="951"/>
    <col min="6799" max="6799" width="3.77734375" style="951" customWidth="1"/>
    <col min="6800" max="6800" width="45.77734375" style="951" customWidth="1"/>
    <col min="6801" max="6801" width="7.77734375" style="951" customWidth="1"/>
    <col min="6802" max="6802" width="5.77734375" style="951" customWidth="1"/>
    <col min="6803" max="6803" width="10.77734375" style="951" customWidth="1"/>
    <col min="6804" max="6804" width="3.77734375" style="951" customWidth="1"/>
    <col min="6805" max="6805" width="11.77734375" style="951" customWidth="1"/>
    <col min="6806" max="7054" width="8.77734375" style="951"/>
    <col min="7055" max="7055" width="3.77734375" style="951" customWidth="1"/>
    <col min="7056" max="7056" width="45.77734375" style="951" customWidth="1"/>
    <col min="7057" max="7057" width="7.77734375" style="951" customWidth="1"/>
    <col min="7058" max="7058" width="5.77734375" style="951" customWidth="1"/>
    <col min="7059" max="7059" width="10.77734375" style="951" customWidth="1"/>
    <col min="7060" max="7060" width="3.77734375" style="951" customWidth="1"/>
    <col min="7061" max="7061" width="11.77734375" style="951" customWidth="1"/>
    <col min="7062" max="7310" width="8.77734375" style="951"/>
    <col min="7311" max="7311" width="3.77734375" style="951" customWidth="1"/>
    <col min="7312" max="7312" width="45.77734375" style="951" customWidth="1"/>
    <col min="7313" max="7313" width="7.77734375" style="951" customWidth="1"/>
    <col min="7314" max="7314" width="5.77734375" style="951" customWidth="1"/>
    <col min="7315" max="7315" width="10.77734375" style="951" customWidth="1"/>
    <col min="7316" max="7316" width="3.77734375" style="951" customWidth="1"/>
    <col min="7317" max="7317" width="11.77734375" style="951" customWidth="1"/>
    <col min="7318" max="7566" width="8.77734375" style="951"/>
    <col min="7567" max="7567" width="3.77734375" style="951" customWidth="1"/>
    <col min="7568" max="7568" width="45.77734375" style="951" customWidth="1"/>
    <col min="7569" max="7569" width="7.77734375" style="951" customWidth="1"/>
    <col min="7570" max="7570" width="5.77734375" style="951" customWidth="1"/>
    <col min="7571" max="7571" width="10.77734375" style="951" customWidth="1"/>
    <col min="7572" max="7572" width="3.77734375" style="951" customWidth="1"/>
    <col min="7573" max="7573" width="11.77734375" style="951" customWidth="1"/>
    <col min="7574" max="7822" width="8.77734375" style="951"/>
    <col min="7823" max="7823" width="3.77734375" style="951" customWidth="1"/>
    <col min="7824" max="7824" width="45.77734375" style="951" customWidth="1"/>
    <col min="7825" max="7825" width="7.77734375" style="951" customWidth="1"/>
    <col min="7826" max="7826" width="5.77734375" style="951" customWidth="1"/>
    <col min="7827" max="7827" width="10.77734375" style="951" customWidth="1"/>
    <col min="7828" max="7828" width="3.77734375" style="951" customWidth="1"/>
    <col min="7829" max="7829" width="11.77734375" style="951" customWidth="1"/>
    <col min="7830" max="8078" width="8.77734375" style="951"/>
    <col min="8079" max="8079" width="3.77734375" style="951" customWidth="1"/>
    <col min="8080" max="8080" width="45.77734375" style="951" customWidth="1"/>
    <col min="8081" max="8081" width="7.77734375" style="951" customWidth="1"/>
    <col min="8082" max="8082" width="5.77734375" style="951" customWidth="1"/>
    <col min="8083" max="8083" width="10.77734375" style="951" customWidth="1"/>
    <col min="8084" max="8084" width="3.77734375" style="951" customWidth="1"/>
    <col min="8085" max="8085" width="11.77734375" style="951" customWidth="1"/>
    <col min="8086" max="8334" width="8.77734375" style="951"/>
    <col min="8335" max="8335" width="3.77734375" style="951" customWidth="1"/>
    <col min="8336" max="8336" width="45.77734375" style="951" customWidth="1"/>
    <col min="8337" max="8337" width="7.77734375" style="951" customWidth="1"/>
    <col min="8338" max="8338" width="5.77734375" style="951" customWidth="1"/>
    <col min="8339" max="8339" width="10.77734375" style="951" customWidth="1"/>
    <col min="8340" max="8340" width="3.77734375" style="951" customWidth="1"/>
    <col min="8341" max="8341" width="11.77734375" style="951" customWidth="1"/>
    <col min="8342" max="8590" width="8.77734375" style="951"/>
    <col min="8591" max="8591" width="3.77734375" style="951" customWidth="1"/>
    <col min="8592" max="8592" width="45.77734375" style="951" customWidth="1"/>
    <col min="8593" max="8593" width="7.77734375" style="951" customWidth="1"/>
    <col min="8594" max="8594" width="5.77734375" style="951" customWidth="1"/>
    <col min="8595" max="8595" width="10.77734375" style="951" customWidth="1"/>
    <col min="8596" max="8596" width="3.77734375" style="951" customWidth="1"/>
    <col min="8597" max="8597" width="11.77734375" style="951" customWidth="1"/>
    <col min="8598" max="8846" width="8.77734375" style="951"/>
    <col min="8847" max="8847" width="3.77734375" style="951" customWidth="1"/>
    <col min="8848" max="8848" width="45.77734375" style="951" customWidth="1"/>
    <col min="8849" max="8849" width="7.77734375" style="951" customWidth="1"/>
    <col min="8850" max="8850" width="5.77734375" style="951" customWidth="1"/>
    <col min="8851" max="8851" width="10.77734375" style="951" customWidth="1"/>
    <col min="8852" max="8852" width="3.77734375" style="951" customWidth="1"/>
    <col min="8853" max="8853" width="11.77734375" style="951" customWidth="1"/>
    <col min="8854" max="9102" width="8.77734375" style="951"/>
    <col min="9103" max="9103" width="3.77734375" style="951" customWidth="1"/>
    <col min="9104" max="9104" width="45.77734375" style="951" customWidth="1"/>
    <col min="9105" max="9105" width="7.77734375" style="951" customWidth="1"/>
    <col min="9106" max="9106" width="5.77734375" style="951" customWidth="1"/>
    <col min="9107" max="9107" width="10.77734375" style="951" customWidth="1"/>
    <col min="9108" max="9108" width="3.77734375" style="951" customWidth="1"/>
    <col min="9109" max="9109" width="11.77734375" style="951" customWidth="1"/>
    <col min="9110" max="9358" width="8.77734375" style="951"/>
    <col min="9359" max="9359" width="3.77734375" style="951" customWidth="1"/>
    <col min="9360" max="9360" width="45.77734375" style="951" customWidth="1"/>
    <col min="9361" max="9361" width="7.77734375" style="951" customWidth="1"/>
    <col min="9362" max="9362" width="5.77734375" style="951" customWidth="1"/>
    <col min="9363" max="9363" width="10.77734375" style="951" customWidth="1"/>
    <col min="9364" max="9364" width="3.77734375" style="951" customWidth="1"/>
    <col min="9365" max="9365" width="11.77734375" style="951" customWidth="1"/>
    <col min="9366" max="9614" width="8.77734375" style="951"/>
    <col min="9615" max="9615" width="3.77734375" style="951" customWidth="1"/>
    <col min="9616" max="9616" width="45.77734375" style="951" customWidth="1"/>
    <col min="9617" max="9617" width="7.77734375" style="951" customWidth="1"/>
    <col min="9618" max="9618" width="5.77734375" style="951" customWidth="1"/>
    <col min="9619" max="9619" width="10.77734375" style="951" customWidth="1"/>
    <col min="9620" max="9620" width="3.77734375" style="951" customWidth="1"/>
    <col min="9621" max="9621" width="11.77734375" style="951" customWidth="1"/>
    <col min="9622" max="9870" width="8.77734375" style="951"/>
    <col min="9871" max="9871" width="3.77734375" style="951" customWidth="1"/>
    <col min="9872" max="9872" width="45.77734375" style="951" customWidth="1"/>
    <col min="9873" max="9873" width="7.77734375" style="951" customWidth="1"/>
    <col min="9874" max="9874" width="5.77734375" style="951" customWidth="1"/>
    <col min="9875" max="9875" width="10.77734375" style="951" customWidth="1"/>
    <col min="9876" max="9876" width="3.77734375" style="951" customWidth="1"/>
    <col min="9877" max="9877" width="11.77734375" style="951" customWidth="1"/>
    <col min="9878" max="10126" width="8.77734375" style="951"/>
    <col min="10127" max="10127" width="3.77734375" style="951" customWidth="1"/>
    <col min="10128" max="10128" width="45.77734375" style="951" customWidth="1"/>
    <col min="10129" max="10129" width="7.77734375" style="951" customWidth="1"/>
    <col min="10130" max="10130" width="5.77734375" style="951" customWidth="1"/>
    <col min="10131" max="10131" width="10.77734375" style="951" customWidth="1"/>
    <col min="10132" max="10132" width="3.77734375" style="951" customWidth="1"/>
    <col min="10133" max="10133" width="11.77734375" style="951" customWidth="1"/>
    <col min="10134" max="10382" width="8.77734375" style="951"/>
    <col min="10383" max="10383" width="3.77734375" style="951" customWidth="1"/>
    <col min="10384" max="10384" width="45.77734375" style="951" customWidth="1"/>
    <col min="10385" max="10385" width="7.77734375" style="951" customWidth="1"/>
    <col min="10386" max="10386" width="5.77734375" style="951" customWidth="1"/>
    <col min="10387" max="10387" width="10.77734375" style="951" customWidth="1"/>
    <col min="10388" max="10388" width="3.77734375" style="951" customWidth="1"/>
    <col min="10389" max="10389" width="11.77734375" style="951" customWidth="1"/>
    <col min="10390" max="10638" width="8.77734375" style="951"/>
    <col min="10639" max="10639" width="3.77734375" style="951" customWidth="1"/>
    <col min="10640" max="10640" width="45.77734375" style="951" customWidth="1"/>
    <col min="10641" max="10641" width="7.77734375" style="951" customWidth="1"/>
    <col min="10642" max="10642" width="5.77734375" style="951" customWidth="1"/>
    <col min="10643" max="10643" width="10.77734375" style="951" customWidth="1"/>
    <col min="10644" max="10644" width="3.77734375" style="951" customWidth="1"/>
    <col min="10645" max="10645" width="11.77734375" style="951" customWidth="1"/>
    <col min="10646" max="10894" width="8.77734375" style="951"/>
    <col min="10895" max="10895" width="3.77734375" style="951" customWidth="1"/>
    <col min="10896" max="10896" width="45.77734375" style="951" customWidth="1"/>
    <col min="10897" max="10897" width="7.77734375" style="951" customWidth="1"/>
    <col min="10898" max="10898" width="5.77734375" style="951" customWidth="1"/>
    <col min="10899" max="10899" width="10.77734375" style="951" customWidth="1"/>
    <col min="10900" max="10900" width="3.77734375" style="951" customWidth="1"/>
    <col min="10901" max="10901" width="11.77734375" style="951" customWidth="1"/>
    <col min="10902" max="11150" width="8.77734375" style="951"/>
    <col min="11151" max="11151" width="3.77734375" style="951" customWidth="1"/>
    <col min="11152" max="11152" width="45.77734375" style="951" customWidth="1"/>
    <col min="11153" max="11153" width="7.77734375" style="951" customWidth="1"/>
    <col min="11154" max="11154" width="5.77734375" style="951" customWidth="1"/>
    <col min="11155" max="11155" width="10.77734375" style="951" customWidth="1"/>
    <col min="11156" max="11156" width="3.77734375" style="951" customWidth="1"/>
    <col min="11157" max="11157" width="11.77734375" style="951" customWidth="1"/>
    <col min="11158" max="11406" width="8.77734375" style="951"/>
    <col min="11407" max="11407" width="3.77734375" style="951" customWidth="1"/>
    <col min="11408" max="11408" width="45.77734375" style="951" customWidth="1"/>
    <col min="11409" max="11409" width="7.77734375" style="951" customWidth="1"/>
    <col min="11410" max="11410" width="5.77734375" style="951" customWidth="1"/>
    <col min="11411" max="11411" width="10.77734375" style="951" customWidth="1"/>
    <col min="11412" max="11412" width="3.77734375" style="951" customWidth="1"/>
    <col min="11413" max="11413" width="11.77734375" style="951" customWidth="1"/>
    <col min="11414" max="11662" width="8.77734375" style="951"/>
    <col min="11663" max="11663" width="3.77734375" style="951" customWidth="1"/>
    <col min="11664" max="11664" width="45.77734375" style="951" customWidth="1"/>
    <col min="11665" max="11665" width="7.77734375" style="951" customWidth="1"/>
    <col min="11666" max="11666" width="5.77734375" style="951" customWidth="1"/>
    <col min="11667" max="11667" width="10.77734375" style="951" customWidth="1"/>
    <col min="11668" max="11668" width="3.77734375" style="951" customWidth="1"/>
    <col min="11669" max="11669" width="11.77734375" style="951" customWidth="1"/>
    <col min="11670" max="11918" width="8.77734375" style="951"/>
    <col min="11919" max="11919" width="3.77734375" style="951" customWidth="1"/>
    <col min="11920" max="11920" width="45.77734375" style="951" customWidth="1"/>
    <col min="11921" max="11921" width="7.77734375" style="951" customWidth="1"/>
    <col min="11922" max="11922" width="5.77734375" style="951" customWidth="1"/>
    <col min="11923" max="11923" width="10.77734375" style="951" customWidth="1"/>
    <col min="11924" max="11924" width="3.77734375" style="951" customWidth="1"/>
    <col min="11925" max="11925" width="11.77734375" style="951" customWidth="1"/>
    <col min="11926" max="12174" width="8.77734375" style="951"/>
    <col min="12175" max="12175" width="3.77734375" style="951" customWidth="1"/>
    <col min="12176" max="12176" width="45.77734375" style="951" customWidth="1"/>
    <col min="12177" max="12177" width="7.77734375" style="951" customWidth="1"/>
    <col min="12178" max="12178" width="5.77734375" style="951" customWidth="1"/>
    <col min="12179" max="12179" width="10.77734375" style="951" customWidth="1"/>
    <col min="12180" max="12180" width="3.77734375" style="951" customWidth="1"/>
    <col min="12181" max="12181" width="11.77734375" style="951" customWidth="1"/>
    <col min="12182" max="12430" width="8.77734375" style="951"/>
    <col min="12431" max="12431" width="3.77734375" style="951" customWidth="1"/>
    <col min="12432" max="12432" width="45.77734375" style="951" customWidth="1"/>
    <col min="12433" max="12433" width="7.77734375" style="951" customWidth="1"/>
    <col min="12434" max="12434" width="5.77734375" style="951" customWidth="1"/>
    <col min="12435" max="12435" width="10.77734375" style="951" customWidth="1"/>
    <col min="12436" max="12436" width="3.77734375" style="951" customWidth="1"/>
    <col min="12437" max="12437" width="11.77734375" style="951" customWidth="1"/>
    <col min="12438" max="12686" width="8.77734375" style="951"/>
    <col min="12687" max="12687" width="3.77734375" style="951" customWidth="1"/>
    <col min="12688" max="12688" width="45.77734375" style="951" customWidth="1"/>
    <col min="12689" max="12689" width="7.77734375" style="951" customWidth="1"/>
    <col min="12690" max="12690" width="5.77734375" style="951" customWidth="1"/>
    <col min="12691" max="12691" width="10.77734375" style="951" customWidth="1"/>
    <col min="12692" max="12692" width="3.77734375" style="951" customWidth="1"/>
    <col min="12693" max="12693" width="11.77734375" style="951" customWidth="1"/>
    <col min="12694" max="12942" width="8.77734375" style="951"/>
    <col min="12943" max="12943" width="3.77734375" style="951" customWidth="1"/>
    <col min="12944" max="12944" width="45.77734375" style="951" customWidth="1"/>
    <col min="12945" max="12945" width="7.77734375" style="951" customWidth="1"/>
    <col min="12946" max="12946" width="5.77734375" style="951" customWidth="1"/>
    <col min="12947" max="12947" width="10.77734375" style="951" customWidth="1"/>
    <col min="12948" max="12948" width="3.77734375" style="951" customWidth="1"/>
    <col min="12949" max="12949" width="11.77734375" style="951" customWidth="1"/>
    <col min="12950" max="13198" width="8.77734375" style="951"/>
    <col min="13199" max="13199" width="3.77734375" style="951" customWidth="1"/>
    <col min="13200" max="13200" width="45.77734375" style="951" customWidth="1"/>
    <col min="13201" max="13201" width="7.77734375" style="951" customWidth="1"/>
    <col min="13202" max="13202" width="5.77734375" style="951" customWidth="1"/>
    <col min="13203" max="13203" width="10.77734375" style="951" customWidth="1"/>
    <col min="13204" max="13204" width="3.77734375" style="951" customWidth="1"/>
    <col min="13205" max="13205" width="11.77734375" style="951" customWidth="1"/>
    <col min="13206" max="13454" width="8.77734375" style="951"/>
    <col min="13455" max="13455" width="3.77734375" style="951" customWidth="1"/>
    <col min="13456" max="13456" width="45.77734375" style="951" customWidth="1"/>
    <col min="13457" max="13457" width="7.77734375" style="951" customWidth="1"/>
    <col min="13458" max="13458" width="5.77734375" style="951" customWidth="1"/>
    <col min="13459" max="13459" width="10.77734375" style="951" customWidth="1"/>
    <col min="13460" max="13460" width="3.77734375" style="951" customWidth="1"/>
    <col min="13461" max="13461" width="11.77734375" style="951" customWidth="1"/>
    <col min="13462" max="13710" width="8.77734375" style="951"/>
    <col min="13711" max="13711" width="3.77734375" style="951" customWidth="1"/>
    <col min="13712" max="13712" width="45.77734375" style="951" customWidth="1"/>
    <col min="13713" max="13713" width="7.77734375" style="951" customWidth="1"/>
    <col min="13714" max="13714" width="5.77734375" style="951" customWidth="1"/>
    <col min="13715" max="13715" width="10.77734375" style="951" customWidth="1"/>
    <col min="13716" max="13716" width="3.77734375" style="951" customWidth="1"/>
    <col min="13717" max="13717" width="11.77734375" style="951" customWidth="1"/>
    <col min="13718" max="13966" width="8.77734375" style="951"/>
    <col min="13967" max="13967" width="3.77734375" style="951" customWidth="1"/>
    <col min="13968" max="13968" width="45.77734375" style="951" customWidth="1"/>
    <col min="13969" max="13969" width="7.77734375" style="951" customWidth="1"/>
    <col min="13970" max="13970" width="5.77734375" style="951" customWidth="1"/>
    <col min="13971" max="13971" width="10.77734375" style="951" customWidth="1"/>
    <col min="13972" max="13972" width="3.77734375" style="951" customWidth="1"/>
    <col min="13973" max="13973" width="11.77734375" style="951" customWidth="1"/>
    <col min="13974" max="14222" width="8.77734375" style="951"/>
    <col min="14223" max="14223" width="3.77734375" style="951" customWidth="1"/>
    <col min="14224" max="14224" width="45.77734375" style="951" customWidth="1"/>
    <col min="14225" max="14225" width="7.77734375" style="951" customWidth="1"/>
    <col min="14226" max="14226" width="5.77734375" style="951" customWidth="1"/>
    <col min="14227" max="14227" width="10.77734375" style="951" customWidth="1"/>
    <col min="14228" max="14228" width="3.77734375" style="951" customWidth="1"/>
    <col min="14229" max="14229" width="11.77734375" style="951" customWidth="1"/>
    <col min="14230" max="14478" width="8.77734375" style="951"/>
    <col min="14479" max="14479" width="3.77734375" style="951" customWidth="1"/>
    <col min="14480" max="14480" width="45.77734375" style="951" customWidth="1"/>
    <col min="14481" max="14481" width="7.77734375" style="951" customWidth="1"/>
    <col min="14482" max="14482" width="5.77734375" style="951" customWidth="1"/>
    <col min="14483" max="14483" width="10.77734375" style="951" customWidth="1"/>
    <col min="14484" max="14484" width="3.77734375" style="951" customWidth="1"/>
    <col min="14485" max="14485" width="11.77734375" style="951" customWidth="1"/>
    <col min="14486" max="14734" width="8.77734375" style="951"/>
    <col min="14735" max="14735" width="3.77734375" style="951" customWidth="1"/>
    <col min="14736" max="14736" width="45.77734375" style="951" customWidth="1"/>
    <col min="14737" max="14737" width="7.77734375" style="951" customWidth="1"/>
    <col min="14738" max="14738" width="5.77734375" style="951" customWidth="1"/>
    <col min="14739" max="14739" width="10.77734375" style="951" customWidth="1"/>
    <col min="14740" max="14740" width="3.77734375" style="951" customWidth="1"/>
    <col min="14741" max="14741" width="11.77734375" style="951" customWidth="1"/>
    <col min="14742" max="14990" width="8.77734375" style="951"/>
    <col min="14991" max="14991" width="3.77734375" style="951" customWidth="1"/>
    <col min="14992" max="14992" width="45.77734375" style="951" customWidth="1"/>
    <col min="14993" max="14993" width="7.77734375" style="951" customWidth="1"/>
    <col min="14994" max="14994" width="5.77734375" style="951" customWidth="1"/>
    <col min="14995" max="14995" width="10.77734375" style="951" customWidth="1"/>
    <col min="14996" max="14996" width="3.77734375" style="951" customWidth="1"/>
    <col min="14997" max="14997" width="11.77734375" style="951" customWidth="1"/>
    <col min="14998" max="15246" width="8.77734375" style="951"/>
    <col min="15247" max="15247" width="3.77734375" style="951" customWidth="1"/>
    <col min="15248" max="15248" width="45.77734375" style="951" customWidth="1"/>
    <col min="15249" max="15249" width="7.77734375" style="951" customWidth="1"/>
    <col min="15250" max="15250" width="5.77734375" style="951" customWidth="1"/>
    <col min="15251" max="15251" width="10.77734375" style="951" customWidth="1"/>
    <col min="15252" max="15252" width="3.77734375" style="951" customWidth="1"/>
    <col min="15253" max="15253" width="11.77734375" style="951" customWidth="1"/>
    <col min="15254" max="15502" width="8.77734375" style="951"/>
    <col min="15503" max="15503" width="3.77734375" style="951" customWidth="1"/>
    <col min="15504" max="15504" width="45.77734375" style="951" customWidth="1"/>
    <col min="15505" max="15505" width="7.77734375" style="951" customWidth="1"/>
    <col min="15506" max="15506" width="5.77734375" style="951" customWidth="1"/>
    <col min="15507" max="15507" width="10.77734375" style="951" customWidth="1"/>
    <col min="15508" max="15508" width="3.77734375" style="951" customWidth="1"/>
    <col min="15509" max="15509" width="11.77734375" style="951" customWidth="1"/>
    <col min="15510" max="15758" width="8.77734375" style="951"/>
    <col min="15759" max="15759" width="3.77734375" style="951" customWidth="1"/>
    <col min="15760" max="15760" width="45.77734375" style="951" customWidth="1"/>
    <col min="15761" max="15761" width="7.77734375" style="951" customWidth="1"/>
    <col min="15762" max="15762" width="5.77734375" style="951" customWidth="1"/>
    <col min="15763" max="15763" width="10.77734375" style="951" customWidth="1"/>
    <col min="15764" max="15764" width="3.77734375" style="951" customWidth="1"/>
    <col min="15765" max="15765" width="11.77734375" style="951" customWidth="1"/>
    <col min="15766" max="16014" width="8.77734375" style="951"/>
    <col min="16015" max="16015" width="3.77734375" style="951" customWidth="1"/>
    <col min="16016" max="16016" width="45.77734375" style="951" customWidth="1"/>
    <col min="16017" max="16017" width="7.77734375" style="951" customWidth="1"/>
    <col min="16018" max="16018" width="5.77734375" style="951" customWidth="1"/>
    <col min="16019" max="16019" width="10.77734375" style="951" customWidth="1"/>
    <col min="16020" max="16020" width="3.77734375" style="951" customWidth="1"/>
    <col min="16021" max="16021" width="11.77734375" style="951" customWidth="1"/>
    <col min="16022" max="16269" width="8.77734375" style="951"/>
    <col min="16270" max="16384" width="8.77734375" style="951" customWidth="1"/>
  </cols>
  <sheetData>
    <row r="3" spans="1:6">
      <c r="B3" s="950" t="s">
        <v>1915</v>
      </c>
    </row>
    <row r="4" spans="1:6">
      <c r="B4" s="949" t="s">
        <v>0</v>
      </c>
    </row>
    <row r="5" spans="1:6" ht="43.2">
      <c r="B5" s="949" t="s">
        <v>1916</v>
      </c>
    </row>
    <row r="6" spans="1:6" ht="43.2">
      <c r="B6" s="949" t="s">
        <v>1917</v>
      </c>
    </row>
    <row r="7" spans="1:6" ht="43.2">
      <c r="B7" s="949" t="s">
        <v>1918</v>
      </c>
    </row>
    <row r="8" spans="1:6" ht="100.8">
      <c r="B8" s="857" t="s">
        <v>1919</v>
      </c>
      <c r="C8" s="882"/>
      <c r="D8" s="882"/>
      <c r="E8" s="877"/>
      <c r="F8" s="877"/>
    </row>
    <row r="9" spans="1:6" ht="100.8">
      <c r="B9" s="857" t="s">
        <v>1920</v>
      </c>
      <c r="C9" s="882"/>
      <c r="D9" s="882"/>
      <c r="E9" s="877"/>
      <c r="F9" s="877"/>
    </row>
    <row r="10" spans="1:6" ht="57.6">
      <c r="B10" s="949" t="s">
        <v>1921</v>
      </c>
      <c r="C10" s="951"/>
      <c r="D10" s="878"/>
    </row>
    <row r="11" spans="1:6">
      <c r="B11" s="949"/>
      <c r="C11" s="951"/>
      <c r="D11" s="878"/>
    </row>
    <row r="12" spans="1:6">
      <c r="B12" s="949"/>
      <c r="C12" s="951"/>
      <c r="D12" s="878"/>
    </row>
    <row r="13" spans="1:6">
      <c r="B13" s="949"/>
      <c r="C13" s="951"/>
      <c r="D13" s="878"/>
    </row>
    <row r="14" spans="1:6">
      <c r="B14" s="949"/>
      <c r="C14" s="951"/>
      <c r="D14" s="878"/>
    </row>
    <row r="15" spans="1:6">
      <c r="C15" s="951"/>
      <c r="D15" s="951"/>
    </row>
    <row r="16" spans="1:6">
      <c r="A16" s="855"/>
      <c r="B16" s="865" t="s">
        <v>1922</v>
      </c>
    </row>
    <row r="17" spans="1:6">
      <c r="A17" s="855"/>
    </row>
    <row r="18" spans="1:6">
      <c r="A18" s="855"/>
    </row>
    <row r="19" spans="1:6" ht="28.8">
      <c r="A19" s="853" t="s">
        <v>1283</v>
      </c>
      <c r="B19" s="883" t="str">
        <f>B40</f>
        <v xml:space="preserve">OPREMA ZA GRIJANJE I HLAĐENJE
</v>
      </c>
      <c r="C19" s="884"/>
      <c r="D19" s="897"/>
      <c r="E19" s="928"/>
      <c r="F19" s="929">
        <f>F295</f>
        <v>163456</v>
      </c>
    </row>
    <row r="20" spans="1:6">
      <c r="A20" s="853" t="s">
        <v>1358</v>
      </c>
      <c r="B20" s="883" t="str">
        <f>B299</f>
        <v>OPREMA ZA GRIJANJE I PRIPREMU PTV-a</v>
      </c>
      <c r="C20" s="884"/>
      <c r="D20" s="897"/>
      <c r="E20" s="928"/>
      <c r="F20" s="929">
        <f>F358</f>
        <v>17335</v>
      </c>
    </row>
    <row r="21" spans="1:6" ht="28.8">
      <c r="A21" s="853" t="s">
        <v>1395</v>
      </c>
      <c r="B21" s="883" t="str">
        <f>B361</f>
        <v>INSTALACIJA GRIJANJA
-PODNO GRIJANJE</v>
      </c>
      <c r="C21" s="884"/>
      <c r="D21" s="897"/>
      <c r="E21" s="928"/>
      <c r="F21" s="929">
        <f>F437</f>
        <v>82755</v>
      </c>
    </row>
    <row r="22" spans="1:6" ht="43.2">
      <c r="A22" s="853" t="s">
        <v>1438</v>
      </c>
      <c r="B22" s="883" t="str">
        <f>B441</f>
        <v xml:space="preserve">INSTALACIJA GRIJANJA I HLAĐENJA-
VENTILOKONVEKTORI
</v>
      </c>
      <c r="C22" s="884"/>
      <c r="D22" s="897"/>
      <c r="E22" s="928"/>
      <c r="F22" s="929">
        <f>F537</f>
        <v>99742</v>
      </c>
    </row>
    <row r="23" spans="1:6">
      <c r="A23" s="853" t="s">
        <v>1492</v>
      </c>
      <c r="B23" s="883" t="str">
        <f>B541</f>
        <v>INSTALACIJA GRIJANJA I  HLAĐENJA KUHINJA</v>
      </c>
      <c r="C23" s="884"/>
      <c r="D23" s="897"/>
      <c r="E23" s="928"/>
      <c r="F23" s="929">
        <f>F585</f>
        <v>9225</v>
      </c>
    </row>
    <row r="24" spans="1:6">
      <c r="A24" s="853" t="s">
        <v>1923</v>
      </c>
      <c r="B24" s="883" t="str">
        <f>B589</f>
        <v>CIJELOGODIŠNJE HLAĐENJE SERVER SOBE</v>
      </c>
      <c r="C24" s="884"/>
      <c r="D24" s="897"/>
      <c r="E24" s="928"/>
      <c r="F24" s="929">
        <f>F633</f>
        <v>4240</v>
      </c>
    </row>
    <row r="25" spans="1:6">
      <c r="A25" s="853" t="s">
        <v>1924</v>
      </c>
      <c r="B25" s="883" t="str">
        <f>B637</f>
        <v xml:space="preserve">VENTILACIJA KUHINJE </v>
      </c>
      <c r="C25" s="884"/>
      <c r="D25" s="897"/>
      <c r="E25" s="928"/>
      <c r="F25" s="929">
        <f>F726</f>
        <v>30200</v>
      </c>
    </row>
    <row r="26" spans="1:6">
      <c r="A26" s="853" t="s">
        <v>1925</v>
      </c>
      <c r="B26" s="863" t="str">
        <f>B730</f>
        <v>INSTALACIJA VENTILACIJE (REKUPERACIJA )</v>
      </c>
      <c r="C26" s="884"/>
      <c r="D26" s="897"/>
      <c r="E26" s="928"/>
      <c r="F26" s="929">
        <f>F822</f>
        <v>80860</v>
      </c>
    </row>
    <row r="27" spans="1:6">
      <c r="A27" s="853" t="s">
        <v>1</v>
      </c>
      <c r="B27" s="863" t="str">
        <f>B826</f>
        <v>OSTALI RADOVI</v>
      </c>
      <c r="C27" s="884"/>
      <c r="D27" s="897"/>
      <c r="E27" s="928"/>
      <c r="F27" s="929">
        <f>F840</f>
        <v>4500</v>
      </c>
    </row>
    <row r="28" spans="1:6">
      <c r="A28" s="855"/>
      <c r="B28" s="886"/>
      <c r="C28" s="882"/>
      <c r="D28" s="882"/>
      <c r="E28" s="880"/>
      <c r="F28" s="929"/>
    </row>
    <row r="29" spans="1:6">
      <c r="A29" s="853"/>
      <c r="B29" s="883" t="s">
        <v>38</v>
      </c>
      <c r="C29" s="884"/>
      <c r="D29" s="897"/>
      <c r="E29" s="928"/>
      <c r="F29" s="929">
        <f>SUM(F19:F28)</f>
        <v>492313</v>
      </c>
    </row>
    <row r="30" spans="1:6">
      <c r="A30" s="855"/>
      <c r="B30" s="886"/>
      <c r="C30" s="882"/>
      <c r="D30" s="873"/>
      <c r="E30" s="877"/>
      <c r="F30" s="877"/>
    </row>
    <row r="31" spans="1:6">
      <c r="A31" s="855"/>
      <c r="B31" s="886"/>
      <c r="C31" s="882"/>
      <c r="D31" s="873"/>
      <c r="E31" s="877"/>
      <c r="F31" s="877"/>
    </row>
    <row r="32" spans="1:6">
      <c r="A32" s="855"/>
      <c r="B32" s="886"/>
      <c r="C32" s="882"/>
      <c r="D32" s="873"/>
      <c r="E32" s="877"/>
      <c r="F32" s="877"/>
    </row>
    <row r="33" spans="1:6">
      <c r="A33" s="855"/>
      <c r="B33" s="886"/>
      <c r="C33" s="882"/>
      <c r="D33" s="873"/>
      <c r="E33" s="877"/>
      <c r="F33" s="877"/>
    </row>
    <row r="34" spans="1:6">
      <c r="A34" s="855"/>
      <c r="B34" s="886"/>
      <c r="C34" s="882"/>
      <c r="D34" s="873"/>
      <c r="E34" s="877"/>
      <c r="F34" s="877"/>
    </row>
    <row r="35" spans="1:6">
      <c r="C35" s="951"/>
      <c r="D35" s="951"/>
    </row>
    <row r="36" spans="1:6">
      <c r="B36" s="894"/>
      <c r="C36" s="867"/>
      <c r="D36" s="882"/>
      <c r="E36" s="877"/>
    </row>
    <row r="37" spans="1:6">
      <c r="C37" s="951"/>
      <c r="D37" s="951"/>
    </row>
    <row r="38" spans="1:6" ht="20.399999999999999">
      <c r="A38" s="888"/>
      <c r="B38" s="860" t="s">
        <v>1234</v>
      </c>
      <c r="C38" s="859" t="s">
        <v>1235</v>
      </c>
      <c r="D38" s="859" t="s">
        <v>1236</v>
      </c>
      <c r="E38" s="875" t="s">
        <v>1500</v>
      </c>
      <c r="F38" s="868" t="s">
        <v>1926</v>
      </c>
    </row>
    <row r="39" spans="1:6">
      <c r="B39" s="937"/>
      <c r="C39" s="936"/>
      <c r="D39" s="936"/>
      <c r="E39" s="877"/>
    </row>
    <row r="40" spans="1:6" ht="28.8">
      <c r="A40" s="876" t="s">
        <v>1283</v>
      </c>
      <c r="B40" s="931" t="s">
        <v>1927</v>
      </c>
      <c r="C40" s="951"/>
      <c r="D40" s="951"/>
    </row>
    <row r="41" spans="1:6">
      <c r="B41" s="864"/>
      <c r="C41" s="951"/>
      <c r="D41" s="951"/>
    </row>
    <row r="42" spans="1:6">
      <c r="A42" s="932">
        <v>1</v>
      </c>
      <c r="B42" s="858" t="s">
        <v>1928</v>
      </c>
      <c r="C42" s="874"/>
      <c r="D42" s="874" t="s">
        <v>1246</v>
      </c>
      <c r="E42" s="933"/>
      <c r="F42" s="933"/>
    </row>
    <row r="43" spans="1:6" ht="72">
      <c r="B43" s="864" t="s">
        <v>1929</v>
      </c>
      <c r="C43" s="951"/>
      <c r="D43" s="951"/>
    </row>
    <row r="44" spans="1:6" ht="158.4">
      <c r="B44" s="864" t="s">
        <v>1930</v>
      </c>
      <c r="C44" s="951"/>
      <c r="D44" s="951"/>
    </row>
    <row r="45" spans="1:6" ht="144">
      <c r="B45" s="858" t="s">
        <v>1931</v>
      </c>
      <c r="C45" s="951"/>
      <c r="D45" s="951"/>
    </row>
    <row r="46" spans="1:6" ht="115.2">
      <c r="B46" s="864" t="s">
        <v>1932</v>
      </c>
      <c r="C46" s="951"/>
      <c r="D46" s="951"/>
    </row>
    <row r="47" spans="1:6">
      <c r="B47" s="864" t="s">
        <v>1933</v>
      </c>
      <c r="C47" s="951"/>
      <c r="D47" s="951"/>
    </row>
    <row r="48" spans="1:6">
      <c r="B48" s="864" t="s">
        <v>1934</v>
      </c>
      <c r="C48" s="951"/>
      <c r="D48" s="951"/>
    </row>
    <row r="49" spans="2:4">
      <c r="B49" s="864" t="s">
        <v>1935</v>
      </c>
      <c r="C49" s="951"/>
      <c r="D49" s="951"/>
    </row>
    <row r="50" spans="2:4">
      <c r="B50" s="864" t="s">
        <v>1936</v>
      </c>
      <c r="C50" s="951"/>
      <c r="D50" s="951"/>
    </row>
    <row r="51" spans="2:4" ht="28.8">
      <c r="B51" s="864" t="s">
        <v>1937</v>
      </c>
      <c r="C51" s="951"/>
      <c r="D51" s="951"/>
    </row>
    <row r="52" spans="2:4">
      <c r="B52" s="864" t="s">
        <v>1938</v>
      </c>
      <c r="C52" s="951"/>
      <c r="D52" s="951"/>
    </row>
    <row r="53" spans="2:4" ht="30">
      <c r="B53" s="864" t="s">
        <v>1939</v>
      </c>
      <c r="C53" s="951"/>
      <c r="D53" s="951"/>
    </row>
    <row r="54" spans="2:4" ht="15.6">
      <c r="B54" s="864" t="s">
        <v>1940</v>
      </c>
      <c r="C54" s="951"/>
      <c r="D54" s="951"/>
    </row>
    <row r="55" spans="2:4" ht="30">
      <c r="B55" s="864" t="s">
        <v>1941</v>
      </c>
      <c r="C55" s="951"/>
      <c r="D55" s="951"/>
    </row>
    <row r="56" spans="2:4" ht="15.6">
      <c r="B56" s="864" t="s">
        <v>1942</v>
      </c>
      <c r="C56" s="951"/>
      <c r="D56" s="951"/>
    </row>
    <row r="57" spans="2:4">
      <c r="B57" s="864" t="s">
        <v>1943</v>
      </c>
      <c r="C57" s="951"/>
      <c r="D57" s="951"/>
    </row>
    <row r="58" spans="2:4">
      <c r="B58" s="864" t="s">
        <v>1944</v>
      </c>
      <c r="C58" s="951"/>
      <c r="D58" s="951"/>
    </row>
    <row r="59" spans="2:4" ht="30">
      <c r="B59" s="864" t="s">
        <v>1945</v>
      </c>
      <c r="C59" s="951"/>
      <c r="D59" s="951"/>
    </row>
    <row r="60" spans="2:4" ht="15.6">
      <c r="B60" s="864" t="s">
        <v>1946</v>
      </c>
      <c r="C60" s="951"/>
      <c r="D60" s="951"/>
    </row>
    <row r="61" spans="2:4" ht="30">
      <c r="B61" s="864" t="s">
        <v>1947</v>
      </c>
      <c r="C61" s="951"/>
      <c r="D61" s="951"/>
    </row>
    <row r="62" spans="2:4" ht="15.6">
      <c r="B62" s="864" t="s">
        <v>1948</v>
      </c>
      <c r="C62" s="951"/>
      <c r="D62" s="951"/>
    </row>
    <row r="63" spans="2:4">
      <c r="B63" s="864" t="s">
        <v>1949</v>
      </c>
      <c r="C63" s="951"/>
      <c r="D63" s="951"/>
    </row>
    <row r="64" spans="2:4">
      <c r="B64" s="864" t="s">
        <v>1950</v>
      </c>
      <c r="C64" s="951"/>
      <c r="D64" s="951"/>
    </row>
    <row r="65" spans="2:6">
      <c r="B65" s="864" t="s">
        <v>1951</v>
      </c>
      <c r="C65" s="951"/>
      <c r="D65" s="951"/>
    </row>
    <row r="66" spans="2:6">
      <c r="B66" s="864" t="s">
        <v>1952</v>
      </c>
      <c r="C66" s="951"/>
      <c r="D66" s="951"/>
    </row>
    <row r="67" spans="2:6">
      <c r="B67" s="864" t="s">
        <v>1953</v>
      </c>
      <c r="C67" s="951"/>
      <c r="D67" s="951"/>
    </row>
    <row r="68" spans="2:6" ht="28.8">
      <c r="B68" s="864" t="s">
        <v>1954</v>
      </c>
      <c r="C68" s="951"/>
      <c r="D68" s="951"/>
    </row>
    <row r="69" spans="2:6">
      <c r="B69" s="864" t="s">
        <v>1955</v>
      </c>
      <c r="C69" s="951"/>
      <c r="D69" s="951"/>
    </row>
    <row r="70" spans="2:6">
      <c r="B70" s="864" t="s">
        <v>1956</v>
      </c>
      <c r="C70" s="951"/>
      <c r="D70" s="951"/>
    </row>
    <row r="71" spans="2:6">
      <c r="B71" s="864" t="s">
        <v>1957</v>
      </c>
      <c r="C71" s="951"/>
      <c r="D71" s="951"/>
    </row>
    <row r="72" spans="2:6" ht="28.8">
      <c r="B72" s="864" t="s">
        <v>1958</v>
      </c>
      <c r="C72" s="951"/>
      <c r="D72" s="951"/>
    </row>
    <row r="73" spans="2:6">
      <c r="B73" s="864" t="s">
        <v>1959</v>
      </c>
      <c r="C73" s="951"/>
      <c r="D73" s="951"/>
    </row>
    <row r="74" spans="2:6" ht="28.8">
      <c r="B74" s="864" t="s">
        <v>1960</v>
      </c>
      <c r="C74" s="951"/>
      <c r="D74" s="951"/>
    </row>
    <row r="75" spans="2:6">
      <c r="B75" s="864" t="s">
        <v>1961</v>
      </c>
      <c r="C75" s="951"/>
      <c r="D75" s="951"/>
    </row>
    <row r="76" spans="2:6">
      <c r="B76" s="864" t="s">
        <v>1962</v>
      </c>
      <c r="C76" s="951"/>
      <c r="D76" s="951"/>
    </row>
    <row r="77" spans="2:6">
      <c r="B77" s="864" t="s">
        <v>1963</v>
      </c>
      <c r="C77" s="951"/>
      <c r="D77" s="951"/>
    </row>
    <row r="78" spans="2:6">
      <c r="B78" s="864" t="s">
        <v>1964</v>
      </c>
      <c r="C78" s="951"/>
      <c r="D78" s="951"/>
    </row>
    <row r="79" spans="2:6">
      <c r="B79" s="864" t="s">
        <v>1965</v>
      </c>
      <c r="C79" s="951"/>
      <c r="D79" s="951"/>
    </row>
    <row r="80" spans="2:6" ht="57.6">
      <c r="B80" s="858" t="s">
        <v>1966</v>
      </c>
      <c r="C80" s="882" t="s">
        <v>31</v>
      </c>
      <c r="D80" s="882">
        <v>1</v>
      </c>
      <c r="E80" s="877">
        <v>60000</v>
      </c>
      <c r="F80" s="934">
        <f>E80*D80</f>
        <v>60000</v>
      </c>
    </row>
    <row r="81" spans="1:6">
      <c r="B81" s="864"/>
      <c r="C81" s="951"/>
      <c r="D81" s="951" t="s">
        <v>1246</v>
      </c>
    </row>
    <row r="82" spans="1:6">
      <c r="A82" s="932">
        <v>2</v>
      </c>
      <c r="B82" s="858" t="s">
        <v>1928</v>
      </c>
      <c r="C82" s="874"/>
      <c r="D82" s="874" t="s">
        <v>1246</v>
      </c>
      <c r="E82" s="933"/>
      <c r="F82" s="933"/>
    </row>
    <row r="83" spans="1:6" ht="187.2">
      <c r="B83" s="864" t="s">
        <v>1967</v>
      </c>
      <c r="C83" s="951"/>
      <c r="D83" s="951"/>
    </row>
    <row r="84" spans="1:6" ht="57.6">
      <c r="B84" s="858" t="s">
        <v>1966</v>
      </c>
      <c r="C84" s="882" t="s">
        <v>31</v>
      </c>
      <c r="D84" s="882">
        <v>2</v>
      </c>
      <c r="E84" s="877">
        <v>1200</v>
      </c>
      <c r="F84" s="934">
        <f>E84*D84</f>
        <v>2400</v>
      </c>
    </row>
    <row r="85" spans="1:6">
      <c r="B85" s="864"/>
      <c r="C85" s="951"/>
      <c r="D85" s="951" t="s">
        <v>1246</v>
      </c>
    </row>
    <row r="86" spans="1:6">
      <c r="B86" s="864"/>
      <c r="C86" s="951"/>
      <c r="D86" s="951" t="s">
        <v>1246</v>
      </c>
    </row>
    <row r="87" spans="1:6">
      <c r="A87" s="932">
        <v>3</v>
      </c>
      <c r="B87" s="858" t="s">
        <v>1928</v>
      </c>
      <c r="C87" s="874"/>
      <c r="D87" s="874" t="s">
        <v>1246</v>
      </c>
      <c r="E87" s="933"/>
      <c r="F87" s="933"/>
    </row>
    <row r="88" spans="1:6" ht="115.2">
      <c r="B88" s="864" t="s">
        <v>1968</v>
      </c>
      <c r="C88" s="951"/>
      <c r="D88" s="951"/>
    </row>
    <row r="89" spans="1:6" ht="28.8">
      <c r="B89" s="864" t="s">
        <v>1969</v>
      </c>
      <c r="C89" s="951"/>
      <c r="D89" s="951"/>
      <c r="E89" s="877"/>
      <c r="F89" s="877"/>
    </row>
    <row r="90" spans="1:6" ht="57.6">
      <c r="B90" s="858" t="s">
        <v>1966</v>
      </c>
      <c r="C90" s="882" t="s">
        <v>31</v>
      </c>
      <c r="D90" s="882">
        <v>1</v>
      </c>
      <c r="E90" s="877">
        <v>2000</v>
      </c>
      <c r="F90" s="934">
        <f>E90*D90</f>
        <v>2000</v>
      </c>
    </row>
    <row r="91" spans="1:6">
      <c r="B91" s="864"/>
      <c r="C91" s="951"/>
      <c r="D91" s="951" t="s">
        <v>1246</v>
      </c>
    </row>
    <row r="92" spans="1:6" ht="28.8">
      <c r="A92" s="932">
        <v>4</v>
      </c>
      <c r="B92" s="858" t="s">
        <v>1970</v>
      </c>
      <c r="C92" s="882" t="s">
        <v>31</v>
      </c>
      <c r="D92" s="882">
        <v>4</v>
      </c>
      <c r="E92" s="877">
        <v>500</v>
      </c>
      <c r="F92" s="934">
        <f>E92*D92</f>
        <v>2000</v>
      </c>
    </row>
    <row r="93" spans="1:6">
      <c r="B93" s="864"/>
      <c r="C93" s="951"/>
      <c r="D93" s="951" t="s">
        <v>1246</v>
      </c>
    </row>
    <row r="94" spans="1:6">
      <c r="A94" s="932">
        <v>5</v>
      </c>
      <c r="B94" s="858" t="s">
        <v>1928</v>
      </c>
      <c r="C94" s="874"/>
      <c r="D94" s="874" t="s">
        <v>1246</v>
      </c>
      <c r="E94" s="933"/>
      <c r="F94" s="933"/>
    </row>
    <row r="95" spans="1:6" ht="158.4">
      <c r="B95" s="864" t="s">
        <v>1971</v>
      </c>
      <c r="C95" s="951"/>
      <c r="D95" s="951"/>
    </row>
    <row r="96" spans="1:6" ht="100.8">
      <c r="B96" s="864" t="s">
        <v>1972</v>
      </c>
      <c r="C96" s="951"/>
      <c r="D96" s="951"/>
    </row>
    <row r="97" spans="1:6" ht="72">
      <c r="B97" s="864" t="s">
        <v>1973</v>
      </c>
      <c r="C97" s="951"/>
      <c r="D97" s="951"/>
    </row>
    <row r="98" spans="1:6" ht="28.8">
      <c r="B98" s="864" t="s">
        <v>1969</v>
      </c>
      <c r="C98" s="951"/>
      <c r="D98" s="951"/>
      <c r="E98" s="877"/>
      <c r="F98" s="877"/>
    </row>
    <row r="99" spans="1:6" ht="57.6">
      <c r="B99" s="858" t="s">
        <v>1966</v>
      </c>
      <c r="C99" s="882" t="s">
        <v>31</v>
      </c>
      <c r="D99" s="882">
        <v>1</v>
      </c>
      <c r="E99" s="877">
        <v>1500</v>
      </c>
      <c r="F99" s="934">
        <f>E99*D99</f>
        <v>1500</v>
      </c>
    </row>
    <row r="100" spans="1:6">
      <c r="B100" s="864"/>
      <c r="C100" s="951"/>
      <c r="D100" s="951" t="s">
        <v>1246</v>
      </c>
    </row>
    <row r="101" spans="1:6">
      <c r="A101" s="932">
        <v>6</v>
      </c>
      <c r="B101" s="858" t="s">
        <v>1928</v>
      </c>
      <c r="C101" s="874"/>
      <c r="D101" s="874" t="s">
        <v>1246</v>
      </c>
      <c r="E101" s="933"/>
      <c r="F101" s="933"/>
    </row>
    <row r="102" spans="1:6" ht="100.8">
      <c r="B102" s="864" t="s">
        <v>1974</v>
      </c>
      <c r="C102" s="951"/>
      <c r="D102" s="951"/>
    </row>
    <row r="103" spans="1:6" ht="86.4">
      <c r="B103" s="864" t="s">
        <v>1975</v>
      </c>
      <c r="C103" s="951"/>
      <c r="D103" s="951"/>
    </row>
    <row r="104" spans="1:6" ht="43.2">
      <c r="B104" s="864" t="s">
        <v>1976</v>
      </c>
      <c r="C104" s="951"/>
      <c r="D104" s="951"/>
    </row>
    <row r="105" spans="1:6" ht="57.6">
      <c r="B105" s="858" t="s">
        <v>1966</v>
      </c>
      <c r="C105" s="882"/>
      <c r="D105" s="882"/>
      <c r="E105" s="877"/>
      <c r="F105" s="934"/>
    </row>
    <row r="106" spans="1:6">
      <c r="A106" s="932" t="s">
        <v>848</v>
      </c>
      <c r="B106" s="864" t="s">
        <v>1977</v>
      </c>
      <c r="C106" s="882" t="s">
        <v>31</v>
      </c>
      <c r="D106" s="882">
        <v>1</v>
      </c>
      <c r="E106" s="877">
        <v>100</v>
      </c>
      <c r="F106" s="934">
        <f>E106*D106</f>
        <v>100</v>
      </c>
    </row>
    <row r="107" spans="1:6">
      <c r="A107" s="932" t="s">
        <v>1978</v>
      </c>
      <c r="B107" s="864" t="s">
        <v>1979</v>
      </c>
      <c r="C107" s="882" t="s">
        <v>31</v>
      </c>
      <c r="D107" s="882">
        <v>1</v>
      </c>
      <c r="E107" s="877">
        <v>200</v>
      </c>
      <c r="F107" s="934">
        <f>E107*D107</f>
        <v>200</v>
      </c>
    </row>
    <row r="108" spans="1:6">
      <c r="B108" s="864"/>
      <c r="C108" s="951"/>
      <c r="D108" s="951" t="s">
        <v>1246</v>
      </c>
    </row>
    <row r="109" spans="1:6" ht="72">
      <c r="A109" s="932">
        <v>7</v>
      </c>
      <c r="B109" s="858" t="s">
        <v>1980</v>
      </c>
      <c r="C109" s="874"/>
      <c r="D109" s="874" t="s">
        <v>1246</v>
      </c>
      <c r="E109" s="933"/>
      <c r="F109" s="933"/>
    </row>
    <row r="110" spans="1:6">
      <c r="B110" s="858"/>
      <c r="C110" s="878" t="s">
        <v>213</v>
      </c>
      <c r="D110" s="878">
        <v>1</v>
      </c>
      <c r="E110" s="934">
        <v>2000</v>
      </c>
      <c r="F110" s="934">
        <f>E110*D110</f>
        <v>2000</v>
      </c>
    </row>
    <row r="111" spans="1:6">
      <c r="B111" s="864"/>
      <c r="C111" s="951"/>
      <c r="D111" s="951" t="s">
        <v>1246</v>
      </c>
    </row>
    <row r="112" spans="1:6" ht="100.8">
      <c r="A112" s="932">
        <v>8</v>
      </c>
      <c r="B112" s="858" t="s">
        <v>1981</v>
      </c>
      <c r="C112" s="951"/>
      <c r="D112" s="951" t="s">
        <v>1246</v>
      </c>
    </row>
    <row r="113" spans="1:6" ht="28.8">
      <c r="B113" s="858" t="s">
        <v>1982</v>
      </c>
      <c r="C113" s="951"/>
      <c r="D113" s="951"/>
    </row>
    <row r="114" spans="1:6">
      <c r="B114" s="858" t="s">
        <v>1983</v>
      </c>
      <c r="C114" s="951"/>
      <c r="D114" s="951"/>
    </row>
    <row r="115" spans="1:6">
      <c r="B115" s="858" t="s">
        <v>1984</v>
      </c>
      <c r="C115" s="951"/>
      <c r="D115" s="951"/>
    </row>
    <row r="116" spans="1:6">
      <c r="B116" s="858" t="s">
        <v>1985</v>
      </c>
      <c r="C116" s="951"/>
      <c r="D116" s="951"/>
    </row>
    <row r="117" spans="1:6" ht="28.8">
      <c r="B117" s="864" t="s">
        <v>1986</v>
      </c>
      <c r="C117" s="882" t="s">
        <v>213</v>
      </c>
      <c r="D117" s="882">
        <v>1</v>
      </c>
      <c r="E117" s="877">
        <v>1200</v>
      </c>
      <c r="F117" s="934">
        <f>E117*D117</f>
        <v>1200</v>
      </c>
    </row>
    <row r="118" spans="1:6">
      <c r="B118" s="864"/>
      <c r="C118" s="882"/>
      <c r="D118" s="882"/>
      <c r="E118" s="877"/>
      <c r="F118" s="934"/>
    </row>
    <row r="119" spans="1:6" ht="86.4">
      <c r="A119" s="932">
        <v>9</v>
      </c>
      <c r="B119" s="858" t="s">
        <v>1987</v>
      </c>
      <c r="C119" s="951"/>
      <c r="D119" s="951" t="s">
        <v>1246</v>
      </c>
    </row>
    <row r="120" spans="1:6" ht="28.8">
      <c r="B120" s="864" t="s">
        <v>1986</v>
      </c>
      <c r="C120" s="951"/>
      <c r="D120" s="951"/>
    </row>
    <row r="121" spans="1:6">
      <c r="B121" s="881" t="s">
        <v>1988</v>
      </c>
      <c r="C121" s="882" t="s">
        <v>213</v>
      </c>
      <c r="D121" s="882">
        <v>1</v>
      </c>
      <c r="E121" s="877">
        <v>200</v>
      </c>
      <c r="F121" s="934">
        <f>E121*D121</f>
        <v>200</v>
      </c>
    </row>
    <row r="122" spans="1:6">
      <c r="B122" s="864"/>
      <c r="C122" s="882"/>
      <c r="D122" s="882"/>
      <c r="E122" s="877"/>
      <c r="F122" s="877"/>
    </row>
    <row r="123" spans="1:6" ht="100.8">
      <c r="A123" s="932">
        <v>10</v>
      </c>
      <c r="B123" s="858" t="s">
        <v>1989</v>
      </c>
      <c r="C123" s="951"/>
      <c r="D123" s="951" t="s">
        <v>1246</v>
      </c>
    </row>
    <row r="124" spans="1:6" ht="28.8">
      <c r="B124" s="858" t="s">
        <v>1982</v>
      </c>
      <c r="C124" s="951"/>
      <c r="D124" s="951"/>
    </row>
    <row r="125" spans="1:6">
      <c r="B125" s="858" t="s">
        <v>1983</v>
      </c>
      <c r="C125" s="951"/>
      <c r="D125" s="951"/>
    </row>
    <row r="126" spans="1:6">
      <c r="B126" s="858" t="s">
        <v>1984</v>
      </c>
      <c r="C126" s="951"/>
      <c r="D126" s="951"/>
    </row>
    <row r="127" spans="1:6">
      <c r="B127" s="858" t="s">
        <v>1985</v>
      </c>
      <c r="C127" s="951"/>
      <c r="D127" s="951"/>
    </row>
    <row r="128" spans="1:6" ht="28.8">
      <c r="B128" s="864" t="s">
        <v>1986</v>
      </c>
      <c r="C128" s="882" t="s">
        <v>213</v>
      </c>
      <c r="D128" s="882">
        <v>1</v>
      </c>
      <c r="E128" s="877">
        <v>1200</v>
      </c>
      <c r="F128" s="934">
        <f>E128*D128</f>
        <v>1200</v>
      </c>
    </row>
    <row r="129" spans="1:6">
      <c r="B129" s="864"/>
      <c r="C129" s="882"/>
      <c r="D129" s="882"/>
      <c r="E129" s="877"/>
      <c r="F129" s="934"/>
    </row>
    <row r="130" spans="1:6" ht="86.4">
      <c r="A130" s="932">
        <v>11</v>
      </c>
      <c r="B130" s="858" t="s">
        <v>1990</v>
      </c>
      <c r="C130" s="951"/>
      <c r="D130" s="951" t="s">
        <v>1246</v>
      </c>
    </row>
    <row r="131" spans="1:6" ht="28.8">
      <c r="B131" s="864" t="s">
        <v>1986</v>
      </c>
      <c r="C131" s="951"/>
      <c r="D131" s="951"/>
    </row>
    <row r="132" spans="1:6">
      <c r="B132" s="881" t="s">
        <v>1988</v>
      </c>
      <c r="C132" s="882" t="s">
        <v>213</v>
      </c>
      <c r="D132" s="882">
        <v>1</v>
      </c>
      <c r="E132" s="877">
        <v>200</v>
      </c>
      <c r="F132" s="934">
        <f>E132*D132</f>
        <v>200</v>
      </c>
    </row>
    <row r="133" spans="1:6">
      <c r="B133" s="864"/>
      <c r="C133" s="882"/>
      <c r="D133" s="882"/>
      <c r="E133" s="877"/>
      <c r="F133" s="877"/>
    </row>
    <row r="134" spans="1:6">
      <c r="A134" s="932">
        <v>12</v>
      </c>
      <c r="B134" s="858" t="s">
        <v>1928</v>
      </c>
      <c r="C134" s="951"/>
      <c r="D134" s="951" t="s">
        <v>1246</v>
      </c>
    </row>
    <row r="135" spans="1:6" ht="187.2">
      <c r="B135" s="858" t="s">
        <v>1991</v>
      </c>
      <c r="C135" s="951"/>
      <c r="D135" s="951"/>
    </row>
    <row r="136" spans="1:6" ht="43.2">
      <c r="B136" s="858" t="s">
        <v>1992</v>
      </c>
      <c r="C136" s="951"/>
      <c r="D136" s="951"/>
    </row>
    <row r="137" spans="1:6">
      <c r="B137" s="864"/>
      <c r="C137" s="882" t="s">
        <v>31</v>
      </c>
      <c r="D137" s="882">
        <v>1</v>
      </c>
      <c r="E137" s="877">
        <v>10000</v>
      </c>
      <c r="F137" s="934">
        <f>E137*D137</f>
        <v>10000</v>
      </c>
    </row>
    <row r="138" spans="1:6">
      <c r="B138" s="864"/>
      <c r="C138" s="951"/>
      <c r="D138" s="951" t="s">
        <v>1246</v>
      </c>
    </row>
    <row r="139" spans="1:6" ht="115.2">
      <c r="A139" s="932">
        <v>13</v>
      </c>
      <c r="B139" s="864" t="s">
        <v>1993</v>
      </c>
      <c r="C139" s="951"/>
      <c r="D139" s="951" t="s">
        <v>1246</v>
      </c>
    </row>
    <row r="140" spans="1:6" ht="28.8">
      <c r="B140" s="864" t="s">
        <v>1986</v>
      </c>
      <c r="C140" s="951"/>
      <c r="D140" s="951"/>
    </row>
    <row r="141" spans="1:6" ht="72">
      <c r="A141" s="932" t="s">
        <v>848</v>
      </c>
      <c r="B141" s="935" t="s">
        <v>1994</v>
      </c>
      <c r="C141" s="882" t="s">
        <v>31</v>
      </c>
      <c r="D141" s="882">
        <v>1</v>
      </c>
      <c r="E141" s="877">
        <v>5000</v>
      </c>
      <c r="F141" s="934">
        <f t="shared" ref="F141:F144" si="0">E141*D141</f>
        <v>5000</v>
      </c>
    </row>
    <row r="142" spans="1:6" ht="72">
      <c r="A142" s="932" t="s">
        <v>1978</v>
      </c>
      <c r="B142" s="935" t="s">
        <v>1995</v>
      </c>
      <c r="C142" s="882" t="s">
        <v>31</v>
      </c>
      <c r="D142" s="882">
        <v>1</v>
      </c>
      <c r="E142" s="877">
        <v>5000</v>
      </c>
      <c r="F142" s="934">
        <f t="shared" si="0"/>
        <v>5000</v>
      </c>
    </row>
    <row r="143" spans="1:6" ht="72">
      <c r="A143" s="932" t="s">
        <v>1996</v>
      </c>
      <c r="B143" s="935" t="s">
        <v>1997</v>
      </c>
      <c r="C143" s="882" t="s">
        <v>31</v>
      </c>
      <c r="D143" s="882">
        <v>1</v>
      </c>
      <c r="E143" s="877">
        <v>4000</v>
      </c>
      <c r="F143" s="934">
        <f t="shared" si="0"/>
        <v>4000</v>
      </c>
    </row>
    <row r="144" spans="1:6" ht="72">
      <c r="A144" s="932" t="s">
        <v>1998</v>
      </c>
      <c r="B144" s="935" t="s">
        <v>1999</v>
      </c>
      <c r="C144" s="882" t="s">
        <v>31</v>
      </c>
      <c r="D144" s="882">
        <v>1</v>
      </c>
      <c r="E144" s="877">
        <v>4000</v>
      </c>
      <c r="F144" s="934">
        <f t="shared" si="0"/>
        <v>4000</v>
      </c>
    </row>
    <row r="145" spans="1:6">
      <c r="B145" s="864"/>
      <c r="C145" s="951"/>
      <c r="D145" s="951"/>
    </row>
    <row r="146" spans="1:6" ht="201.6">
      <c r="A146" s="932">
        <v>14</v>
      </c>
      <c r="B146" s="858" t="s">
        <v>2000</v>
      </c>
      <c r="C146" s="951"/>
      <c r="D146" s="951" t="s">
        <v>1246</v>
      </c>
    </row>
    <row r="147" spans="1:6">
      <c r="B147" s="864"/>
      <c r="C147" s="882" t="s">
        <v>213</v>
      </c>
      <c r="D147" s="882">
        <v>1</v>
      </c>
      <c r="E147" s="877">
        <v>1000</v>
      </c>
      <c r="F147" s="934">
        <f>E147*D147</f>
        <v>1000</v>
      </c>
    </row>
    <row r="148" spans="1:6">
      <c r="B148" s="864"/>
      <c r="C148" s="951"/>
      <c r="D148" s="951" t="s">
        <v>1246</v>
      </c>
    </row>
    <row r="149" spans="1:6">
      <c r="A149" s="932">
        <v>15</v>
      </c>
      <c r="B149" s="858" t="s">
        <v>1928</v>
      </c>
      <c r="C149" s="951"/>
      <c r="D149" s="951" t="s">
        <v>1246</v>
      </c>
    </row>
    <row r="150" spans="1:6" ht="57.6">
      <c r="B150" s="858" t="s">
        <v>2001</v>
      </c>
      <c r="C150" s="951"/>
      <c r="D150" s="951"/>
    </row>
    <row r="151" spans="1:6" ht="57.6">
      <c r="B151" s="858" t="s">
        <v>1966</v>
      </c>
      <c r="C151" s="951"/>
      <c r="D151" s="951"/>
    </row>
    <row r="152" spans="1:6">
      <c r="B152" s="864"/>
      <c r="C152" s="882" t="s">
        <v>213</v>
      </c>
      <c r="D152" s="882">
        <v>1</v>
      </c>
      <c r="E152" s="877">
        <v>100</v>
      </c>
      <c r="F152" s="934">
        <f>E152*D152</f>
        <v>100</v>
      </c>
    </row>
    <row r="153" spans="1:6">
      <c r="B153" s="864"/>
      <c r="C153" s="951"/>
      <c r="D153" s="951" t="s">
        <v>1246</v>
      </c>
    </row>
    <row r="154" spans="1:6">
      <c r="A154" s="932">
        <v>16</v>
      </c>
      <c r="B154" s="858" t="s">
        <v>1928</v>
      </c>
      <c r="C154" s="951"/>
      <c r="D154" s="951" t="s">
        <v>1246</v>
      </c>
    </row>
    <row r="155" spans="1:6" ht="28.8">
      <c r="B155" s="858" t="s">
        <v>2002</v>
      </c>
      <c r="C155" s="951"/>
      <c r="D155" s="951"/>
    </row>
    <row r="156" spans="1:6" ht="57.6">
      <c r="B156" s="858" t="s">
        <v>1966</v>
      </c>
      <c r="C156" s="951"/>
      <c r="D156" s="951"/>
    </row>
    <row r="157" spans="1:6">
      <c r="B157" s="864" t="s">
        <v>2003</v>
      </c>
      <c r="C157" s="882" t="s">
        <v>31</v>
      </c>
      <c r="D157" s="882">
        <v>2</v>
      </c>
      <c r="E157" s="877">
        <v>100</v>
      </c>
      <c r="F157" s="934">
        <f>E157*D157</f>
        <v>200</v>
      </c>
    </row>
    <row r="158" spans="1:6">
      <c r="B158" s="864"/>
      <c r="C158" s="951"/>
      <c r="D158" s="951" t="s">
        <v>1246</v>
      </c>
    </row>
    <row r="159" spans="1:6">
      <c r="A159" s="932">
        <v>17</v>
      </c>
      <c r="B159" s="858" t="s">
        <v>1928</v>
      </c>
      <c r="C159" s="874"/>
      <c r="D159" s="874" t="s">
        <v>1246</v>
      </c>
      <c r="E159" s="933"/>
      <c r="F159" s="933"/>
    </row>
    <row r="160" spans="1:6" ht="86.4">
      <c r="B160" s="864" t="s">
        <v>2004</v>
      </c>
      <c r="C160" s="951"/>
      <c r="D160" s="951"/>
    </row>
    <row r="161" spans="1:6" ht="129.6">
      <c r="B161" s="864" t="s">
        <v>2005</v>
      </c>
      <c r="C161" s="951"/>
      <c r="D161" s="951"/>
    </row>
    <row r="162" spans="1:6">
      <c r="B162" s="951" t="s">
        <v>2006</v>
      </c>
      <c r="C162" s="882"/>
      <c r="D162" s="882"/>
      <c r="E162" s="877"/>
      <c r="F162" s="934"/>
    </row>
    <row r="163" spans="1:6" ht="28.8">
      <c r="B163" s="858" t="s">
        <v>2007</v>
      </c>
      <c r="C163" s="882" t="s">
        <v>31</v>
      </c>
      <c r="D163" s="882">
        <v>2</v>
      </c>
      <c r="E163" s="877">
        <v>2500</v>
      </c>
      <c r="F163" s="934">
        <f>E163*D163</f>
        <v>5000</v>
      </c>
    </row>
    <row r="164" spans="1:6">
      <c r="B164" s="864"/>
      <c r="C164" s="951"/>
      <c r="D164" s="951" t="s">
        <v>1246</v>
      </c>
    </row>
    <row r="165" spans="1:6">
      <c r="A165" s="932">
        <v>18</v>
      </c>
      <c r="B165" s="858" t="s">
        <v>1928</v>
      </c>
      <c r="C165" s="951"/>
      <c r="D165" s="951" t="s">
        <v>1246</v>
      </c>
    </row>
    <row r="166" spans="1:6" ht="43.2">
      <c r="B166" s="858" t="s">
        <v>2008</v>
      </c>
      <c r="C166" s="951"/>
      <c r="D166" s="951"/>
    </row>
    <row r="167" spans="1:6" ht="43.2">
      <c r="B167" s="858" t="s">
        <v>2009</v>
      </c>
      <c r="C167" s="951"/>
      <c r="D167" s="951"/>
    </row>
    <row r="168" spans="1:6" ht="86.4">
      <c r="B168" s="858" t="s">
        <v>2010</v>
      </c>
      <c r="C168" s="951"/>
      <c r="D168" s="951"/>
    </row>
    <row r="169" spans="1:6" ht="28.8">
      <c r="B169" s="858" t="s">
        <v>2011</v>
      </c>
      <c r="C169" s="951"/>
      <c r="D169" s="951"/>
    </row>
    <row r="170" spans="1:6">
      <c r="B170" s="864"/>
      <c r="C170" s="882" t="s">
        <v>31</v>
      </c>
      <c r="D170" s="882">
        <v>4</v>
      </c>
      <c r="E170" s="877">
        <v>500</v>
      </c>
      <c r="F170" s="934">
        <f>E170*D170</f>
        <v>2000</v>
      </c>
    </row>
    <row r="171" spans="1:6">
      <c r="B171" s="864"/>
      <c r="C171" s="951"/>
      <c r="D171" s="951" t="s">
        <v>1246</v>
      </c>
    </row>
    <row r="172" spans="1:6">
      <c r="A172" s="932">
        <v>19</v>
      </c>
      <c r="B172" s="858" t="s">
        <v>1928</v>
      </c>
      <c r="C172" s="951"/>
      <c r="D172" s="951" t="s">
        <v>1246</v>
      </c>
    </row>
    <row r="173" spans="1:6">
      <c r="B173" s="858" t="s">
        <v>2012</v>
      </c>
      <c r="C173" s="951"/>
      <c r="D173" s="951"/>
    </row>
    <row r="174" spans="1:6" ht="57.6">
      <c r="B174" s="858" t="s">
        <v>2013</v>
      </c>
      <c r="C174" s="951"/>
      <c r="D174" s="951"/>
    </row>
    <row r="175" spans="1:6" ht="57.6">
      <c r="B175" s="858" t="s">
        <v>2014</v>
      </c>
      <c r="C175" s="951"/>
      <c r="D175" s="951"/>
    </row>
    <row r="176" spans="1:6" ht="28.8">
      <c r="B176" s="858" t="s">
        <v>2011</v>
      </c>
      <c r="C176" s="951"/>
      <c r="D176" s="951"/>
    </row>
    <row r="177" spans="1:6">
      <c r="B177" s="864"/>
      <c r="C177" s="882" t="s">
        <v>31</v>
      </c>
      <c r="D177" s="882">
        <v>4</v>
      </c>
      <c r="E177" s="877">
        <v>200</v>
      </c>
      <c r="F177" s="934">
        <f>E177*D177</f>
        <v>800</v>
      </c>
    </row>
    <row r="178" spans="1:6">
      <c r="B178" s="864"/>
      <c r="C178" s="951"/>
      <c r="D178" s="951" t="s">
        <v>1246</v>
      </c>
    </row>
    <row r="179" spans="1:6">
      <c r="A179" s="932">
        <v>20</v>
      </c>
      <c r="B179" s="858" t="s">
        <v>1928</v>
      </c>
      <c r="C179" s="874"/>
      <c r="D179" s="874" t="s">
        <v>1246</v>
      </c>
      <c r="E179" s="933"/>
      <c r="F179" s="933"/>
    </row>
    <row r="180" spans="1:6" ht="216">
      <c r="B180" s="864" t="s">
        <v>2015</v>
      </c>
      <c r="C180" s="951"/>
      <c r="D180" s="951"/>
    </row>
    <row r="181" spans="1:6" ht="28.8">
      <c r="B181" s="864" t="s">
        <v>1986</v>
      </c>
      <c r="C181" s="951"/>
      <c r="D181" s="951"/>
    </row>
    <row r="182" spans="1:6">
      <c r="A182" s="932" t="s">
        <v>848</v>
      </c>
      <c r="B182" s="951" t="s">
        <v>2016</v>
      </c>
      <c r="C182" s="882" t="s">
        <v>31</v>
      </c>
      <c r="D182" s="882">
        <v>2</v>
      </c>
      <c r="E182" s="877">
        <v>300</v>
      </c>
      <c r="F182" s="934">
        <f>E182*D182</f>
        <v>600</v>
      </c>
    </row>
    <row r="183" spans="1:6">
      <c r="A183" s="932" t="s">
        <v>1978</v>
      </c>
      <c r="B183" s="951" t="s">
        <v>2017</v>
      </c>
      <c r="C183" s="882" t="s">
        <v>31</v>
      </c>
      <c r="D183" s="882">
        <v>3</v>
      </c>
      <c r="E183" s="877">
        <v>500</v>
      </c>
      <c r="F183" s="934">
        <f>E183*D183</f>
        <v>1500</v>
      </c>
    </row>
    <row r="184" spans="1:6">
      <c r="B184" s="864"/>
      <c r="C184" s="951"/>
      <c r="D184" s="951" t="s">
        <v>1246</v>
      </c>
    </row>
    <row r="185" spans="1:6" ht="57.6">
      <c r="A185" s="932">
        <v>21</v>
      </c>
      <c r="B185" s="864" t="s">
        <v>2018</v>
      </c>
      <c r="C185" s="951"/>
      <c r="D185" s="951" t="s">
        <v>1246</v>
      </c>
    </row>
    <row r="186" spans="1:6">
      <c r="B186" s="864" t="s">
        <v>2019</v>
      </c>
      <c r="C186" s="882" t="s">
        <v>31</v>
      </c>
      <c r="D186" s="882">
        <v>1</v>
      </c>
      <c r="E186" s="877">
        <v>500</v>
      </c>
      <c r="F186" s="934">
        <f>E186*D186</f>
        <v>500</v>
      </c>
    </row>
    <row r="187" spans="1:6">
      <c r="B187" s="864"/>
      <c r="C187" s="951"/>
      <c r="D187" s="882"/>
    </row>
    <row r="188" spans="1:6" ht="43.2">
      <c r="A188" s="932">
        <v>22</v>
      </c>
      <c r="B188" s="864" t="s">
        <v>2020</v>
      </c>
      <c r="C188" s="951"/>
      <c r="D188" s="951" t="s">
        <v>1246</v>
      </c>
    </row>
    <row r="189" spans="1:6">
      <c r="B189" s="864" t="s">
        <v>2021</v>
      </c>
      <c r="C189" s="882" t="s">
        <v>31</v>
      </c>
      <c r="D189" s="882">
        <v>1</v>
      </c>
      <c r="E189" s="877">
        <v>300</v>
      </c>
      <c r="F189" s="934">
        <f>E189*D189</f>
        <v>300</v>
      </c>
    </row>
    <row r="190" spans="1:6">
      <c r="B190" s="864"/>
      <c r="C190" s="882"/>
      <c r="D190" s="882"/>
      <c r="E190" s="877"/>
      <c r="F190" s="934"/>
    </row>
    <row r="191" spans="1:6" ht="43.2">
      <c r="A191" s="932">
        <v>23</v>
      </c>
      <c r="B191" s="864" t="s">
        <v>2022</v>
      </c>
      <c r="C191" s="951"/>
      <c r="D191" s="951" t="s">
        <v>1246</v>
      </c>
    </row>
    <row r="192" spans="1:6">
      <c r="B192" s="864" t="s">
        <v>2021</v>
      </c>
      <c r="C192" s="882" t="s">
        <v>31</v>
      </c>
      <c r="D192" s="882">
        <v>6</v>
      </c>
      <c r="E192" s="877">
        <v>50</v>
      </c>
      <c r="F192" s="934">
        <f>E192*D192</f>
        <v>300</v>
      </c>
    </row>
    <row r="193" spans="1:6">
      <c r="B193" s="864"/>
      <c r="C193" s="882"/>
      <c r="D193" s="882"/>
      <c r="E193" s="877"/>
      <c r="F193" s="877"/>
    </row>
    <row r="194" spans="1:6" ht="43.2">
      <c r="A194" s="932">
        <v>24</v>
      </c>
      <c r="B194" s="864" t="s">
        <v>2023</v>
      </c>
      <c r="C194" s="951"/>
      <c r="D194" s="951" t="s">
        <v>1246</v>
      </c>
    </row>
    <row r="195" spans="1:6">
      <c r="A195" s="932" t="s">
        <v>848</v>
      </c>
      <c r="B195" s="864" t="s">
        <v>2024</v>
      </c>
      <c r="C195" s="882" t="s">
        <v>31</v>
      </c>
      <c r="D195" s="882">
        <v>2</v>
      </c>
      <c r="E195" s="877">
        <v>80</v>
      </c>
      <c r="F195" s="934">
        <f>E195*D195</f>
        <v>160</v>
      </c>
    </row>
    <row r="196" spans="1:6">
      <c r="A196" s="932" t="s">
        <v>1978</v>
      </c>
      <c r="B196" s="864" t="s">
        <v>2025</v>
      </c>
      <c r="C196" s="882" t="s">
        <v>31</v>
      </c>
      <c r="D196" s="882">
        <v>3</v>
      </c>
      <c r="E196" s="877">
        <v>100</v>
      </c>
      <c r="F196" s="934">
        <f>E196*D196</f>
        <v>300</v>
      </c>
    </row>
    <row r="197" spans="1:6">
      <c r="A197" s="932" t="s">
        <v>1996</v>
      </c>
      <c r="B197" s="864" t="s">
        <v>2019</v>
      </c>
      <c r="C197" s="882" t="s">
        <v>31</v>
      </c>
      <c r="D197" s="882">
        <v>13</v>
      </c>
      <c r="E197" s="877">
        <v>150</v>
      </c>
      <c r="F197" s="934">
        <f>E197*D197</f>
        <v>1950</v>
      </c>
    </row>
    <row r="198" spans="1:6">
      <c r="B198" s="864"/>
      <c r="C198" s="951"/>
      <c r="D198" s="882"/>
    </row>
    <row r="199" spans="1:6" ht="43.2">
      <c r="A199" s="932">
        <v>25</v>
      </c>
      <c r="B199" s="864" t="s">
        <v>2026</v>
      </c>
      <c r="C199" s="951"/>
      <c r="D199" s="951" t="s">
        <v>1246</v>
      </c>
    </row>
    <row r="200" spans="1:6">
      <c r="B200" s="864" t="s">
        <v>2021</v>
      </c>
      <c r="C200" s="882" t="s">
        <v>31</v>
      </c>
      <c r="D200" s="882">
        <v>1</v>
      </c>
      <c r="E200" s="877">
        <v>50</v>
      </c>
      <c r="F200" s="934">
        <f>E200*D200</f>
        <v>50</v>
      </c>
    </row>
    <row r="201" spans="1:6">
      <c r="B201" s="864"/>
      <c r="C201" s="882"/>
      <c r="D201" s="882"/>
      <c r="E201" s="877"/>
      <c r="F201" s="877"/>
    </row>
    <row r="202" spans="1:6" ht="43.2">
      <c r="A202" s="932">
        <v>26</v>
      </c>
      <c r="B202" s="858" t="s">
        <v>2027</v>
      </c>
      <c r="C202" s="874"/>
      <c r="D202" s="874"/>
      <c r="E202" s="933"/>
      <c r="F202" s="933"/>
    </row>
    <row r="203" spans="1:6">
      <c r="A203" s="932" t="s">
        <v>848</v>
      </c>
      <c r="B203" s="864" t="s">
        <v>2024</v>
      </c>
      <c r="C203" s="882" t="s">
        <v>31</v>
      </c>
      <c r="D203" s="882">
        <v>1</v>
      </c>
      <c r="E203" s="877">
        <v>80</v>
      </c>
      <c r="F203" s="934">
        <f>E203*D203</f>
        <v>80</v>
      </c>
    </row>
    <row r="204" spans="1:6">
      <c r="A204" s="932" t="s">
        <v>1978</v>
      </c>
      <c r="B204" s="864" t="s">
        <v>2025</v>
      </c>
      <c r="C204" s="882" t="s">
        <v>31</v>
      </c>
      <c r="D204" s="882">
        <v>1</v>
      </c>
      <c r="E204" s="877">
        <v>100</v>
      </c>
      <c r="F204" s="934">
        <f>E204*D204</f>
        <v>100</v>
      </c>
    </row>
    <row r="205" spans="1:6">
      <c r="A205" s="932" t="s">
        <v>1996</v>
      </c>
      <c r="B205" s="864" t="s">
        <v>2019</v>
      </c>
      <c r="C205" s="882" t="s">
        <v>31</v>
      </c>
      <c r="D205" s="882">
        <v>3</v>
      </c>
      <c r="E205" s="877">
        <v>150</v>
      </c>
      <c r="F205" s="934">
        <f>E205*D205</f>
        <v>450</v>
      </c>
    </row>
    <row r="206" spans="1:6">
      <c r="B206" s="864"/>
      <c r="C206" s="951"/>
      <c r="D206" s="951"/>
    </row>
    <row r="207" spans="1:6" ht="86.4">
      <c r="A207" s="932">
        <v>27</v>
      </c>
      <c r="B207" s="858" t="s">
        <v>2028</v>
      </c>
      <c r="C207" s="874"/>
      <c r="D207" s="874"/>
      <c r="E207" s="933"/>
      <c r="F207" s="933"/>
    </row>
    <row r="208" spans="1:6">
      <c r="B208" s="864" t="s">
        <v>2024</v>
      </c>
      <c r="C208" s="882" t="s">
        <v>31</v>
      </c>
      <c r="D208" s="882">
        <v>1</v>
      </c>
      <c r="E208" s="877">
        <v>250</v>
      </c>
      <c r="F208" s="934">
        <f>E208*D208</f>
        <v>250</v>
      </c>
    </row>
    <row r="209" spans="1:6">
      <c r="B209" s="864"/>
      <c r="C209" s="951"/>
      <c r="D209" s="951"/>
    </row>
    <row r="210" spans="1:6" ht="43.2">
      <c r="A210" s="932">
        <v>28</v>
      </c>
      <c r="B210" s="858" t="s">
        <v>2029</v>
      </c>
      <c r="C210" s="874"/>
      <c r="D210" s="874"/>
      <c r="E210" s="933"/>
      <c r="F210" s="933"/>
    </row>
    <row r="211" spans="1:6">
      <c r="B211" s="864" t="s">
        <v>2019</v>
      </c>
      <c r="C211" s="882" t="s">
        <v>31</v>
      </c>
      <c r="D211" s="882">
        <v>7</v>
      </c>
      <c r="E211" s="877">
        <v>350</v>
      </c>
      <c r="F211" s="934">
        <f>E211*D211</f>
        <v>2450</v>
      </c>
    </row>
    <row r="212" spans="1:6">
      <c r="B212" s="864"/>
      <c r="C212" s="951"/>
      <c r="D212" s="951"/>
    </row>
    <row r="213" spans="1:6">
      <c r="A213" s="932">
        <v>29</v>
      </c>
      <c r="B213" s="864" t="s">
        <v>1928</v>
      </c>
      <c r="C213" s="882"/>
      <c r="D213" s="882"/>
      <c r="E213" s="877"/>
      <c r="F213" s="877"/>
    </row>
    <row r="214" spans="1:6" ht="187.2">
      <c r="B214" s="858" t="s">
        <v>2030</v>
      </c>
      <c r="C214" s="951"/>
      <c r="D214" s="951"/>
    </row>
    <row r="215" spans="1:6" ht="43.2">
      <c r="B215" s="921" t="s">
        <v>2031</v>
      </c>
      <c r="C215" s="951"/>
      <c r="D215" s="951"/>
    </row>
    <row r="216" spans="1:6" ht="28.8">
      <c r="B216" s="864" t="s">
        <v>1986</v>
      </c>
      <c r="C216" s="951"/>
      <c r="D216" s="951"/>
    </row>
    <row r="217" spans="1:6">
      <c r="A217" s="932" t="s">
        <v>848</v>
      </c>
      <c r="B217" s="864" t="s">
        <v>2032</v>
      </c>
      <c r="C217" s="882" t="s">
        <v>31</v>
      </c>
      <c r="D217" s="882">
        <v>1</v>
      </c>
      <c r="E217" s="877">
        <v>50</v>
      </c>
      <c r="F217" s="877">
        <f t="shared" ref="F217:F218" si="1">E217*D217</f>
        <v>50</v>
      </c>
    </row>
    <row r="218" spans="1:6">
      <c r="A218" s="932" t="s">
        <v>1978</v>
      </c>
      <c r="B218" s="864" t="s">
        <v>2033</v>
      </c>
      <c r="C218" s="882" t="s">
        <v>31</v>
      </c>
      <c r="D218" s="882">
        <v>1</v>
      </c>
      <c r="E218" s="877">
        <v>80</v>
      </c>
      <c r="F218" s="877">
        <f t="shared" si="1"/>
        <v>80</v>
      </c>
    </row>
    <row r="219" spans="1:6">
      <c r="B219" s="864"/>
      <c r="C219" s="951"/>
      <c r="D219" s="951" t="s">
        <v>1246</v>
      </c>
    </row>
    <row r="220" spans="1:6" ht="43.2">
      <c r="A220" s="932">
        <v>30</v>
      </c>
      <c r="B220" s="858" t="s">
        <v>2034</v>
      </c>
      <c r="C220" s="874"/>
      <c r="D220" s="874"/>
      <c r="E220" s="933"/>
      <c r="F220" s="933"/>
    </row>
    <row r="221" spans="1:6">
      <c r="B221" s="858" t="s">
        <v>2035</v>
      </c>
      <c r="C221" s="878" t="s">
        <v>31</v>
      </c>
      <c r="D221" s="878">
        <v>4</v>
      </c>
      <c r="E221" s="934">
        <v>50</v>
      </c>
      <c r="F221" s="934">
        <f>E221*D221</f>
        <v>200</v>
      </c>
    </row>
    <row r="222" spans="1:6">
      <c r="B222" s="864"/>
      <c r="C222" s="951"/>
      <c r="D222" s="951"/>
    </row>
    <row r="223" spans="1:6">
      <c r="A223" s="932">
        <v>31</v>
      </c>
      <c r="B223" s="864" t="s">
        <v>1928</v>
      </c>
      <c r="C223" s="951"/>
      <c r="D223" s="951"/>
    </row>
    <row r="224" spans="1:6" ht="28.8">
      <c r="B224" s="864" t="s">
        <v>2036</v>
      </c>
      <c r="C224" s="951"/>
      <c r="D224" s="951"/>
    </row>
    <row r="225" spans="1:6">
      <c r="B225" s="885" t="s">
        <v>2037</v>
      </c>
      <c r="C225" s="951"/>
      <c r="D225" s="951"/>
    </row>
    <row r="226" spans="1:6" ht="28.8">
      <c r="B226" s="864" t="s">
        <v>1986</v>
      </c>
      <c r="C226" s="878" t="s">
        <v>31</v>
      </c>
      <c r="D226" s="878">
        <v>12</v>
      </c>
      <c r="E226" s="934">
        <v>50</v>
      </c>
      <c r="F226" s="934">
        <f>E226*D226</f>
        <v>600</v>
      </c>
    </row>
    <row r="227" spans="1:6">
      <c r="B227" s="864"/>
      <c r="C227" s="951"/>
      <c r="D227" s="878"/>
    </row>
    <row r="228" spans="1:6">
      <c r="A228" s="932">
        <v>32</v>
      </c>
      <c r="B228" s="864" t="s">
        <v>1928</v>
      </c>
      <c r="C228" s="951"/>
      <c r="D228" s="951"/>
    </row>
    <row r="229" spans="1:6" ht="57.6">
      <c r="B229" s="864" t="s">
        <v>2038</v>
      </c>
      <c r="C229" s="951"/>
      <c r="D229" s="951"/>
    </row>
    <row r="230" spans="1:6">
      <c r="B230" s="885" t="s">
        <v>2039</v>
      </c>
      <c r="C230" s="951"/>
      <c r="D230" s="951"/>
    </row>
    <row r="231" spans="1:6" ht="28.8">
      <c r="B231" s="864" t="s">
        <v>1986</v>
      </c>
      <c r="C231" s="878" t="s">
        <v>31</v>
      </c>
      <c r="D231" s="878">
        <v>12</v>
      </c>
      <c r="E231" s="934">
        <v>50</v>
      </c>
      <c r="F231" s="934">
        <f>E231*D231</f>
        <v>600</v>
      </c>
    </row>
    <row r="232" spans="1:6">
      <c r="B232" s="864"/>
      <c r="C232" s="951"/>
      <c r="D232" s="878"/>
    </row>
    <row r="233" spans="1:6">
      <c r="A233" s="932">
        <v>33</v>
      </c>
      <c r="B233" s="864" t="s">
        <v>1928</v>
      </c>
      <c r="C233" s="951"/>
      <c r="D233" s="878" t="s">
        <v>1246</v>
      </c>
    </row>
    <row r="234" spans="1:6" ht="28.8">
      <c r="B234" s="864" t="s">
        <v>2040</v>
      </c>
      <c r="C234" s="951"/>
      <c r="D234" s="878" t="s">
        <v>1246</v>
      </c>
    </row>
    <row r="235" spans="1:6">
      <c r="B235" s="864"/>
      <c r="C235" s="878" t="s">
        <v>31</v>
      </c>
      <c r="D235" s="878">
        <v>10</v>
      </c>
      <c r="E235" s="934">
        <v>50</v>
      </c>
      <c r="F235" s="934">
        <f>E235*D235</f>
        <v>500</v>
      </c>
    </row>
    <row r="236" spans="1:6">
      <c r="B236" s="864"/>
      <c r="C236" s="951"/>
      <c r="D236" s="878"/>
    </row>
    <row r="237" spans="1:6">
      <c r="A237" s="932">
        <v>34</v>
      </c>
      <c r="B237" s="864" t="s">
        <v>1928</v>
      </c>
      <c r="C237" s="951"/>
      <c r="D237" s="878"/>
    </row>
    <row r="238" spans="1:6" ht="72">
      <c r="B238" s="858" t="s">
        <v>2041</v>
      </c>
      <c r="C238" s="951"/>
      <c r="D238" s="878"/>
    </row>
    <row r="239" spans="1:6" ht="28.8">
      <c r="B239" s="864" t="s">
        <v>1986</v>
      </c>
      <c r="C239" s="878" t="s">
        <v>31</v>
      </c>
      <c r="D239" s="878">
        <v>10</v>
      </c>
      <c r="E239" s="934">
        <v>100</v>
      </c>
      <c r="F239" s="934">
        <f t="shared" ref="F239" si="2">E239*D239</f>
        <v>1000</v>
      </c>
    </row>
    <row r="240" spans="1:6">
      <c r="B240" s="864"/>
      <c r="C240" s="951"/>
      <c r="D240" s="878"/>
    </row>
    <row r="241" spans="1:6">
      <c r="A241" s="879">
        <v>35</v>
      </c>
      <c r="B241" s="864" t="s">
        <v>1928</v>
      </c>
      <c r="C241" s="951"/>
      <c r="D241" s="951"/>
    </row>
    <row r="242" spans="1:6" ht="57.6">
      <c r="A242" s="879"/>
      <c r="B242" s="889" t="s">
        <v>2042</v>
      </c>
      <c r="C242" s="951"/>
      <c r="D242" s="882" t="s">
        <v>1246</v>
      </c>
    </row>
    <row r="243" spans="1:6">
      <c r="A243" s="932" t="s">
        <v>848</v>
      </c>
      <c r="B243" s="858" t="s">
        <v>2043</v>
      </c>
      <c r="C243" s="854" t="s">
        <v>214</v>
      </c>
      <c r="D243" s="882">
        <v>49</v>
      </c>
      <c r="E243" s="934">
        <v>30</v>
      </c>
      <c r="F243" s="934">
        <f t="shared" ref="F243:F247" si="3">E243*D243</f>
        <v>1470</v>
      </c>
    </row>
    <row r="244" spans="1:6">
      <c r="A244" s="932" t="s">
        <v>1978</v>
      </c>
      <c r="B244" s="858" t="s">
        <v>2044</v>
      </c>
      <c r="C244" s="854" t="s">
        <v>214</v>
      </c>
      <c r="D244" s="882">
        <v>52</v>
      </c>
      <c r="E244" s="934">
        <v>35</v>
      </c>
      <c r="F244" s="934">
        <f t="shared" si="3"/>
        <v>1820</v>
      </c>
    </row>
    <row r="245" spans="1:6">
      <c r="A245" s="879" t="s">
        <v>1996</v>
      </c>
      <c r="B245" s="858" t="s">
        <v>2045</v>
      </c>
      <c r="C245" s="854" t="s">
        <v>214</v>
      </c>
      <c r="D245" s="882">
        <v>24</v>
      </c>
      <c r="E245" s="934">
        <v>65</v>
      </c>
      <c r="F245" s="934">
        <f t="shared" si="3"/>
        <v>1560</v>
      </c>
    </row>
    <row r="246" spans="1:6">
      <c r="A246" s="879" t="s">
        <v>1998</v>
      </c>
      <c r="B246" s="858" t="s">
        <v>2046</v>
      </c>
      <c r="C246" s="854" t="s">
        <v>214</v>
      </c>
      <c r="D246" s="882">
        <v>14</v>
      </c>
      <c r="E246" s="934">
        <v>80</v>
      </c>
      <c r="F246" s="934">
        <f t="shared" si="3"/>
        <v>1120</v>
      </c>
    </row>
    <row r="247" spans="1:6">
      <c r="A247" s="879" t="s">
        <v>851</v>
      </c>
      <c r="B247" s="858" t="s">
        <v>2047</v>
      </c>
      <c r="C247" s="854" t="s">
        <v>214</v>
      </c>
      <c r="D247" s="882">
        <v>42</v>
      </c>
      <c r="E247" s="934">
        <v>100</v>
      </c>
      <c r="F247" s="934">
        <f t="shared" si="3"/>
        <v>4200</v>
      </c>
    </row>
    <row r="248" spans="1:6">
      <c r="A248" s="879"/>
      <c r="B248" s="864"/>
      <c r="C248" s="882"/>
      <c r="D248" s="882" t="s">
        <v>1246</v>
      </c>
      <c r="E248" s="877"/>
      <c r="F248" s="877"/>
    </row>
    <row r="249" spans="1:6" ht="144">
      <c r="A249" s="879">
        <v>36</v>
      </c>
      <c r="B249" s="864" t="s">
        <v>2048</v>
      </c>
      <c r="C249" s="951"/>
      <c r="D249" s="882" t="s">
        <v>1246</v>
      </c>
    </row>
    <row r="250" spans="1:6">
      <c r="A250" s="932" t="s">
        <v>848</v>
      </c>
      <c r="B250" s="858" t="s">
        <v>2043</v>
      </c>
      <c r="C250" s="854" t="s">
        <v>214</v>
      </c>
      <c r="D250" s="882">
        <v>49</v>
      </c>
      <c r="E250" s="934">
        <v>8</v>
      </c>
      <c r="F250" s="934">
        <f t="shared" ref="F250:F254" si="4">E250*D250</f>
        <v>392</v>
      </c>
    </row>
    <row r="251" spans="1:6">
      <c r="A251" s="932" t="s">
        <v>1978</v>
      </c>
      <c r="B251" s="858" t="s">
        <v>2044</v>
      </c>
      <c r="C251" s="854" t="s">
        <v>214</v>
      </c>
      <c r="D251" s="882">
        <v>52</v>
      </c>
      <c r="E251" s="934">
        <v>10</v>
      </c>
      <c r="F251" s="934">
        <f t="shared" si="4"/>
        <v>520</v>
      </c>
    </row>
    <row r="252" spans="1:6">
      <c r="A252" s="879" t="s">
        <v>1996</v>
      </c>
      <c r="B252" s="858" t="s">
        <v>2045</v>
      </c>
      <c r="C252" s="854" t="s">
        <v>214</v>
      </c>
      <c r="D252" s="882">
        <v>24</v>
      </c>
      <c r="E252" s="934">
        <v>12</v>
      </c>
      <c r="F252" s="934">
        <f t="shared" si="4"/>
        <v>288</v>
      </c>
    </row>
    <row r="253" spans="1:6">
      <c r="A253" s="879" t="s">
        <v>1998</v>
      </c>
      <c r="B253" s="858" t="s">
        <v>2046</v>
      </c>
      <c r="C253" s="854" t="s">
        <v>214</v>
      </c>
      <c r="D253" s="882">
        <v>14</v>
      </c>
      <c r="E253" s="934">
        <v>15</v>
      </c>
      <c r="F253" s="934">
        <f t="shared" si="4"/>
        <v>210</v>
      </c>
    </row>
    <row r="254" spans="1:6">
      <c r="A254" s="879" t="s">
        <v>851</v>
      </c>
      <c r="B254" s="858" t="s">
        <v>2047</v>
      </c>
      <c r="C254" s="854" t="s">
        <v>214</v>
      </c>
      <c r="D254" s="882">
        <v>42</v>
      </c>
      <c r="E254" s="934">
        <v>18</v>
      </c>
      <c r="F254" s="934">
        <f t="shared" si="4"/>
        <v>756</v>
      </c>
    </row>
    <row r="255" spans="1:6">
      <c r="A255" s="879"/>
      <c r="B255" s="864"/>
      <c r="C255" s="882"/>
      <c r="D255" s="882" t="s">
        <v>1246</v>
      </c>
      <c r="E255" s="877"/>
      <c r="F255" s="877"/>
    </row>
    <row r="256" spans="1:6" ht="43.2">
      <c r="A256" s="932">
        <v>37</v>
      </c>
      <c r="B256" s="911" t="s">
        <v>2049</v>
      </c>
      <c r="D256" s="854" t="s">
        <v>1246</v>
      </c>
      <c r="E256" s="908"/>
      <c r="F256" s="934"/>
    </row>
    <row r="257" spans="1:6">
      <c r="B257" s="890" t="s">
        <v>2003</v>
      </c>
      <c r="C257" s="882" t="s">
        <v>31</v>
      </c>
      <c r="D257" s="882">
        <v>12</v>
      </c>
      <c r="E257" s="908">
        <v>150</v>
      </c>
      <c r="F257" s="934">
        <f t="shared" ref="F257" si="5">E257*D257</f>
        <v>1800</v>
      </c>
    </row>
    <row r="258" spans="1:6">
      <c r="B258" s="911"/>
      <c r="E258" s="908"/>
      <c r="F258" s="934"/>
    </row>
    <row r="259" spans="1:6">
      <c r="A259" s="932">
        <v>38</v>
      </c>
      <c r="B259" s="864" t="s">
        <v>1928</v>
      </c>
      <c r="C259" s="951"/>
      <c r="D259" s="951"/>
    </row>
    <row r="260" spans="1:6" ht="43.2">
      <c r="B260" s="858" t="s">
        <v>2050</v>
      </c>
      <c r="C260" s="951"/>
      <c r="D260" s="951" t="s">
        <v>1246</v>
      </c>
    </row>
    <row r="261" spans="1:6">
      <c r="B261" s="858"/>
      <c r="C261" s="882" t="s">
        <v>53</v>
      </c>
      <c r="D261" s="882">
        <v>350</v>
      </c>
      <c r="E261" s="934">
        <v>7</v>
      </c>
      <c r="F261" s="934">
        <f t="shared" ref="F261" si="6">E261*D261</f>
        <v>2450</v>
      </c>
    </row>
    <row r="262" spans="1:6">
      <c r="B262" s="858"/>
      <c r="C262" s="882"/>
      <c r="D262" s="882"/>
      <c r="E262" s="877"/>
      <c r="F262" s="877"/>
    </row>
    <row r="263" spans="1:6" ht="43.2">
      <c r="A263" s="932">
        <v>39</v>
      </c>
      <c r="B263" s="864" t="s">
        <v>2051</v>
      </c>
      <c r="C263" s="882"/>
      <c r="D263" s="882" t="s">
        <v>1246</v>
      </c>
      <c r="E263" s="877"/>
      <c r="F263" s="877"/>
    </row>
    <row r="264" spans="1:6">
      <c r="A264" s="855"/>
      <c r="B264" s="864"/>
      <c r="C264" s="882" t="s">
        <v>213</v>
      </c>
      <c r="D264" s="882">
        <v>1</v>
      </c>
      <c r="E264" s="877">
        <v>250</v>
      </c>
      <c r="F264" s="934">
        <f t="shared" ref="F264" si="7">E264*D264</f>
        <v>250</v>
      </c>
    </row>
    <row r="265" spans="1:6">
      <c r="A265" s="855"/>
      <c r="B265" s="864"/>
      <c r="C265" s="882"/>
      <c r="D265" s="882" t="s">
        <v>1246</v>
      </c>
      <c r="E265" s="877"/>
      <c r="F265" s="877"/>
    </row>
    <row r="266" spans="1:6" ht="57.6">
      <c r="A266" s="932">
        <v>40</v>
      </c>
      <c r="B266" s="864" t="s">
        <v>2052</v>
      </c>
      <c r="C266" s="898"/>
      <c r="D266" s="878" t="s">
        <v>1246</v>
      </c>
      <c r="E266" s="877"/>
      <c r="F266" s="877"/>
    </row>
    <row r="267" spans="1:6">
      <c r="A267" s="855"/>
      <c r="B267" s="890"/>
      <c r="C267" s="882" t="s">
        <v>213</v>
      </c>
      <c r="D267" s="882">
        <v>1</v>
      </c>
      <c r="E267" s="877">
        <v>1500</v>
      </c>
      <c r="F267" s="934">
        <f t="shared" ref="F267" si="8">E267*D267</f>
        <v>1500</v>
      </c>
    </row>
    <row r="268" spans="1:6">
      <c r="A268" s="855"/>
      <c r="B268" s="864"/>
      <c r="C268" s="882"/>
      <c r="D268" s="882" t="s">
        <v>1246</v>
      </c>
      <c r="E268" s="877"/>
      <c r="F268" s="877"/>
    </row>
    <row r="269" spans="1:6">
      <c r="A269" s="891">
        <v>41</v>
      </c>
      <c r="B269" s="858" t="s">
        <v>1928</v>
      </c>
      <c r="C269" s="951"/>
      <c r="D269" s="951" t="s">
        <v>1246</v>
      </c>
      <c r="E269" s="866"/>
    </row>
    <row r="270" spans="1:6" ht="129.6">
      <c r="A270" s="891"/>
      <c r="B270" s="858" t="s">
        <v>2053</v>
      </c>
      <c r="C270" s="951"/>
      <c r="D270" s="951"/>
      <c r="E270" s="866"/>
    </row>
    <row r="271" spans="1:6" ht="273.60000000000002">
      <c r="A271" s="891"/>
      <c r="B271" s="858" t="s">
        <v>2054</v>
      </c>
      <c r="C271" s="951"/>
      <c r="D271" s="951"/>
      <c r="E271" s="866"/>
    </row>
    <row r="272" spans="1:6" ht="230.4">
      <c r="A272" s="891"/>
      <c r="B272" s="858" t="s">
        <v>2055</v>
      </c>
      <c r="C272" s="951"/>
      <c r="D272" s="951"/>
      <c r="E272" s="866"/>
    </row>
    <row r="273" spans="1:6" ht="129.6">
      <c r="A273" s="891"/>
      <c r="B273" s="858" t="s">
        <v>2056</v>
      </c>
      <c r="C273" s="951"/>
      <c r="D273" s="951"/>
      <c r="E273" s="866"/>
    </row>
    <row r="274" spans="1:6" ht="86.4">
      <c r="A274" s="891"/>
      <c r="B274" s="858" t="s">
        <v>2057</v>
      </c>
      <c r="C274" s="951"/>
      <c r="D274" s="951"/>
      <c r="E274" s="866"/>
    </row>
    <row r="275" spans="1:6" ht="100.8">
      <c r="A275" s="891"/>
      <c r="B275" s="858" t="s">
        <v>2058</v>
      </c>
      <c r="C275" s="951"/>
      <c r="D275" s="951"/>
      <c r="E275" s="866"/>
    </row>
    <row r="276" spans="1:6" ht="86.4">
      <c r="A276" s="891"/>
      <c r="B276" s="858" t="s">
        <v>2059</v>
      </c>
      <c r="C276" s="951"/>
      <c r="D276" s="951"/>
      <c r="E276" s="866"/>
    </row>
    <row r="277" spans="1:6" ht="28.8">
      <c r="A277" s="891"/>
      <c r="B277" s="858" t="s">
        <v>2011</v>
      </c>
      <c r="C277" s="951"/>
      <c r="D277" s="951"/>
      <c r="E277" s="866"/>
    </row>
    <row r="278" spans="1:6">
      <c r="A278" s="891"/>
      <c r="B278" s="864"/>
      <c r="C278" s="882" t="s">
        <v>213</v>
      </c>
      <c r="D278" s="882">
        <v>1</v>
      </c>
      <c r="E278" s="887">
        <v>15000</v>
      </c>
      <c r="F278" s="934">
        <f>E278*D278</f>
        <v>15000</v>
      </c>
    </row>
    <row r="279" spans="1:6">
      <c r="A279" s="891"/>
      <c r="B279" s="864"/>
      <c r="C279" s="951"/>
      <c r="D279" s="951" t="s">
        <v>1246</v>
      </c>
      <c r="E279" s="866"/>
    </row>
    <row r="280" spans="1:6" ht="216">
      <c r="A280" s="932">
        <v>42</v>
      </c>
      <c r="B280" s="858" t="s">
        <v>2060</v>
      </c>
      <c r="C280" s="951"/>
      <c r="D280" s="951" t="s">
        <v>1246</v>
      </c>
    </row>
    <row r="281" spans="1:6">
      <c r="B281" s="864"/>
      <c r="C281" s="882" t="s">
        <v>213</v>
      </c>
      <c r="D281" s="882">
        <v>1</v>
      </c>
      <c r="E281" s="877">
        <v>1500</v>
      </c>
      <c r="F281" s="934">
        <f t="shared" ref="F281" si="9">E281*D281</f>
        <v>1500</v>
      </c>
    </row>
    <row r="282" spans="1:6">
      <c r="B282" s="864"/>
      <c r="C282" s="951"/>
      <c r="D282" s="951" t="s">
        <v>1246</v>
      </c>
    </row>
    <row r="283" spans="1:6" ht="244.8">
      <c r="A283" s="932">
        <v>43</v>
      </c>
      <c r="B283" s="858" t="s">
        <v>2061</v>
      </c>
      <c r="C283" s="951"/>
      <c r="D283" s="951" t="s">
        <v>1246</v>
      </c>
    </row>
    <row r="284" spans="1:6">
      <c r="B284" s="864"/>
      <c r="C284" s="882" t="s">
        <v>213</v>
      </c>
      <c r="D284" s="882">
        <v>1</v>
      </c>
      <c r="E284" s="877">
        <v>1500</v>
      </c>
      <c r="F284" s="934">
        <f t="shared" ref="F284" si="10">E284*D284</f>
        <v>1500</v>
      </c>
    </row>
    <row r="285" spans="1:6">
      <c r="B285" s="864"/>
      <c r="C285" s="951"/>
      <c r="D285" s="951" t="s">
        <v>1246</v>
      </c>
    </row>
    <row r="286" spans="1:6" ht="201.6">
      <c r="A286" s="932">
        <v>44</v>
      </c>
      <c r="B286" s="858" t="s">
        <v>2062</v>
      </c>
      <c r="C286" s="951"/>
      <c r="D286" s="951" t="s">
        <v>1246</v>
      </c>
    </row>
    <row r="287" spans="1:6">
      <c r="B287" s="864"/>
      <c r="C287" s="882" t="s">
        <v>213</v>
      </c>
      <c r="D287" s="882">
        <v>1</v>
      </c>
      <c r="E287" s="877">
        <v>250</v>
      </c>
      <c r="F287" s="934">
        <f t="shared" ref="F287" si="11">E287*D287</f>
        <v>250</v>
      </c>
    </row>
    <row r="288" spans="1:6">
      <c r="B288" s="864"/>
      <c r="C288" s="951"/>
      <c r="D288" s="951" t="s">
        <v>1246</v>
      </c>
    </row>
    <row r="289" spans="1:6" ht="144">
      <c r="A289" s="932">
        <v>45</v>
      </c>
      <c r="B289" s="858" t="s">
        <v>2063</v>
      </c>
      <c r="C289" s="951"/>
      <c r="D289" s="951" t="s">
        <v>1246</v>
      </c>
    </row>
    <row r="290" spans="1:6">
      <c r="B290" s="864"/>
      <c r="C290" s="882" t="s">
        <v>213</v>
      </c>
      <c r="D290" s="882">
        <v>1</v>
      </c>
      <c r="E290" s="877">
        <v>250</v>
      </c>
      <c r="F290" s="934">
        <f t="shared" ref="F290" si="12">E290*D290</f>
        <v>250</v>
      </c>
    </row>
    <row r="291" spans="1:6">
      <c r="B291" s="864"/>
      <c r="C291" s="951"/>
      <c r="D291" s="951" t="s">
        <v>1246</v>
      </c>
      <c r="E291" s="877"/>
      <c r="F291" s="934"/>
    </row>
    <row r="292" spans="1:6" ht="57.6">
      <c r="A292" s="932">
        <v>46</v>
      </c>
      <c r="B292" s="858" t="s">
        <v>2064</v>
      </c>
      <c r="C292" s="951"/>
      <c r="D292" s="878" t="s">
        <v>1246</v>
      </c>
      <c r="E292" s="877"/>
      <c r="F292" s="934"/>
    </row>
    <row r="293" spans="1:6">
      <c r="A293" s="855"/>
      <c r="B293" s="864"/>
      <c r="C293" s="882" t="s">
        <v>2065</v>
      </c>
      <c r="D293" s="878">
        <v>1500</v>
      </c>
      <c r="E293" s="877">
        <v>3</v>
      </c>
      <c r="F293" s="934">
        <f t="shared" ref="F293" si="13">E293*D293</f>
        <v>4500</v>
      </c>
    </row>
    <row r="294" spans="1:6">
      <c r="B294" s="930"/>
      <c r="C294" s="930"/>
      <c r="D294" s="873"/>
      <c r="E294" s="877"/>
      <c r="F294" s="934"/>
    </row>
    <row r="295" spans="1:6">
      <c r="A295" s="932" t="s">
        <v>1283</v>
      </c>
      <c r="B295" s="869" t="s">
        <v>38</v>
      </c>
      <c r="C295" s="907"/>
      <c r="D295" s="897" t="s">
        <v>1246</v>
      </c>
      <c r="E295" s="848"/>
      <c r="F295" s="929">
        <f>SUM(F41:F294)</f>
        <v>163456</v>
      </c>
    </row>
    <row r="296" spans="1:6">
      <c r="B296" s="871"/>
      <c r="C296" s="930"/>
      <c r="D296" s="873"/>
      <c r="E296" s="934"/>
      <c r="F296" s="877"/>
    </row>
    <row r="297" spans="1:6" ht="20.399999999999999">
      <c r="A297" s="888"/>
      <c r="B297" s="860" t="s">
        <v>1234</v>
      </c>
      <c r="C297" s="859" t="s">
        <v>1235</v>
      </c>
      <c r="D297" s="859" t="s">
        <v>1236</v>
      </c>
      <c r="E297" s="875" t="s">
        <v>1500</v>
      </c>
      <c r="F297" s="868" t="s">
        <v>1926</v>
      </c>
    </row>
    <row r="298" spans="1:6">
      <c r="A298" s="891"/>
      <c r="B298" s="937"/>
      <c r="C298" s="936"/>
      <c r="D298" s="936"/>
      <c r="E298" s="877"/>
      <c r="F298" s="877"/>
    </row>
    <row r="299" spans="1:6">
      <c r="A299" s="906" t="s">
        <v>1358</v>
      </c>
      <c r="B299" s="931" t="s">
        <v>2066</v>
      </c>
      <c r="C299" s="905"/>
      <c r="D299" s="905"/>
      <c r="E299" s="909"/>
      <c r="F299" s="909"/>
    </row>
    <row r="300" spans="1:6">
      <c r="A300" s="891"/>
      <c r="B300" s="864"/>
      <c r="C300" s="882"/>
      <c r="D300" s="882" t="s">
        <v>1246</v>
      </c>
      <c r="E300" s="877"/>
      <c r="F300" s="877"/>
    </row>
    <row r="301" spans="1:6">
      <c r="A301" s="891">
        <v>1</v>
      </c>
      <c r="B301" s="864" t="s">
        <v>1928</v>
      </c>
      <c r="C301" s="878"/>
      <c r="D301" s="882" t="s">
        <v>1246</v>
      </c>
      <c r="E301" s="934"/>
      <c r="F301" s="934"/>
    </row>
    <row r="302" spans="1:6">
      <c r="A302" s="891"/>
      <c r="B302" s="937" t="s">
        <v>2067</v>
      </c>
      <c r="C302" s="878"/>
      <c r="D302" s="882"/>
      <c r="E302" s="934"/>
      <c r="F302" s="934"/>
    </row>
    <row r="303" spans="1:6">
      <c r="A303" s="891"/>
      <c r="B303" s="937" t="s">
        <v>2068</v>
      </c>
      <c r="C303" s="882"/>
      <c r="D303" s="882" t="s">
        <v>1246</v>
      </c>
      <c r="E303" s="877"/>
      <c r="F303" s="877"/>
    </row>
    <row r="304" spans="1:6" ht="57.6">
      <c r="A304" s="891"/>
      <c r="B304" s="864" t="s">
        <v>2069</v>
      </c>
      <c r="C304" s="882"/>
      <c r="D304" s="882" t="s">
        <v>1246</v>
      </c>
      <c r="E304" s="877"/>
      <c r="F304" s="877"/>
    </row>
    <row r="305" spans="1:6" ht="129.6">
      <c r="A305" s="891"/>
      <c r="B305" s="864" t="s">
        <v>2070</v>
      </c>
      <c r="C305" s="882"/>
      <c r="D305" s="882" t="s">
        <v>1246</v>
      </c>
      <c r="E305" s="877"/>
      <c r="F305" s="877"/>
    </row>
    <row r="306" spans="1:6" ht="28.8">
      <c r="A306" s="891"/>
      <c r="B306" s="864" t="s">
        <v>2071</v>
      </c>
      <c r="C306" s="882" t="s">
        <v>213</v>
      </c>
      <c r="D306" s="882">
        <v>2</v>
      </c>
      <c r="E306" s="877">
        <v>2500</v>
      </c>
      <c r="F306" s="877">
        <f>E306*D306</f>
        <v>5000</v>
      </c>
    </row>
    <row r="307" spans="1:6">
      <c r="A307" s="891"/>
      <c r="B307" s="864"/>
      <c r="C307" s="882"/>
      <c r="D307" s="882" t="s">
        <v>1246</v>
      </c>
      <c r="E307" s="877"/>
      <c r="F307" s="877"/>
    </row>
    <row r="308" spans="1:6" ht="57.6">
      <c r="A308" s="891">
        <v>2</v>
      </c>
      <c r="B308" s="910" t="s">
        <v>2072</v>
      </c>
      <c r="C308" s="882" t="s">
        <v>213</v>
      </c>
      <c r="D308" s="882">
        <v>2</v>
      </c>
      <c r="E308" s="877">
        <v>150</v>
      </c>
      <c r="F308" s="877">
        <f>E308*D308</f>
        <v>300</v>
      </c>
    </row>
    <row r="309" spans="1:6">
      <c r="A309" s="891"/>
      <c r="B309" s="864"/>
      <c r="C309" s="882"/>
      <c r="D309" s="882" t="s">
        <v>1246</v>
      </c>
      <c r="E309" s="877"/>
      <c r="F309" s="877"/>
    </row>
    <row r="310" spans="1:6" ht="72">
      <c r="A310" s="932">
        <v>3</v>
      </c>
      <c r="B310" s="937" t="s">
        <v>2073</v>
      </c>
      <c r="C310" s="882"/>
      <c r="D310" s="882" t="s">
        <v>1246</v>
      </c>
      <c r="E310" s="877"/>
      <c r="F310" s="877"/>
    </row>
    <row r="311" spans="1:6">
      <c r="A311" s="891" t="s">
        <v>848</v>
      </c>
      <c r="B311" s="937" t="s">
        <v>2074</v>
      </c>
      <c r="C311" s="882" t="s">
        <v>214</v>
      </c>
      <c r="D311" s="882">
        <v>35</v>
      </c>
      <c r="E311" s="877">
        <v>15</v>
      </c>
      <c r="F311" s="877">
        <f>E311*D311</f>
        <v>525</v>
      </c>
    </row>
    <row r="312" spans="1:6">
      <c r="A312" s="891" t="s">
        <v>1978</v>
      </c>
      <c r="B312" s="937" t="s">
        <v>2075</v>
      </c>
      <c r="C312" s="882" t="s">
        <v>214</v>
      </c>
      <c r="D312" s="882">
        <v>35</v>
      </c>
      <c r="E312" s="877">
        <v>25</v>
      </c>
      <c r="F312" s="877">
        <f>E312*D312</f>
        <v>875</v>
      </c>
    </row>
    <row r="313" spans="1:6">
      <c r="A313" s="891"/>
      <c r="B313" s="864"/>
      <c r="C313" s="882"/>
      <c r="D313" s="882" t="s">
        <v>1246</v>
      </c>
      <c r="E313" s="877"/>
      <c r="F313" s="877"/>
    </row>
    <row r="314" spans="1:6" ht="100.8">
      <c r="A314" s="932">
        <v>4</v>
      </c>
      <c r="B314" s="864" t="s">
        <v>2076</v>
      </c>
      <c r="C314" s="882"/>
      <c r="D314" s="882" t="s">
        <v>1246</v>
      </c>
      <c r="E314" s="877"/>
      <c r="F314" s="877"/>
    </row>
    <row r="315" spans="1:6">
      <c r="A315" s="891" t="s">
        <v>848</v>
      </c>
      <c r="B315" s="937" t="s">
        <v>2074</v>
      </c>
      <c r="C315" s="882" t="s">
        <v>214</v>
      </c>
      <c r="D315" s="882">
        <v>35</v>
      </c>
      <c r="E315" s="877">
        <v>5</v>
      </c>
      <c r="F315" s="877">
        <f>E315*D315</f>
        <v>175</v>
      </c>
    </row>
    <row r="316" spans="1:6">
      <c r="A316" s="891" t="s">
        <v>1978</v>
      </c>
      <c r="B316" s="937" t="s">
        <v>2075</v>
      </c>
      <c r="C316" s="882" t="s">
        <v>214</v>
      </c>
      <c r="D316" s="882">
        <v>35</v>
      </c>
      <c r="E316" s="877">
        <v>6</v>
      </c>
      <c r="F316" s="877">
        <f>E316*D316</f>
        <v>210</v>
      </c>
    </row>
    <row r="317" spans="1:6">
      <c r="A317" s="891"/>
      <c r="B317" s="864"/>
      <c r="C317" s="882"/>
      <c r="D317" s="882" t="s">
        <v>1246</v>
      </c>
      <c r="E317" s="877"/>
      <c r="F317" s="877"/>
    </row>
    <row r="318" spans="1:6" ht="57.6">
      <c r="A318" s="932">
        <v>5</v>
      </c>
      <c r="B318" s="937" t="s">
        <v>2077</v>
      </c>
      <c r="C318" s="882" t="s">
        <v>214</v>
      </c>
      <c r="D318" s="882">
        <v>4</v>
      </c>
      <c r="E318" s="877">
        <v>50</v>
      </c>
      <c r="F318" s="877">
        <f>E318*D318</f>
        <v>200</v>
      </c>
    </row>
    <row r="319" spans="1:6">
      <c r="A319" s="891"/>
      <c r="B319" s="864"/>
      <c r="C319" s="850"/>
      <c r="D319" s="854" t="s">
        <v>1246</v>
      </c>
      <c r="E319" s="877"/>
      <c r="F319" s="877"/>
    </row>
    <row r="320" spans="1:6" ht="86.4">
      <c r="A320" s="932">
        <v>6</v>
      </c>
      <c r="B320" s="864" t="s">
        <v>2078</v>
      </c>
      <c r="C320" s="882" t="s">
        <v>214</v>
      </c>
      <c r="D320" s="854">
        <v>10</v>
      </c>
      <c r="E320" s="877">
        <v>80</v>
      </c>
      <c r="F320" s="877">
        <f>E320*D320</f>
        <v>800</v>
      </c>
    </row>
    <row r="321" spans="1:6">
      <c r="A321" s="891"/>
      <c r="B321" s="937"/>
      <c r="C321" s="850"/>
      <c r="D321" s="854" t="s">
        <v>1246</v>
      </c>
      <c r="E321" s="877"/>
      <c r="F321" s="877"/>
    </row>
    <row r="322" spans="1:6" ht="86.4">
      <c r="A322" s="932">
        <v>7</v>
      </c>
      <c r="B322" s="937" t="s">
        <v>2079</v>
      </c>
      <c r="C322" s="882" t="s">
        <v>213</v>
      </c>
      <c r="D322" s="854">
        <v>2</v>
      </c>
      <c r="E322" s="877">
        <v>350</v>
      </c>
      <c r="F322" s="877">
        <f>E322*D322</f>
        <v>700</v>
      </c>
    </row>
    <row r="323" spans="1:6">
      <c r="A323" s="891"/>
      <c r="B323" s="937"/>
      <c r="C323" s="850"/>
      <c r="D323" s="854" t="s">
        <v>1246</v>
      </c>
      <c r="E323" s="877"/>
      <c r="F323" s="877"/>
    </row>
    <row r="324" spans="1:6" ht="43.2">
      <c r="A324" s="932">
        <v>8</v>
      </c>
      <c r="B324" s="864" t="s">
        <v>2080</v>
      </c>
      <c r="C324" s="882" t="s">
        <v>213</v>
      </c>
      <c r="D324" s="882">
        <v>2</v>
      </c>
      <c r="E324" s="877">
        <v>250</v>
      </c>
      <c r="F324" s="877">
        <f>E324*D324</f>
        <v>500</v>
      </c>
    </row>
    <row r="325" spans="1:6">
      <c r="A325" s="891"/>
      <c r="B325" s="890"/>
      <c r="C325" s="882"/>
      <c r="D325" s="882"/>
      <c r="E325" s="877"/>
      <c r="F325" s="877"/>
    </row>
    <row r="326" spans="1:6" ht="28.8">
      <c r="A326" s="891">
        <v>9</v>
      </c>
      <c r="B326" s="858" t="s">
        <v>2081</v>
      </c>
      <c r="C326" s="951"/>
      <c r="D326" s="951" t="s">
        <v>1246</v>
      </c>
      <c r="E326" s="877"/>
      <c r="F326" s="877"/>
    </row>
    <row r="327" spans="1:6" ht="28.8">
      <c r="A327" s="891"/>
      <c r="B327" s="864" t="s">
        <v>1986</v>
      </c>
      <c r="C327" s="951"/>
      <c r="D327" s="951"/>
      <c r="E327" s="877"/>
      <c r="F327" s="877"/>
    </row>
    <row r="328" spans="1:6" ht="72">
      <c r="A328" s="891"/>
      <c r="B328" s="935" t="s">
        <v>2082</v>
      </c>
      <c r="C328" s="882" t="s">
        <v>213</v>
      </c>
      <c r="D328" s="882">
        <v>2</v>
      </c>
      <c r="E328" s="877">
        <v>800</v>
      </c>
      <c r="F328" s="877">
        <f t="shared" ref="F328" si="14">D328*E328</f>
        <v>1600</v>
      </c>
    </row>
    <row r="329" spans="1:6">
      <c r="A329" s="891"/>
      <c r="B329" s="864"/>
      <c r="C329" s="951"/>
      <c r="D329" s="951"/>
      <c r="E329" s="877"/>
      <c r="F329" s="877"/>
    </row>
    <row r="330" spans="1:6" ht="28.8">
      <c r="A330" s="932">
        <v>10</v>
      </c>
      <c r="B330" s="911" t="s">
        <v>2083</v>
      </c>
      <c r="C330" s="882"/>
      <c r="D330" s="882" t="s">
        <v>1246</v>
      </c>
      <c r="E330" s="877"/>
      <c r="F330" s="877"/>
    </row>
    <row r="331" spans="1:6">
      <c r="A331" s="879" t="s">
        <v>848</v>
      </c>
      <c r="B331" s="890" t="s">
        <v>2084</v>
      </c>
      <c r="C331" s="882" t="s">
        <v>31</v>
      </c>
      <c r="D331" s="882">
        <v>4</v>
      </c>
      <c r="E331" s="877">
        <v>30</v>
      </c>
      <c r="F331" s="877">
        <f>D331*E331</f>
        <v>120</v>
      </c>
    </row>
    <row r="332" spans="1:6">
      <c r="A332" s="879" t="s">
        <v>1978</v>
      </c>
      <c r="B332" s="890" t="s">
        <v>2085</v>
      </c>
      <c r="C332" s="882" t="s">
        <v>31</v>
      </c>
      <c r="D332" s="882">
        <v>6</v>
      </c>
      <c r="E332" s="877">
        <v>50</v>
      </c>
      <c r="F332" s="877">
        <f>D332*E332</f>
        <v>300</v>
      </c>
    </row>
    <row r="333" spans="1:6">
      <c r="A333" s="879"/>
      <c r="B333" s="911"/>
      <c r="C333" s="882"/>
      <c r="D333" s="882" t="s">
        <v>1246</v>
      </c>
      <c r="E333" s="877"/>
      <c r="F333" s="877"/>
    </row>
    <row r="334" spans="1:6" ht="28.8">
      <c r="A334" s="932">
        <v>11</v>
      </c>
      <c r="B334" s="911" t="s">
        <v>2086</v>
      </c>
      <c r="C334" s="882" t="s">
        <v>0</v>
      </c>
      <c r="D334" s="882" t="s">
        <v>1246</v>
      </c>
      <c r="E334" s="877"/>
      <c r="F334" s="877"/>
    </row>
    <row r="335" spans="1:6">
      <c r="A335" s="879" t="s">
        <v>848</v>
      </c>
      <c r="B335" s="890" t="s">
        <v>2087</v>
      </c>
      <c r="C335" s="882" t="s">
        <v>31</v>
      </c>
      <c r="D335" s="882">
        <v>2</v>
      </c>
      <c r="E335" s="877">
        <v>30</v>
      </c>
      <c r="F335" s="877">
        <f>D335*E335</f>
        <v>60</v>
      </c>
    </row>
    <row r="336" spans="1:6">
      <c r="A336" s="879" t="s">
        <v>1978</v>
      </c>
      <c r="B336" s="890" t="s">
        <v>2085</v>
      </c>
      <c r="C336" s="882" t="s">
        <v>31</v>
      </c>
      <c r="D336" s="882">
        <v>2</v>
      </c>
      <c r="E336" s="877">
        <v>50</v>
      </c>
      <c r="F336" s="877">
        <f>D336*E336</f>
        <v>100</v>
      </c>
    </row>
    <row r="337" spans="1:6">
      <c r="A337" s="879"/>
      <c r="B337" s="911"/>
      <c r="C337" s="882"/>
      <c r="D337" s="882" t="s">
        <v>1246</v>
      </c>
      <c r="E337" s="877"/>
      <c r="F337" s="877"/>
    </row>
    <row r="338" spans="1:6" ht="72">
      <c r="A338" s="932">
        <v>12</v>
      </c>
      <c r="B338" s="911" t="s">
        <v>2088</v>
      </c>
      <c r="C338" s="882"/>
      <c r="D338" s="882" t="s">
        <v>1246</v>
      </c>
      <c r="E338" s="877"/>
      <c r="F338" s="877"/>
    </row>
    <row r="339" spans="1:6">
      <c r="B339" s="890" t="s">
        <v>2089</v>
      </c>
      <c r="C339" s="882" t="s">
        <v>31</v>
      </c>
      <c r="D339" s="882">
        <v>2</v>
      </c>
      <c r="E339" s="877">
        <v>50</v>
      </c>
      <c r="F339" s="877">
        <f>E339*D339</f>
        <v>100</v>
      </c>
    </row>
    <row r="340" spans="1:6">
      <c r="A340" s="891"/>
      <c r="B340" s="864"/>
      <c r="C340" s="882"/>
      <c r="D340" s="882" t="s">
        <v>1246</v>
      </c>
      <c r="E340" s="877"/>
      <c r="F340" s="877"/>
    </row>
    <row r="341" spans="1:6" ht="115.2">
      <c r="A341" s="932">
        <v>13</v>
      </c>
      <c r="B341" s="911" t="s">
        <v>2090</v>
      </c>
      <c r="C341" s="882" t="s">
        <v>31</v>
      </c>
      <c r="D341" s="882">
        <v>2</v>
      </c>
      <c r="E341" s="877">
        <v>550</v>
      </c>
      <c r="F341" s="877">
        <f>D341*E341</f>
        <v>1100</v>
      </c>
    </row>
    <row r="342" spans="1:6">
      <c r="A342" s="879"/>
      <c r="B342" s="911"/>
      <c r="C342" s="882"/>
      <c r="D342" s="882" t="s">
        <v>1246</v>
      </c>
      <c r="E342" s="877"/>
      <c r="F342" s="877"/>
    </row>
    <row r="343" spans="1:6">
      <c r="A343" s="932">
        <v>14</v>
      </c>
      <c r="B343" s="864" t="s">
        <v>1928</v>
      </c>
      <c r="C343" s="951"/>
      <c r="D343" s="951"/>
      <c r="E343" s="877"/>
      <c r="F343" s="877"/>
    </row>
    <row r="344" spans="1:6" ht="57.6">
      <c r="A344" s="879"/>
      <c r="B344" s="889" t="s">
        <v>2091</v>
      </c>
      <c r="C344" s="951"/>
      <c r="D344" s="882" t="s">
        <v>1246</v>
      </c>
      <c r="E344" s="877"/>
      <c r="F344" s="877"/>
    </row>
    <row r="345" spans="1:6">
      <c r="A345" s="879" t="s">
        <v>848</v>
      </c>
      <c r="B345" s="858" t="s">
        <v>2043</v>
      </c>
      <c r="C345" s="854" t="s">
        <v>214</v>
      </c>
      <c r="D345" s="882">
        <v>35</v>
      </c>
      <c r="E345" s="934">
        <v>30</v>
      </c>
      <c r="F345" s="877">
        <f t="shared" ref="F345:F346" si="15">E345*D345</f>
        <v>1050</v>
      </c>
    </row>
    <row r="346" spans="1:6">
      <c r="A346" s="879" t="s">
        <v>1978</v>
      </c>
      <c r="B346" s="858" t="s">
        <v>2044</v>
      </c>
      <c r="C346" s="854" t="s">
        <v>214</v>
      </c>
      <c r="D346" s="882">
        <v>35</v>
      </c>
      <c r="E346" s="877">
        <v>40</v>
      </c>
      <c r="F346" s="877">
        <f t="shared" si="15"/>
        <v>1400</v>
      </c>
    </row>
    <row r="347" spans="1:6">
      <c r="A347" s="879"/>
      <c r="B347" s="864"/>
      <c r="C347" s="882"/>
      <c r="D347" s="882" t="s">
        <v>1246</v>
      </c>
      <c r="E347" s="877"/>
      <c r="F347" s="877"/>
    </row>
    <row r="348" spans="1:6" ht="144">
      <c r="A348" s="879">
        <v>15</v>
      </c>
      <c r="B348" s="864" t="s">
        <v>2092</v>
      </c>
      <c r="C348" s="951"/>
      <c r="D348" s="882" t="s">
        <v>1246</v>
      </c>
      <c r="E348" s="877"/>
      <c r="F348" s="877"/>
    </row>
    <row r="349" spans="1:6">
      <c r="A349" s="879" t="s">
        <v>848</v>
      </c>
      <c r="B349" s="858" t="s">
        <v>2043</v>
      </c>
      <c r="C349" s="854" t="s">
        <v>214</v>
      </c>
      <c r="D349" s="882">
        <v>35</v>
      </c>
      <c r="E349" s="934">
        <v>5</v>
      </c>
      <c r="F349" s="877">
        <f t="shared" ref="F349:F350" si="16">E349*D349</f>
        <v>175</v>
      </c>
    </row>
    <row r="350" spans="1:6">
      <c r="A350" s="879" t="s">
        <v>1978</v>
      </c>
      <c r="B350" s="858" t="s">
        <v>2044</v>
      </c>
      <c r="C350" s="854" t="s">
        <v>214</v>
      </c>
      <c r="D350" s="882">
        <v>35</v>
      </c>
      <c r="E350" s="877">
        <v>7</v>
      </c>
      <c r="F350" s="877">
        <f t="shared" si="16"/>
        <v>245</v>
      </c>
    </row>
    <row r="351" spans="1:6">
      <c r="A351" s="879"/>
      <c r="B351" s="864"/>
      <c r="C351" s="882"/>
      <c r="D351" s="882" t="s">
        <v>1246</v>
      </c>
      <c r="E351" s="877"/>
      <c r="F351" s="877"/>
    </row>
    <row r="352" spans="1:6" ht="43.2">
      <c r="A352" s="932">
        <v>16</v>
      </c>
      <c r="B352" s="864" t="s">
        <v>2093</v>
      </c>
      <c r="C352" s="882" t="s">
        <v>213</v>
      </c>
      <c r="D352" s="882">
        <v>2</v>
      </c>
      <c r="E352" s="877">
        <v>150</v>
      </c>
      <c r="F352" s="877">
        <f>E352*D352</f>
        <v>300</v>
      </c>
    </row>
    <row r="353" spans="1:6">
      <c r="A353" s="891"/>
      <c r="B353" s="895"/>
      <c r="C353" s="882"/>
      <c r="D353" s="882" t="s">
        <v>1246</v>
      </c>
      <c r="E353" s="877"/>
      <c r="F353" s="877"/>
    </row>
    <row r="354" spans="1:6" ht="72">
      <c r="A354" s="932">
        <v>17</v>
      </c>
      <c r="B354" s="911" t="s">
        <v>2094</v>
      </c>
      <c r="C354" s="854" t="s">
        <v>213</v>
      </c>
      <c r="D354" s="854">
        <v>2</v>
      </c>
      <c r="E354" s="877">
        <v>500</v>
      </c>
      <c r="F354" s="877">
        <f>D354*E354</f>
        <v>1000</v>
      </c>
    </row>
    <row r="355" spans="1:6">
      <c r="A355" s="879"/>
      <c r="B355" s="911"/>
      <c r="D355" s="854" t="s">
        <v>1246</v>
      </c>
      <c r="E355" s="877"/>
      <c r="F355" s="877"/>
    </row>
    <row r="356" spans="1:6">
      <c r="A356" s="932">
        <v>18</v>
      </c>
      <c r="B356" s="911" t="s">
        <v>2095</v>
      </c>
      <c r="C356" s="854" t="s">
        <v>213</v>
      </c>
      <c r="D356" s="854">
        <v>2</v>
      </c>
      <c r="E356" s="877">
        <v>250</v>
      </c>
      <c r="F356" s="877">
        <f>D356*E356</f>
        <v>500</v>
      </c>
    </row>
    <row r="357" spans="1:6">
      <c r="A357" s="879"/>
      <c r="B357" s="911"/>
      <c r="D357" s="854" t="s">
        <v>1246</v>
      </c>
      <c r="E357" s="877"/>
      <c r="F357" s="877"/>
    </row>
    <row r="358" spans="1:6">
      <c r="A358" s="891" t="s">
        <v>1358</v>
      </c>
      <c r="B358" s="872" t="s">
        <v>38</v>
      </c>
      <c r="C358" s="942"/>
      <c r="D358" s="884" t="s">
        <v>1246</v>
      </c>
      <c r="E358" s="928"/>
      <c r="F358" s="929">
        <f>SUM(F300:F357)</f>
        <v>17335</v>
      </c>
    </row>
    <row r="359" spans="1:6" ht="20.399999999999999">
      <c r="A359" s="888"/>
      <c r="B359" s="860" t="s">
        <v>1234</v>
      </c>
      <c r="C359" s="859" t="s">
        <v>1235</v>
      </c>
      <c r="D359" s="859" t="s">
        <v>1236</v>
      </c>
      <c r="E359" s="875" t="s">
        <v>1500</v>
      </c>
      <c r="F359" s="868" t="s">
        <v>1926</v>
      </c>
    </row>
    <row r="360" spans="1:6">
      <c r="B360" s="937"/>
      <c r="C360" s="936"/>
      <c r="D360" s="936"/>
      <c r="E360" s="877"/>
    </row>
    <row r="361" spans="1:6" ht="28.8">
      <c r="A361" s="876" t="s">
        <v>1395</v>
      </c>
      <c r="B361" s="931" t="s">
        <v>2096</v>
      </c>
      <c r="C361" s="951"/>
      <c r="D361" s="951"/>
    </row>
    <row r="362" spans="1:6">
      <c r="A362" s="855"/>
      <c r="B362" s="911"/>
    </row>
    <row r="363" spans="1:6">
      <c r="A363" s="932">
        <v>1</v>
      </c>
      <c r="B363" s="864" t="s">
        <v>1928</v>
      </c>
      <c r="C363" s="951"/>
      <c r="D363" s="951"/>
      <c r="E363" s="877"/>
      <c r="F363" s="877"/>
    </row>
    <row r="364" spans="1:6" ht="57.6">
      <c r="A364" s="879"/>
      <c r="B364" s="889" t="s">
        <v>2091</v>
      </c>
      <c r="C364" s="951"/>
      <c r="D364" s="882" t="s">
        <v>1246</v>
      </c>
      <c r="E364" s="877"/>
      <c r="F364" s="877"/>
    </row>
    <row r="365" spans="1:6">
      <c r="A365" s="879" t="s">
        <v>848</v>
      </c>
      <c r="B365" s="858" t="s">
        <v>2043</v>
      </c>
      <c r="C365" s="854" t="s">
        <v>214</v>
      </c>
      <c r="D365" s="882">
        <v>15</v>
      </c>
      <c r="E365" s="934">
        <v>30</v>
      </c>
      <c r="F365" s="877">
        <f t="shared" ref="F365:F370" si="17">E365*D365</f>
        <v>450</v>
      </c>
    </row>
    <row r="366" spans="1:6">
      <c r="A366" s="879" t="s">
        <v>1978</v>
      </c>
      <c r="B366" s="858" t="s">
        <v>2044</v>
      </c>
      <c r="C366" s="854" t="s">
        <v>214</v>
      </c>
      <c r="D366" s="882">
        <v>195</v>
      </c>
      <c r="E366" s="877">
        <v>35</v>
      </c>
      <c r="F366" s="877">
        <f t="shared" si="17"/>
        <v>6825</v>
      </c>
    </row>
    <row r="367" spans="1:6">
      <c r="A367" s="879" t="s">
        <v>1996</v>
      </c>
      <c r="B367" s="858" t="s">
        <v>2097</v>
      </c>
      <c r="C367" s="854" t="s">
        <v>214</v>
      </c>
      <c r="D367" s="882">
        <v>105</v>
      </c>
      <c r="E367" s="877">
        <v>40</v>
      </c>
      <c r="F367" s="877">
        <f t="shared" si="17"/>
        <v>4200</v>
      </c>
    </row>
    <row r="368" spans="1:6">
      <c r="A368" s="879" t="s">
        <v>1998</v>
      </c>
      <c r="B368" s="858" t="s">
        <v>2098</v>
      </c>
      <c r="C368" s="854" t="s">
        <v>214</v>
      </c>
      <c r="D368" s="882">
        <v>30</v>
      </c>
      <c r="E368" s="877">
        <v>45</v>
      </c>
      <c r="F368" s="877">
        <f t="shared" si="17"/>
        <v>1350</v>
      </c>
    </row>
    <row r="369" spans="1:6">
      <c r="A369" s="879" t="s">
        <v>851</v>
      </c>
      <c r="B369" s="858" t="s">
        <v>2099</v>
      </c>
      <c r="C369" s="854" t="s">
        <v>214</v>
      </c>
      <c r="D369" s="882">
        <v>135</v>
      </c>
      <c r="E369" s="877">
        <v>50</v>
      </c>
      <c r="F369" s="877">
        <f t="shared" si="17"/>
        <v>6750</v>
      </c>
    </row>
    <row r="370" spans="1:6">
      <c r="A370" s="879" t="s">
        <v>2100</v>
      </c>
      <c r="B370" s="858" t="s">
        <v>2045</v>
      </c>
      <c r="C370" s="854" t="s">
        <v>214</v>
      </c>
      <c r="D370" s="882">
        <v>75</v>
      </c>
      <c r="E370" s="877">
        <v>60</v>
      </c>
      <c r="F370" s="877">
        <f t="shared" si="17"/>
        <v>4500</v>
      </c>
    </row>
    <row r="371" spans="1:6">
      <c r="A371" s="879"/>
      <c r="B371" s="864"/>
      <c r="C371" s="882"/>
      <c r="D371" s="882" t="s">
        <v>1246</v>
      </c>
      <c r="E371" s="877"/>
      <c r="F371" s="877"/>
    </row>
    <row r="372" spans="1:6" ht="144">
      <c r="A372" s="879">
        <v>2</v>
      </c>
      <c r="B372" s="864" t="s">
        <v>2092</v>
      </c>
      <c r="C372" s="951"/>
      <c r="D372" s="882" t="s">
        <v>1246</v>
      </c>
      <c r="E372" s="877"/>
      <c r="F372" s="877"/>
    </row>
    <row r="373" spans="1:6">
      <c r="A373" s="879" t="s">
        <v>848</v>
      </c>
      <c r="B373" s="858" t="s">
        <v>2043</v>
      </c>
      <c r="C373" s="854" t="s">
        <v>214</v>
      </c>
      <c r="D373" s="882">
        <v>15</v>
      </c>
      <c r="E373" s="934">
        <v>3</v>
      </c>
      <c r="F373" s="877">
        <f t="shared" ref="F373:F378" si="18">E373*D373</f>
        <v>45</v>
      </c>
    </row>
    <row r="374" spans="1:6">
      <c r="A374" s="879" t="s">
        <v>1978</v>
      </c>
      <c r="B374" s="858" t="s">
        <v>2044</v>
      </c>
      <c r="C374" s="854" t="s">
        <v>214</v>
      </c>
      <c r="D374" s="882">
        <v>195</v>
      </c>
      <c r="E374" s="877">
        <v>5</v>
      </c>
      <c r="F374" s="877">
        <f t="shared" si="18"/>
        <v>975</v>
      </c>
    </row>
    <row r="375" spans="1:6">
      <c r="A375" s="879" t="s">
        <v>1996</v>
      </c>
      <c r="B375" s="858" t="s">
        <v>2097</v>
      </c>
      <c r="C375" s="854" t="s">
        <v>214</v>
      </c>
      <c r="D375" s="882">
        <v>105</v>
      </c>
      <c r="E375" s="877">
        <v>7</v>
      </c>
      <c r="F375" s="877">
        <f t="shared" si="18"/>
        <v>735</v>
      </c>
    </row>
    <row r="376" spans="1:6">
      <c r="A376" s="879" t="s">
        <v>1998</v>
      </c>
      <c r="B376" s="858" t="s">
        <v>2098</v>
      </c>
      <c r="C376" s="854" t="s">
        <v>214</v>
      </c>
      <c r="D376" s="882">
        <v>30</v>
      </c>
      <c r="E376" s="877">
        <v>9</v>
      </c>
      <c r="F376" s="877">
        <f t="shared" si="18"/>
        <v>270</v>
      </c>
    </row>
    <row r="377" spans="1:6">
      <c r="A377" s="879" t="s">
        <v>851</v>
      </c>
      <c r="B377" s="858" t="s">
        <v>2099</v>
      </c>
      <c r="C377" s="854" t="s">
        <v>214</v>
      </c>
      <c r="D377" s="882">
        <v>135</v>
      </c>
      <c r="E377" s="877">
        <v>11</v>
      </c>
      <c r="F377" s="877">
        <f t="shared" si="18"/>
        <v>1485</v>
      </c>
    </row>
    <row r="378" spans="1:6">
      <c r="A378" s="879" t="s">
        <v>2100</v>
      </c>
      <c r="B378" s="858" t="s">
        <v>2045</v>
      </c>
      <c r="C378" s="854" t="s">
        <v>214</v>
      </c>
      <c r="D378" s="882">
        <v>75</v>
      </c>
      <c r="E378" s="877">
        <v>15</v>
      </c>
      <c r="F378" s="877">
        <f t="shared" si="18"/>
        <v>1125</v>
      </c>
    </row>
    <row r="379" spans="1:6">
      <c r="A379" s="879"/>
      <c r="B379" s="864"/>
      <c r="C379" s="882"/>
      <c r="D379" s="882" t="s">
        <v>1246</v>
      </c>
      <c r="E379" s="877"/>
      <c r="F379" s="877"/>
    </row>
    <row r="380" spans="1:6" ht="43.2">
      <c r="A380" s="932">
        <v>3</v>
      </c>
      <c r="B380" s="911" t="s">
        <v>2101</v>
      </c>
      <c r="C380" s="882"/>
      <c r="D380" s="878" t="s">
        <v>1246</v>
      </c>
      <c r="E380" s="877"/>
      <c r="F380" s="877"/>
    </row>
    <row r="381" spans="1:6">
      <c r="B381" s="900" t="s">
        <v>2102</v>
      </c>
      <c r="C381" s="882" t="s">
        <v>214</v>
      </c>
      <c r="D381" s="882">
        <v>8580</v>
      </c>
      <c r="E381" s="877">
        <v>3</v>
      </c>
      <c r="F381" s="877">
        <f>D381*E381</f>
        <v>25740</v>
      </c>
    </row>
    <row r="382" spans="1:6">
      <c r="B382" s="911"/>
      <c r="C382" s="882"/>
      <c r="D382" s="882" t="s">
        <v>1246</v>
      </c>
      <c r="E382" s="877"/>
      <c r="F382" s="877"/>
    </row>
    <row r="383" spans="1:6" ht="43.2">
      <c r="A383" s="932">
        <v>4</v>
      </c>
      <c r="B383" s="911" t="s">
        <v>2103</v>
      </c>
      <c r="C383" s="882" t="s">
        <v>2104</v>
      </c>
      <c r="D383" s="882">
        <v>1150</v>
      </c>
      <c r="E383" s="877">
        <v>10</v>
      </c>
      <c r="F383" s="877">
        <f>D383*E383</f>
        <v>11500</v>
      </c>
    </row>
    <row r="384" spans="1:6">
      <c r="B384" s="911"/>
      <c r="C384" s="882"/>
      <c r="D384" s="882" t="s">
        <v>1246</v>
      </c>
      <c r="E384" s="877"/>
      <c r="F384" s="877"/>
    </row>
    <row r="385" spans="1:6" ht="57.6">
      <c r="A385" s="932">
        <v>5</v>
      </c>
      <c r="B385" s="911" t="s">
        <v>2105</v>
      </c>
      <c r="C385" s="882"/>
      <c r="D385" s="878" t="s">
        <v>1246</v>
      </c>
      <c r="E385" s="877"/>
      <c r="F385" s="877"/>
    </row>
    <row r="386" spans="1:6">
      <c r="B386" s="900" t="s">
        <v>2106</v>
      </c>
      <c r="C386" s="882" t="s">
        <v>213</v>
      </c>
      <c r="D386" s="882">
        <v>18</v>
      </c>
      <c r="E386" s="877">
        <v>5</v>
      </c>
      <c r="F386" s="877">
        <f>D386*E386</f>
        <v>90</v>
      </c>
    </row>
    <row r="387" spans="1:6">
      <c r="B387" s="911"/>
      <c r="C387" s="882"/>
      <c r="D387" s="882" t="s">
        <v>1246</v>
      </c>
      <c r="E387" s="877"/>
      <c r="F387" s="877"/>
    </row>
    <row r="388" spans="1:6" ht="100.8">
      <c r="A388" s="932">
        <v>6</v>
      </c>
      <c r="B388" s="911" t="s">
        <v>2107</v>
      </c>
      <c r="C388" s="882"/>
      <c r="D388" s="882" t="s">
        <v>1246</v>
      </c>
      <c r="E388" s="877"/>
      <c r="F388" s="877"/>
    </row>
    <row r="389" spans="1:6">
      <c r="A389" s="932" t="s">
        <v>848</v>
      </c>
      <c r="B389" s="890" t="s">
        <v>2108</v>
      </c>
      <c r="C389" s="882" t="s">
        <v>31</v>
      </c>
      <c r="D389" s="882">
        <v>2</v>
      </c>
      <c r="E389" s="877">
        <v>150</v>
      </c>
      <c r="F389" s="877">
        <f t="shared" ref="F389:F393" si="19">D389*E389</f>
        <v>300</v>
      </c>
    </row>
    <row r="390" spans="1:6">
      <c r="A390" s="932" t="s">
        <v>1978</v>
      </c>
      <c r="B390" s="890" t="s">
        <v>2109</v>
      </c>
      <c r="C390" s="882" t="s">
        <v>31</v>
      </c>
      <c r="D390" s="882">
        <v>6</v>
      </c>
      <c r="E390" s="877">
        <v>200</v>
      </c>
      <c r="F390" s="877">
        <f t="shared" si="19"/>
        <v>1200</v>
      </c>
    </row>
    <row r="391" spans="1:6">
      <c r="A391" s="932" t="s">
        <v>1996</v>
      </c>
      <c r="B391" s="890" t="s">
        <v>2110</v>
      </c>
      <c r="C391" s="882" t="s">
        <v>31</v>
      </c>
      <c r="D391" s="882">
        <v>1</v>
      </c>
      <c r="E391" s="877">
        <v>250</v>
      </c>
      <c r="F391" s="877">
        <f t="shared" si="19"/>
        <v>250</v>
      </c>
    </row>
    <row r="392" spans="1:6">
      <c r="A392" s="932" t="s">
        <v>1998</v>
      </c>
      <c r="B392" s="890" t="s">
        <v>2111</v>
      </c>
      <c r="C392" s="882" t="s">
        <v>31</v>
      </c>
      <c r="D392" s="882">
        <v>2</v>
      </c>
      <c r="E392" s="877">
        <v>300</v>
      </c>
      <c r="F392" s="877">
        <f t="shared" si="19"/>
        <v>600</v>
      </c>
    </row>
    <row r="393" spans="1:6">
      <c r="A393" s="932" t="s">
        <v>851</v>
      </c>
      <c r="B393" s="890" t="s">
        <v>2112</v>
      </c>
      <c r="C393" s="882" t="s">
        <v>31</v>
      </c>
      <c r="D393" s="882">
        <v>1</v>
      </c>
      <c r="E393" s="877">
        <v>350</v>
      </c>
      <c r="F393" s="877">
        <f t="shared" si="19"/>
        <v>350</v>
      </c>
    </row>
    <row r="394" spans="1:6">
      <c r="B394" s="911"/>
      <c r="C394" s="882"/>
      <c r="D394" s="882" t="s">
        <v>1246</v>
      </c>
      <c r="E394" s="877"/>
      <c r="F394" s="877"/>
    </row>
    <row r="395" spans="1:6" ht="57.6">
      <c r="A395" s="932">
        <v>7</v>
      </c>
      <c r="B395" s="911" t="s">
        <v>2113</v>
      </c>
      <c r="C395" s="882" t="s">
        <v>31</v>
      </c>
      <c r="D395" s="882">
        <v>101</v>
      </c>
      <c r="E395" s="877">
        <v>15</v>
      </c>
      <c r="F395" s="877">
        <f>D395*E395</f>
        <v>1515</v>
      </c>
    </row>
    <row r="396" spans="1:6">
      <c r="B396" s="890"/>
      <c r="C396" s="882"/>
      <c r="D396" s="882" t="s">
        <v>1246</v>
      </c>
      <c r="E396" s="877"/>
      <c r="F396" s="877"/>
    </row>
    <row r="397" spans="1:6" ht="57.6">
      <c r="A397" s="932">
        <v>8</v>
      </c>
      <c r="B397" s="911" t="s">
        <v>2114</v>
      </c>
      <c r="C397" s="882" t="s">
        <v>31</v>
      </c>
      <c r="D397" s="882">
        <v>35</v>
      </c>
      <c r="E397" s="877">
        <v>50</v>
      </c>
      <c r="F397" s="877">
        <f>D397*E397</f>
        <v>1750</v>
      </c>
    </row>
    <row r="398" spans="1:6">
      <c r="B398" s="890"/>
      <c r="C398" s="882"/>
      <c r="D398" s="882" t="s">
        <v>1246</v>
      </c>
      <c r="E398" s="877"/>
      <c r="F398" s="877"/>
    </row>
    <row r="399" spans="1:6" ht="57.6">
      <c r="A399" s="932">
        <v>9</v>
      </c>
      <c r="B399" s="911" t="s">
        <v>2115</v>
      </c>
      <c r="C399" s="882" t="s">
        <v>31</v>
      </c>
      <c r="D399" s="882">
        <v>12</v>
      </c>
      <c r="E399" s="877">
        <v>80</v>
      </c>
      <c r="F399" s="877">
        <f>D399*E399</f>
        <v>960</v>
      </c>
    </row>
    <row r="400" spans="1:6">
      <c r="B400" s="911"/>
      <c r="C400" s="882"/>
      <c r="D400" s="882" t="s">
        <v>1246</v>
      </c>
      <c r="E400" s="877"/>
      <c r="F400" s="877"/>
    </row>
    <row r="401" spans="1:6" ht="57.6">
      <c r="A401" s="932">
        <v>10</v>
      </c>
      <c r="B401" s="911" t="s">
        <v>2116</v>
      </c>
      <c r="C401" s="882" t="s">
        <v>31</v>
      </c>
      <c r="D401" s="882">
        <v>12</v>
      </c>
      <c r="E401" s="877">
        <v>100</v>
      </c>
      <c r="F401" s="877">
        <f>D401*E401</f>
        <v>1200</v>
      </c>
    </row>
    <row r="402" spans="1:6">
      <c r="B402" s="911"/>
      <c r="C402" s="882"/>
      <c r="D402" s="882" t="s">
        <v>1246</v>
      </c>
      <c r="E402" s="877"/>
      <c r="F402" s="877"/>
    </row>
    <row r="403" spans="1:6" ht="43.2">
      <c r="A403" s="932">
        <v>11</v>
      </c>
      <c r="B403" s="911" t="s">
        <v>2117</v>
      </c>
      <c r="C403" s="882"/>
      <c r="D403" s="882" t="s">
        <v>1246</v>
      </c>
      <c r="E403" s="877"/>
      <c r="F403" s="877"/>
    </row>
    <row r="404" spans="1:6">
      <c r="A404" s="932" t="s">
        <v>848</v>
      </c>
      <c r="B404" s="890" t="s">
        <v>2118</v>
      </c>
      <c r="C404" s="882" t="s">
        <v>31</v>
      </c>
      <c r="D404" s="882">
        <v>2</v>
      </c>
      <c r="E404" s="877">
        <v>80</v>
      </c>
      <c r="F404" s="877">
        <f t="shared" ref="F404:F408" si="20">D404*E404</f>
        <v>160</v>
      </c>
    </row>
    <row r="405" spans="1:6">
      <c r="A405" s="932" t="s">
        <v>1978</v>
      </c>
      <c r="B405" s="890" t="s">
        <v>2119</v>
      </c>
      <c r="C405" s="882" t="s">
        <v>31</v>
      </c>
      <c r="D405" s="882">
        <v>6</v>
      </c>
      <c r="E405" s="877">
        <v>80</v>
      </c>
      <c r="F405" s="877">
        <f t="shared" si="20"/>
        <v>480</v>
      </c>
    </row>
    <row r="406" spans="1:6">
      <c r="A406" s="932" t="s">
        <v>1996</v>
      </c>
      <c r="B406" s="890" t="s">
        <v>2120</v>
      </c>
      <c r="C406" s="882" t="s">
        <v>31</v>
      </c>
      <c r="D406" s="882">
        <v>1</v>
      </c>
      <c r="E406" s="877">
        <v>100</v>
      </c>
      <c r="F406" s="877">
        <f t="shared" si="20"/>
        <v>100</v>
      </c>
    </row>
    <row r="407" spans="1:6">
      <c r="A407" s="932" t="s">
        <v>1998</v>
      </c>
      <c r="B407" s="890" t="s">
        <v>2121</v>
      </c>
      <c r="C407" s="882" t="s">
        <v>31</v>
      </c>
      <c r="D407" s="882">
        <v>2</v>
      </c>
      <c r="E407" s="877">
        <v>120</v>
      </c>
      <c r="F407" s="877">
        <f t="shared" si="20"/>
        <v>240</v>
      </c>
    </row>
    <row r="408" spans="1:6">
      <c r="A408" s="932" t="s">
        <v>851</v>
      </c>
      <c r="B408" s="890" t="s">
        <v>2122</v>
      </c>
      <c r="C408" s="882" t="s">
        <v>31</v>
      </c>
      <c r="D408" s="882">
        <v>1</v>
      </c>
      <c r="E408" s="877">
        <v>130</v>
      </c>
      <c r="F408" s="877">
        <f t="shared" si="20"/>
        <v>130</v>
      </c>
    </row>
    <row r="409" spans="1:6">
      <c r="B409" s="911"/>
      <c r="C409" s="882"/>
      <c r="D409" s="882" t="s">
        <v>1246</v>
      </c>
      <c r="E409" s="877"/>
      <c r="F409" s="877"/>
    </row>
    <row r="410" spans="1:6" ht="28.8">
      <c r="A410" s="932">
        <v>12</v>
      </c>
      <c r="B410" s="911" t="s">
        <v>2123</v>
      </c>
      <c r="C410" s="882" t="s">
        <v>31</v>
      </c>
      <c r="D410" s="882">
        <v>12</v>
      </c>
      <c r="E410" s="877">
        <v>150</v>
      </c>
      <c r="F410" s="877">
        <f>D410*E410</f>
        <v>1800</v>
      </c>
    </row>
    <row r="411" spans="1:6">
      <c r="B411" s="911"/>
      <c r="C411" s="882"/>
      <c r="D411" s="882" t="s">
        <v>1246</v>
      </c>
      <c r="E411" s="877"/>
      <c r="F411" s="877"/>
    </row>
    <row r="412" spans="1:6" ht="43.2">
      <c r="A412" s="932">
        <v>13</v>
      </c>
      <c r="B412" s="911" t="s">
        <v>2124</v>
      </c>
      <c r="C412" s="882" t="s">
        <v>213</v>
      </c>
      <c r="D412" s="882">
        <v>1</v>
      </c>
      <c r="E412" s="877">
        <v>500</v>
      </c>
      <c r="F412" s="934">
        <f>D412*E412</f>
        <v>500</v>
      </c>
    </row>
    <row r="413" spans="1:6">
      <c r="B413" s="911"/>
      <c r="C413" s="882"/>
      <c r="D413" s="882" t="s">
        <v>1246</v>
      </c>
      <c r="E413" s="877"/>
      <c r="F413" s="877"/>
    </row>
    <row r="414" spans="1:6">
      <c r="A414" s="941">
        <v>14</v>
      </c>
      <c r="B414" s="864" t="s">
        <v>1928</v>
      </c>
      <c r="D414" s="854" t="s">
        <v>1246</v>
      </c>
      <c r="E414" s="940"/>
      <c r="F414" s="877"/>
    </row>
    <row r="415" spans="1:6" ht="201.6">
      <c r="A415" s="941"/>
      <c r="B415" s="864" t="s">
        <v>2125</v>
      </c>
      <c r="E415" s="877"/>
      <c r="F415" s="877"/>
    </row>
    <row r="416" spans="1:6" ht="28.8">
      <c r="B416" s="864" t="s">
        <v>1986</v>
      </c>
      <c r="C416" s="951"/>
      <c r="D416" s="951"/>
    </row>
    <row r="417" spans="1:6">
      <c r="A417" s="941" t="s">
        <v>848</v>
      </c>
      <c r="B417" s="864" t="s">
        <v>2126</v>
      </c>
      <c r="C417" s="854" t="s">
        <v>31</v>
      </c>
      <c r="D417" s="854">
        <v>1</v>
      </c>
      <c r="E417" s="877">
        <v>100</v>
      </c>
      <c r="F417" s="877">
        <f>E417*D417</f>
        <v>100</v>
      </c>
    </row>
    <row r="418" spans="1:6">
      <c r="A418" s="941" t="s">
        <v>1978</v>
      </c>
      <c r="B418" s="864" t="s">
        <v>2127</v>
      </c>
      <c r="C418" s="854" t="s">
        <v>31</v>
      </c>
      <c r="D418" s="854">
        <v>6</v>
      </c>
      <c r="E418" s="877">
        <v>150</v>
      </c>
      <c r="F418" s="877">
        <f>E418*D418</f>
        <v>900</v>
      </c>
    </row>
    <row r="419" spans="1:6">
      <c r="A419" s="941" t="s">
        <v>1996</v>
      </c>
      <c r="B419" s="864" t="s">
        <v>2035</v>
      </c>
      <c r="C419" s="854" t="s">
        <v>31</v>
      </c>
      <c r="D419" s="854">
        <v>5</v>
      </c>
      <c r="E419" s="877">
        <v>200</v>
      </c>
      <c r="F419" s="877">
        <f>E419*D419</f>
        <v>1000</v>
      </c>
    </row>
    <row r="420" spans="1:6">
      <c r="A420" s="941"/>
      <c r="B420" s="898"/>
      <c r="E420" s="877"/>
      <c r="F420" s="877"/>
    </row>
    <row r="421" spans="1:6">
      <c r="A421" s="941">
        <v>15</v>
      </c>
      <c r="B421" s="864" t="s">
        <v>1928</v>
      </c>
      <c r="D421" s="854" t="s">
        <v>1246</v>
      </c>
      <c r="E421" s="940"/>
      <c r="F421" s="877"/>
    </row>
    <row r="422" spans="1:6" ht="230.4">
      <c r="A422" s="941"/>
      <c r="B422" s="864" t="s">
        <v>2128</v>
      </c>
      <c r="E422" s="877"/>
      <c r="F422" s="877"/>
    </row>
    <row r="423" spans="1:6" ht="28.8">
      <c r="B423" s="864" t="s">
        <v>1986</v>
      </c>
      <c r="C423" s="951"/>
      <c r="D423" s="951"/>
    </row>
    <row r="424" spans="1:6">
      <c r="A424" s="941" t="s">
        <v>848</v>
      </c>
      <c r="B424" s="864" t="s">
        <v>2126</v>
      </c>
      <c r="C424" s="854" t="s">
        <v>31</v>
      </c>
      <c r="D424" s="854">
        <v>1</v>
      </c>
      <c r="E424" s="877">
        <v>50</v>
      </c>
      <c r="F424" s="877">
        <f>E424*D424</f>
        <v>50</v>
      </c>
    </row>
    <row r="425" spans="1:6">
      <c r="A425" s="941" t="s">
        <v>1978</v>
      </c>
      <c r="B425" s="864" t="s">
        <v>2127</v>
      </c>
      <c r="C425" s="854" t="s">
        <v>31</v>
      </c>
      <c r="D425" s="854">
        <v>6</v>
      </c>
      <c r="E425" s="877">
        <v>80</v>
      </c>
      <c r="F425" s="877">
        <f>E425*D425</f>
        <v>480</v>
      </c>
    </row>
    <row r="426" spans="1:6">
      <c r="A426" s="941" t="s">
        <v>1996</v>
      </c>
      <c r="B426" s="864" t="s">
        <v>2035</v>
      </c>
      <c r="C426" s="854" t="s">
        <v>31</v>
      </c>
      <c r="D426" s="854">
        <v>5</v>
      </c>
      <c r="E426" s="877">
        <v>150</v>
      </c>
      <c r="F426" s="877">
        <f>E426*D426</f>
        <v>750</v>
      </c>
    </row>
    <row r="427" spans="1:6">
      <c r="A427" s="941"/>
      <c r="B427" s="898"/>
      <c r="E427" s="877"/>
      <c r="F427" s="877"/>
    </row>
    <row r="428" spans="1:6" ht="57.6">
      <c r="A428" s="932">
        <v>16</v>
      </c>
      <c r="B428" s="911" t="s">
        <v>2129</v>
      </c>
      <c r="D428" s="854" t="s">
        <v>1246</v>
      </c>
      <c r="E428" s="908"/>
      <c r="F428" s="934"/>
    </row>
    <row r="429" spans="1:6">
      <c r="A429" s="932" t="s">
        <v>848</v>
      </c>
      <c r="B429" s="890" t="s">
        <v>2130</v>
      </c>
      <c r="C429" s="882" t="s">
        <v>31</v>
      </c>
      <c r="D429" s="882">
        <v>2</v>
      </c>
      <c r="E429" s="908">
        <v>100</v>
      </c>
      <c r="F429" s="934">
        <f t="shared" ref="F429:F431" si="21">E429*D429</f>
        <v>200</v>
      </c>
    </row>
    <row r="430" spans="1:6">
      <c r="A430" s="932" t="s">
        <v>1978</v>
      </c>
      <c r="B430" s="890" t="s">
        <v>2131</v>
      </c>
      <c r="C430" s="882" t="s">
        <v>31</v>
      </c>
      <c r="D430" s="882">
        <v>4</v>
      </c>
      <c r="E430" s="908">
        <v>150</v>
      </c>
      <c r="F430" s="934">
        <f t="shared" si="21"/>
        <v>600</v>
      </c>
    </row>
    <row r="431" spans="1:6">
      <c r="A431" s="932" t="s">
        <v>1996</v>
      </c>
      <c r="B431" s="890" t="s">
        <v>2132</v>
      </c>
      <c r="C431" s="882" t="s">
        <v>31</v>
      </c>
      <c r="D431" s="882">
        <v>2</v>
      </c>
      <c r="E431" s="908">
        <v>200</v>
      </c>
      <c r="F431" s="934">
        <f t="shared" si="21"/>
        <v>400</v>
      </c>
    </row>
    <row r="432" spans="1:6">
      <c r="B432" s="911"/>
      <c r="E432" s="908"/>
      <c r="F432" s="934"/>
    </row>
    <row r="433" spans="1:6" ht="57.6">
      <c r="A433" s="932">
        <v>17</v>
      </c>
      <c r="B433" s="911" t="s">
        <v>2133</v>
      </c>
      <c r="C433" s="882" t="s">
        <v>213</v>
      </c>
      <c r="D433" s="882">
        <v>1</v>
      </c>
      <c r="E433" s="877">
        <v>500</v>
      </c>
      <c r="F433" s="877">
        <f>D433*E433</f>
        <v>500</v>
      </c>
    </row>
    <row r="434" spans="1:6">
      <c r="B434" s="911"/>
      <c r="C434" s="882"/>
      <c r="D434" s="882" t="s">
        <v>1246</v>
      </c>
      <c r="E434" s="877"/>
      <c r="F434" s="877"/>
    </row>
    <row r="435" spans="1:6">
      <c r="A435" s="932">
        <v>18</v>
      </c>
      <c r="B435" s="911" t="s">
        <v>2095</v>
      </c>
      <c r="C435" s="854" t="s">
        <v>213</v>
      </c>
      <c r="D435" s="854">
        <v>1</v>
      </c>
      <c r="E435" s="952">
        <v>200</v>
      </c>
      <c r="F435" s="952">
        <f>E435*D435</f>
        <v>200</v>
      </c>
    </row>
    <row r="436" spans="1:6">
      <c r="A436" s="855"/>
      <c r="B436" s="911"/>
    </row>
    <row r="437" spans="1:6">
      <c r="A437" s="932" t="s">
        <v>1395</v>
      </c>
      <c r="B437" s="869" t="s">
        <v>38</v>
      </c>
      <c r="C437" s="907"/>
      <c r="D437" s="897" t="s">
        <v>1246</v>
      </c>
      <c r="E437" s="848"/>
      <c r="F437" s="929">
        <f>SUM(F362:F436)</f>
        <v>82755</v>
      </c>
    </row>
    <row r="438" spans="1:6">
      <c r="B438" s="871"/>
      <c r="C438" s="930"/>
      <c r="D438" s="873"/>
      <c r="E438" s="934"/>
      <c r="F438" s="877"/>
    </row>
    <row r="439" spans="1:6" ht="20.399999999999999">
      <c r="A439" s="888"/>
      <c r="B439" s="860" t="s">
        <v>1234</v>
      </c>
      <c r="C439" s="859" t="s">
        <v>1235</v>
      </c>
      <c r="D439" s="859" t="s">
        <v>1236</v>
      </c>
      <c r="E439" s="875" t="s">
        <v>1500</v>
      </c>
      <c r="F439" s="868" t="s">
        <v>1926</v>
      </c>
    </row>
    <row r="440" spans="1:6">
      <c r="B440" s="937"/>
      <c r="C440" s="936"/>
      <c r="D440" s="936"/>
      <c r="E440" s="877"/>
    </row>
    <row r="441" spans="1:6" ht="43.2">
      <c r="A441" s="922" t="s">
        <v>1438</v>
      </c>
      <c r="B441" s="902" t="s">
        <v>2134</v>
      </c>
    </row>
    <row r="442" spans="1:6">
      <c r="A442" s="879"/>
      <c r="B442" s="862"/>
    </row>
    <row r="443" spans="1:6">
      <c r="A443" s="879">
        <v>1</v>
      </c>
      <c r="B443" s="864" t="s">
        <v>2135</v>
      </c>
      <c r="C443" s="951"/>
      <c r="D443" s="951" t="s">
        <v>1246</v>
      </c>
    </row>
    <row r="444" spans="1:6" ht="129.6">
      <c r="A444" s="879"/>
      <c r="B444" s="864" t="s">
        <v>2136</v>
      </c>
      <c r="C444" s="951"/>
      <c r="D444" s="951"/>
    </row>
    <row r="445" spans="1:6">
      <c r="A445" s="879"/>
      <c r="B445" s="864" t="s">
        <v>2137</v>
      </c>
      <c r="C445" s="951"/>
      <c r="D445" s="951"/>
    </row>
    <row r="446" spans="1:6" ht="244.8">
      <c r="A446" s="879"/>
      <c r="B446" s="864" t="s">
        <v>2138</v>
      </c>
      <c r="C446" s="951"/>
      <c r="D446" s="951"/>
    </row>
    <row r="447" spans="1:6" ht="28.8">
      <c r="A447" s="879"/>
      <c r="B447" s="864" t="s">
        <v>2139</v>
      </c>
      <c r="C447" s="878" t="s">
        <v>31</v>
      </c>
      <c r="D447" s="878">
        <v>4</v>
      </c>
      <c r="E447" s="877">
        <v>800</v>
      </c>
      <c r="F447" s="934">
        <f>E447*D447</f>
        <v>3200</v>
      </c>
    </row>
    <row r="448" spans="1:6">
      <c r="A448" s="879"/>
      <c r="B448" s="864"/>
      <c r="C448" s="878"/>
      <c r="D448" s="878"/>
      <c r="E448" s="934"/>
      <c r="F448" s="934"/>
    </row>
    <row r="449" spans="1:6">
      <c r="A449" s="879">
        <v>2</v>
      </c>
      <c r="B449" s="864" t="s">
        <v>2135</v>
      </c>
      <c r="C449" s="951"/>
      <c r="D449" s="951" t="s">
        <v>1246</v>
      </c>
    </row>
    <row r="450" spans="1:6" ht="129.6">
      <c r="A450" s="879"/>
      <c r="B450" s="864" t="s">
        <v>2140</v>
      </c>
      <c r="C450" s="951"/>
      <c r="D450" s="951"/>
    </row>
    <row r="451" spans="1:6">
      <c r="A451" s="879" t="s">
        <v>848</v>
      </c>
      <c r="B451" s="864" t="s">
        <v>2137</v>
      </c>
      <c r="C451" s="951"/>
      <c r="D451" s="951"/>
    </row>
    <row r="452" spans="1:6" ht="244.8">
      <c r="A452" s="879"/>
      <c r="B452" s="864" t="s">
        <v>2141</v>
      </c>
      <c r="C452" s="951"/>
      <c r="D452" s="951"/>
    </row>
    <row r="453" spans="1:6" ht="28.8">
      <c r="A453" s="879"/>
      <c r="B453" s="864" t="s">
        <v>2139</v>
      </c>
      <c r="C453" s="878" t="s">
        <v>31</v>
      </c>
      <c r="D453" s="878">
        <v>2</v>
      </c>
      <c r="E453" s="877">
        <v>1500</v>
      </c>
      <c r="F453" s="934">
        <f>E453*D453</f>
        <v>3000</v>
      </c>
    </row>
    <row r="454" spans="1:6">
      <c r="A454" s="879"/>
      <c r="B454" s="864"/>
      <c r="C454" s="878"/>
      <c r="D454" s="878"/>
      <c r="E454" s="934"/>
      <c r="F454" s="934"/>
    </row>
    <row r="455" spans="1:6">
      <c r="A455" s="879" t="s">
        <v>1978</v>
      </c>
      <c r="B455" s="864" t="s">
        <v>2137</v>
      </c>
      <c r="C455" s="951"/>
      <c r="D455" s="951"/>
    </row>
    <row r="456" spans="1:6" ht="244.8">
      <c r="A456" s="879"/>
      <c r="B456" s="864" t="s">
        <v>2142</v>
      </c>
      <c r="C456" s="951"/>
      <c r="D456" s="951"/>
    </row>
    <row r="457" spans="1:6" ht="28.8">
      <c r="A457" s="879"/>
      <c r="B457" s="864" t="s">
        <v>2139</v>
      </c>
      <c r="C457" s="878" t="s">
        <v>31</v>
      </c>
      <c r="D457" s="878">
        <v>10</v>
      </c>
      <c r="E457" s="877">
        <v>2000</v>
      </c>
      <c r="F457" s="934">
        <f>E457*D457</f>
        <v>20000</v>
      </c>
    </row>
    <row r="458" spans="1:6">
      <c r="A458" s="879"/>
      <c r="B458" s="864"/>
      <c r="C458" s="878"/>
      <c r="D458" s="878"/>
      <c r="E458" s="877"/>
      <c r="F458" s="934"/>
    </row>
    <row r="459" spans="1:6">
      <c r="A459" s="879">
        <v>3</v>
      </c>
      <c r="B459" s="864" t="s">
        <v>2135</v>
      </c>
      <c r="C459" s="951"/>
      <c r="D459" s="951" t="s">
        <v>1246</v>
      </c>
    </row>
    <row r="460" spans="1:6" ht="172.8">
      <c r="A460" s="879"/>
      <c r="B460" s="864" t="s">
        <v>2143</v>
      </c>
      <c r="C460" s="951"/>
      <c r="D460" s="951"/>
    </row>
    <row r="461" spans="1:6">
      <c r="A461" s="879" t="s">
        <v>848</v>
      </c>
      <c r="B461" s="864" t="s">
        <v>2137</v>
      </c>
      <c r="C461" s="951"/>
      <c r="D461" s="951"/>
    </row>
    <row r="462" spans="1:6" ht="244.8">
      <c r="A462" s="879"/>
      <c r="B462" s="864" t="s">
        <v>2144</v>
      </c>
      <c r="C462" s="951"/>
      <c r="D462" s="951"/>
    </row>
    <row r="463" spans="1:6" ht="28.8">
      <c r="A463" s="879"/>
      <c r="B463" s="864" t="s">
        <v>2139</v>
      </c>
      <c r="C463" s="878" t="s">
        <v>31</v>
      </c>
      <c r="D463" s="878">
        <v>5</v>
      </c>
      <c r="E463" s="877">
        <v>1500</v>
      </c>
      <c r="F463" s="934">
        <f>E463*D463</f>
        <v>7500</v>
      </c>
    </row>
    <row r="464" spans="1:6">
      <c r="A464" s="879"/>
      <c r="B464" s="864"/>
      <c r="C464" s="878"/>
      <c r="D464" s="878"/>
      <c r="E464" s="934"/>
      <c r="F464" s="934"/>
    </row>
    <row r="465" spans="1:6">
      <c r="A465" s="879" t="s">
        <v>1978</v>
      </c>
      <c r="B465" s="864" t="s">
        <v>2137</v>
      </c>
      <c r="C465" s="951"/>
      <c r="D465" s="951"/>
    </row>
    <row r="466" spans="1:6" ht="244.8">
      <c r="A466" s="879"/>
      <c r="B466" s="864" t="s">
        <v>2145</v>
      </c>
      <c r="C466" s="951"/>
      <c r="D466" s="951"/>
    </row>
    <row r="467" spans="1:6" ht="28.8">
      <c r="A467" s="879"/>
      <c r="B467" s="864" t="s">
        <v>2139</v>
      </c>
      <c r="C467" s="878" t="s">
        <v>31</v>
      </c>
      <c r="D467" s="878">
        <v>2</v>
      </c>
      <c r="E467" s="877">
        <v>2000</v>
      </c>
      <c r="F467" s="934">
        <f>E467*D467</f>
        <v>4000</v>
      </c>
    </row>
    <row r="468" spans="1:6">
      <c r="A468" s="879"/>
      <c r="B468" s="864"/>
      <c r="C468" s="878"/>
      <c r="D468" s="878"/>
      <c r="E468" s="934"/>
      <c r="F468" s="934"/>
    </row>
    <row r="469" spans="1:6">
      <c r="A469" s="879">
        <v>4</v>
      </c>
      <c r="B469" s="864" t="s">
        <v>2135</v>
      </c>
      <c r="C469" s="948"/>
      <c r="D469" s="951"/>
      <c r="E469" s="866"/>
    </row>
    <row r="470" spans="1:6" ht="187.2">
      <c r="A470" s="879"/>
      <c r="B470" s="864" t="s">
        <v>2146</v>
      </c>
      <c r="C470" s="948"/>
      <c r="D470" s="951"/>
      <c r="E470" s="866"/>
    </row>
    <row r="471" spans="1:6" ht="28.8">
      <c r="A471" s="879"/>
      <c r="B471" s="864" t="s">
        <v>2147</v>
      </c>
      <c r="C471" s="882" t="s">
        <v>31</v>
      </c>
      <c r="D471" s="882">
        <v>12</v>
      </c>
      <c r="E471" s="887">
        <v>150</v>
      </c>
      <c r="F471" s="934">
        <f>E471*D471</f>
        <v>1800</v>
      </c>
    </row>
    <row r="472" spans="1:6">
      <c r="A472" s="879"/>
      <c r="B472" s="864"/>
      <c r="C472" s="882"/>
      <c r="D472" s="882"/>
      <c r="E472" s="887"/>
      <c r="F472" s="877"/>
    </row>
    <row r="473" spans="1:6">
      <c r="A473" s="879">
        <v>5</v>
      </c>
      <c r="B473" s="864" t="s">
        <v>2135</v>
      </c>
      <c r="C473" s="948"/>
      <c r="D473" s="951"/>
      <c r="E473" s="866"/>
    </row>
    <row r="474" spans="1:6" ht="129.6">
      <c r="A474" s="879"/>
      <c r="B474" s="864" t="s">
        <v>2148</v>
      </c>
      <c r="C474" s="948"/>
      <c r="D474" s="951"/>
      <c r="E474" s="866"/>
    </row>
    <row r="475" spans="1:6">
      <c r="A475" s="879"/>
      <c r="B475" s="864"/>
      <c r="C475" s="882" t="s">
        <v>31</v>
      </c>
      <c r="D475" s="882">
        <v>6</v>
      </c>
      <c r="E475" s="887">
        <v>250</v>
      </c>
      <c r="F475" s="934">
        <f>E475*D475</f>
        <v>1500</v>
      </c>
    </row>
    <row r="476" spans="1:6">
      <c r="A476" s="879"/>
      <c r="B476" s="864"/>
      <c r="C476" s="882"/>
      <c r="D476" s="882"/>
      <c r="E476" s="887"/>
      <c r="F476" s="877"/>
    </row>
    <row r="477" spans="1:6" ht="57.6">
      <c r="A477" s="879">
        <v>6</v>
      </c>
      <c r="B477" s="864" t="s">
        <v>2149</v>
      </c>
      <c r="C477" s="867"/>
      <c r="D477" s="867" t="s">
        <v>1246</v>
      </c>
      <c r="E477" s="939"/>
      <c r="F477" s="939"/>
    </row>
    <row r="478" spans="1:6">
      <c r="A478" s="879"/>
      <c r="B478" s="864"/>
      <c r="C478" s="882" t="s">
        <v>213</v>
      </c>
      <c r="D478" s="882">
        <v>1</v>
      </c>
      <c r="E478" s="887">
        <v>500</v>
      </c>
      <c r="F478" s="934">
        <f>E478*D478</f>
        <v>500</v>
      </c>
    </row>
    <row r="479" spans="1:6">
      <c r="A479" s="879"/>
      <c r="B479" s="867"/>
      <c r="C479" s="916"/>
      <c r="D479" s="916"/>
      <c r="E479" s="939"/>
      <c r="F479" s="939"/>
    </row>
    <row r="480" spans="1:6" ht="57.6">
      <c r="A480" s="879">
        <v>7</v>
      </c>
      <c r="B480" s="864" t="s">
        <v>2150</v>
      </c>
      <c r="C480" s="867"/>
      <c r="D480" s="867" t="s">
        <v>1246</v>
      </c>
      <c r="E480" s="939"/>
      <c r="F480" s="939"/>
    </row>
    <row r="481" spans="1:6">
      <c r="A481" s="879" t="s">
        <v>848</v>
      </c>
      <c r="B481" s="864" t="s">
        <v>2127</v>
      </c>
      <c r="C481" s="882" t="s">
        <v>31</v>
      </c>
      <c r="D481" s="947">
        <v>10</v>
      </c>
      <c r="E481" s="887">
        <v>30</v>
      </c>
      <c r="F481" s="877">
        <f t="shared" ref="F481:F484" si="22">E481*D481</f>
        <v>300</v>
      </c>
    </row>
    <row r="482" spans="1:6">
      <c r="A482" s="879" t="s">
        <v>1978</v>
      </c>
      <c r="B482" s="864" t="s">
        <v>2127</v>
      </c>
      <c r="C482" s="882" t="s">
        <v>31</v>
      </c>
      <c r="D482" s="947">
        <v>36</v>
      </c>
      <c r="E482" s="887">
        <v>30</v>
      </c>
      <c r="F482" s="877">
        <f t="shared" si="22"/>
        <v>1080</v>
      </c>
    </row>
    <row r="483" spans="1:6">
      <c r="A483" s="879" t="s">
        <v>1996</v>
      </c>
      <c r="B483" s="864" t="s">
        <v>2035</v>
      </c>
      <c r="C483" s="882" t="s">
        <v>31</v>
      </c>
      <c r="D483" s="947">
        <v>10</v>
      </c>
      <c r="E483" s="887">
        <v>35</v>
      </c>
      <c r="F483" s="877">
        <f t="shared" si="22"/>
        <v>350</v>
      </c>
    </row>
    <row r="484" spans="1:6">
      <c r="A484" s="879" t="s">
        <v>1998</v>
      </c>
      <c r="B484" s="864" t="s">
        <v>2130</v>
      </c>
      <c r="C484" s="882" t="s">
        <v>31</v>
      </c>
      <c r="D484" s="947">
        <v>2</v>
      </c>
      <c r="E484" s="887">
        <v>40</v>
      </c>
      <c r="F484" s="877">
        <f t="shared" si="22"/>
        <v>80</v>
      </c>
    </row>
    <row r="485" spans="1:6">
      <c r="A485" s="879"/>
      <c r="B485" s="867"/>
      <c r="C485" s="916"/>
      <c r="D485" s="916"/>
      <c r="E485" s="939"/>
      <c r="F485" s="939"/>
    </row>
    <row r="486" spans="1:6" ht="57.6">
      <c r="A486" s="879">
        <v>8</v>
      </c>
      <c r="B486" s="864" t="s">
        <v>2151</v>
      </c>
      <c r="C486" s="867"/>
      <c r="D486" s="867" t="s">
        <v>1246</v>
      </c>
      <c r="E486" s="939"/>
      <c r="F486" s="939"/>
    </row>
    <row r="487" spans="1:6">
      <c r="A487" s="879" t="s">
        <v>848</v>
      </c>
      <c r="B487" s="864" t="s">
        <v>2126</v>
      </c>
      <c r="C487" s="882" t="s">
        <v>31</v>
      </c>
      <c r="D487" s="947">
        <v>10</v>
      </c>
      <c r="E487" s="887">
        <v>30</v>
      </c>
      <c r="F487" s="877">
        <f t="shared" ref="F487:F490" si="23">E487*D487</f>
        <v>300</v>
      </c>
    </row>
    <row r="488" spans="1:6">
      <c r="A488" s="879" t="s">
        <v>1978</v>
      </c>
      <c r="B488" s="864" t="s">
        <v>2127</v>
      </c>
      <c r="C488" s="882" t="s">
        <v>31</v>
      </c>
      <c r="D488" s="947">
        <v>36</v>
      </c>
      <c r="E488" s="887">
        <v>30</v>
      </c>
      <c r="F488" s="877">
        <f t="shared" si="23"/>
        <v>1080</v>
      </c>
    </row>
    <row r="489" spans="1:6">
      <c r="A489" s="879" t="s">
        <v>1996</v>
      </c>
      <c r="B489" s="864" t="s">
        <v>2035</v>
      </c>
      <c r="C489" s="882" t="s">
        <v>31</v>
      </c>
      <c r="D489" s="947">
        <v>10</v>
      </c>
      <c r="E489" s="887">
        <v>40</v>
      </c>
      <c r="F489" s="877">
        <f t="shared" si="23"/>
        <v>400</v>
      </c>
    </row>
    <row r="490" spans="1:6">
      <c r="A490" s="879" t="s">
        <v>1998</v>
      </c>
      <c r="B490" s="864" t="s">
        <v>2130</v>
      </c>
      <c r="C490" s="882" t="s">
        <v>31</v>
      </c>
      <c r="D490" s="947">
        <v>2</v>
      </c>
      <c r="E490" s="887">
        <v>40</v>
      </c>
      <c r="F490" s="877">
        <f t="shared" si="23"/>
        <v>80</v>
      </c>
    </row>
    <row r="491" spans="1:6">
      <c r="A491" s="879"/>
      <c r="B491" s="867"/>
      <c r="C491" s="916"/>
      <c r="D491" s="916"/>
      <c r="E491" s="939"/>
      <c r="F491" s="939"/>
    </row>
    <row r="492" spans="1:6">
      <c r="A492" s="879">
        <v>9</v>
      </c>
      <c r="B492" s="864" t="s">
        <v>2152</v>
      </c>
      <c r="C492" s="867"/>
      <c r="D492" s="867"/>
      <c r="E492" s="939"/>
      <c r="F492" s="939"/>
    </row>
    <row r="493" spans="1:6" ht="86.4">
      <c r="A493" s="879"/>
      <c r="B493" s="864" t="s">
        <v>2153</v>
      </c>
      <c r="C493" s="867"/>
      <c r="D493" s="867"/>
      <c r="E493" s="939"/>
      <c r="F493" s="939"/>
    </row>
    <row r="494" spans="1:6" ht="100.8">
      <c r="A494" s="879"/>
      <c r="B494" s="864" t="s">
        <v>2154</v>
      </c>
      <c r="C494" s="867"/>
      <c r="D494" s="867"/>
      <c r="E494" s="939"/>
      <c r="F494" s="939"/>
    </row>
    <row r="495" spans="1:6" ht="28.8">
      <c r="A495" s="879"/>
      <c r="B495" s="864" t="s">
        <v>2139</v>
      </c>
      <c r="C495" s="867"/>
      <c r="D495" s="867"/>
      <c r="E495" s="939"/>
      <c r="F495" s="939"/>
    </row>
    <row r="496" spans="1:6">
      <c r="A496" s="879" t="s">
        <v>848</v>
      </c>
      <c r="B496" s="951" t="s">
        <v>2155</v>
      </c>
      <c r="C496" s="882" t="s">
        <v>31</v>
      </c>
      <c r="D496" s="947">
        <v>2</v>
      </c>
      <c r="E496" s="887">
        <v>50</v>
      </c>
      <c r="F496" s="877">
        <f>E496*D496</f>
        <v>100</v>
      </c>
    </row>
    <row r="497" spans="1:6">
      <c r="A497" s="879" t="s">
        <v>1978</v>
      </c>
      <c r="B497" s="951" t="s">
        <v>2156</v>
      </c>
      <c r="C497" s="882" t="s">
        <v>31</v>
      </c>
      <c r="D497" s="947">
        <v>3</v>
      </c>
      <c r="E497" s="887">
        <v>80</v>
      </c>
      <c r="F497" s="877">
        <f>E497*D497</f>
        <v>240</v>
      </c>
    </row>
    <row r="498" spans="1:6">
      <c r="A498" s="879" t="s">
        <v>1996</v>
      </c>
      <c r="B498" s="951" t="s">
        <v>2157</v>
      </c>
      <c r="C498" s="882" t="s">
        <v>31</v>
      </c>
      <c r="D498" s="947">
        <v>8</v>
      </c>
      <c r="E498" s="887">
        <v>80</v>
      </c>
      <c r="F498" s="877">
        <f t="shared" ref="F498:F500" si="24">E498*D498</f>
        <v>640</v>
      </c>
    </row>
    <row r="499" spans="1:6">
      <c r="A499" s="879" t="s">
        <v>1998</v>
      </c>
      <c r="B499" s="951" t="s">
        <v>2158</v>
      </c>
      <c r="C499" s="882" t="s">
        <v>31</v>
      </c>
      <c r="D499" s="947">
        <v>15</v>
      </c>
      <c r="E499" s="887">
        <v>100</v>
      </c>
      <c r="F499" s="877">
        <f t="shared" si="24"/>
        <v>1500</v>
      </c>
    </row>
    <row r="500" spans="1:6">
      <c r="A500" s="879" t="s">
        <v>851</v>
      </c>
      <c r="B500" s="951" t="s">
        <v>2159</v>
      </c>
      <c r="C500" s="882" t="s">
        <v>31</v>
      </c>
      <c r="D500" s="882">
        <v>1</v>
      </c>
      <c r="E500" s="887">
        <v>150</v>
      </c>
      <c r="F500" s="877">
        <f t="shared" si="24"/>
        <v>150</v>
      </c>
    </row>
    <row r="501" spans="1:6">
      <c r="A501" s="879"/>
      <c r="B501" s="864"/>
      <c r="C501" s="882"/>
      <c r="D501" s="882"/>
      <c r="E501" s="877"/>
      <c r="F501" s="877"/>
    </row>
    <row r="502" spans="1:6" ht="57.6">
      <c r="A502" s="879">
        <v>10</v>
      </c>
      <c r="B502" s="864" t="s">
        <v>2160</v>
      </c>
      <c r="C502" s="882"/>
      <c r="D502" s="882" t="s">
        <v>1246</v>
      </c>
      <c r="E502" s="887"/>
      <c r="F502" s="877"/>
    </row>
    <row r="503" spans="1:6">
      <c r="A503" s="879"/>
      <c r="B503" s="864"/>
      <c r="C503" s="882" t="s">
        <v>31</v>
      </c>
      <c r="D503" s="882">
        <v>16</v>
      </c>
      <c r="E503" s="887">
        <v>50</v>
      </c>
      <c r="F503" s="877">
        <f t="shared" ref="F503" si="25">E503*D503</f>
        <v>800</v>
      </c>
    </row>
    <row r="504" spans="1:6">
      <c r="A504" s="879"/>
      <c r="B504" s="864"/>
      <c r="C504" s="882"/>
      <c r="D504" s="882" t="s">
        <v>1246</v>
      </c>
      <c r="E504" s="887"/>
      <c r="F504" s="877"/>
    </row>
    <row r="505" spans="1:6" ht="43.2">
      <c r="A505" s="879">
        <v>11</v>
      </c>
      <c r="B505" s="889" t="s">
        <v>2161</v>
      </c>
      <c r="C505" s="951"/>
      <c r="D505" s="882" t="s">
        <v>1246</v>
      </c>
      <c r="E505" s="957"/>
      <c r="F505" s="866"/>
    </row>
    <row r="506" spans="1:6">
      <c r="A506" s="879" t="s">
        <v>848</v>
      </c>
      <c r="B506" s="858" t="s">
        <v>2162</v>
      </c>
      <c r="C506" s="854" t="s">
        <v>214</v>
      </c>
      <c r="D506" s="882">
        <v>42</v>
      </c>
      <c r="E506" s="908">
        <v>30</v>
      </c>
      <c r="F506" s="877">
        <f t="shared" ref="F506:F513" si="26">E506*D506</f>
        <v>1260</v>
      </c>
    </row>
    <row r="507" spans="1:6">
      <c r="A507" s="879" t="s">
        <v>1978</v>
      </c>
      <c r="B507" s="858" t="s">
        <v>2043</v>
      </c>
      <c r="C507" s="854" t="s">
        <v>214</v>
      </c>
      <c r="D507" s="882">
        <v>238</v>
      </c>
      <c r="E507" s="908">
        <v>35</v>
      </c>
      <c r="F507" s="877">
        <f t="shared" si="26"/>
        <v>8330</v>
      </c>
    </row>
    <row r="508" spans="1:6">
      <c r="A508" s="879" t="s">
        <v>1996</v>
      </c>
      <c r="B508" s="858" t="s">
        <v>2044</v>
      </c>
      <c r="C508" s="854" t="s">
        <v>214</v>
      </c>
      <c r="D508" s="882">
        <v>126</v>
      </c>
      <c r="E508" s="908">
        <v>40</v>
      </c>
      <c r="F508" s="877">
        <f t="shared" si="26"/>
        <v>5040</v>
      </c>
    </row>
    <row r="509" spans="1:6">
      <c r="A509" s="879" t="s">
        <v>1998</v>
      </c>
      <c r="B509" s="858" t="s">
        <v>2097</v>
      </c>
      <c r="C509" s="854" t="s">
        <v>214</v>
      </c>
      <c r="D509" s="882">
        <v>140</v>
      </c>
      <c r="E509" s="908">
        <v>45</v>
      </c>
      <c r="F509" s="877">
        <f t="shared" si="26"/>
        <v>6300</v>
      </c>
    </row>
    <row r="510" spans="1:6">
      <c r="A510" s="879" t="s">
        <v>851</v>
      </c>
      <c r="B510" s="858" t="s">
        <v>2098</v>
      </c>
      <c r="C510" s="854" t="s">
        <v>214</v>
      </c>
      <c r="D510" s="882">
        <v>56</v>
      </c>
      <c r="E510" s="908">
        <v>50</v>
      </c>
      <c r="F510" s="877">
        <f t="shared" si="26"/>
        <v>2800</v>
      </c>
    </row>
    <row r="511" spans="1:6">
      <c r="A511" s="879" t="s">
        <v>2100</v>
      </c>
      <c r="B511" s="858" t="s">
        <v>2099</v>
      </c>
      <c r="C511" s="854" t="s">
        <v>214</v>
      </c>
      <c r="D511" s="882">
        <v>210</v>
      </c>
      <c r="E511" s="908">
        <v>55</v>
      </c>
      <c r="F511" s="877">
        <f t="shared" si="26"/>
        <v>11550</v>
      </c>
    </row>
    <row r="512" spans="1:6">
      <c r="A512" s="879" t="s">
        <v>2163</v>
      </c>
      <c r="B512" s="858" t="s">
        <v>2045</v>
      </c>
      <c r="C512" s="854" t="s">
        <v>214</v>
      </c>
      <c r="D512" s="882">
        <v>42</v>
      </c>
      <c r="E512" s="908">
        <v>60</v>
      </c>
      <c r="F512" s="877">
        <f t="shared" si="26"/>
        <v>2520</v>
      </c>
    </row>
    <row r="513" spans="1:6">
      <c r="A513" s="879" t="s">
        <v>2164</v>
      </c>
      <c r="B513" s="858" t="s">
        <v>2046</v>
      </c>
      <c r="C513" s="854" t="s">
        <v>214</v>
      </c>
      <c r="D513" s="882">
        <v>21</v>
      </c>
      <c r="E513" s="908">
        <v>80</v>
      </c>
      <c r="F513" s="877">
        <f t="shared" si="26"/>
        <v>1680</v>
      </c>
    </row>
    <row r="514" spans="1:6">
      <c r="A514" s="879"/>
      <c r="B514" s="864"/>
      <c r="C514" s="882"/>
      <c r="D514" s="882" t="s">
        <v>1246</v>
      </c>
      <c r="E514" s="887"/>
      <c r="F514" s="887"/>
    </row>
    <row r="515" spans="1:6" ht="144">
      <c r="A515" s="879">
        <v>12</v>
      </c>
      <c r="B515" s="864" t="s">
        <v>2048</v>
      </c>
      <c r="C515" s="951"/>
      <c r="D515" s="882" t="s">
        <v>1246</v>
      </c>
      <c r="E515" s="957"/>
      <c r="F515" s="866"/>
    </row>
    <row r="516" spans="1:6">
      <c r="A516" s="879" t="s">
        <v>848</v>
      </c>
      <c r="B516" s="858" t="s">
        <v>2162</v>
      </c>
      <c r="C516" s="854" t="s">
        <v>214</v>
      </c>
      <c r="D516" s="882">
        <v>42</v>
      </c>
      <c r="E516" s="908">
        <v>3</v>
      </c>
      <c r="F516" s="877">
        <f t="shared" ref="F516:F523" si="27">E516*D516</f>
        <v>126</v>
      </c>
    </row>
    <row r="517" spans="1:6">
      <c r="A517" s="879" t="s">
        <v>1978</v>
      </c>
      <c r="B517" s="858" t="s">
        <v>2043</v>
      </c>
      <c r="C517" s="854" t="s">
        <v>214</v>
      </c>
      <c r="D517" s="882">
        <v>238</v>
      </c>
      <c r="E517" s="908">
        <v>5</v>
      </c>
      <c r="F517" s="877">
        <f t="shared" si="27"/>
        <v>1190</v>
      </c>
    </row>
    <row r="518" spans="1:6">
      <c r="A518" s="879" t="s">
        <v>1996</v>
      </c>
      <c r="B518" s="858" t="s">
        <v>2044</v>
      </c>
      <c r="C518" s="854" t="s">
        <v>214</v>
      </c>
      <c r="D518" s="882">
        <v>126</v>
      </c>
      <c r="E518" s="908">
        <v>7</v>
      </c>
      <c r="F518" s="877">
        <f t="shared" si="27"/>
        <v>882</v>
      </c>
    </row>
    <row r="519" spans="1:6">
      <c r="A519" s="879" t="s">
        <v>1998</v>
      </c>
      <c r="B519" s="858" t="s">
        <v>2097</v>
      </c>
      <c r="C519" s="854" t="s">
        <v>214</v>
      </c>
      <c r="D519" s="882">
        <v>140</v>
      </c>
      <c r="E519" s="908">
        <v>9</v>
      </c>
      <c r="F519" s="877">
        <f t="shared" si="27"/>
        <v>1260</v>
      </c>
    </row>
    <row r="520" spans="1:6">
      <c r="A520" s="879" t="s">
        <v>851</v>
      </c>
      <c r="B520" s="858" t="s">
        <v>2098</v>
      </c>
      <c r="C520" s="854" t="s">
        <v>214</v>
      </c>
      <c r="D520" s="882">
        <v>56</v>
      </c>
      <c r="E520" s="908">
        <v>11</v>
      </c>
      <c r="F520" s="877">
        <f t="shared" si="27"/>
        <v>616</v>
      </c>
    </row>
    <row r="521" spans="1:6">
      <c r="A521" s="879" t="s">
        <v>2100</v>
      </c>
      <c r="B521" s="858" t="s">
        <v>2099</v>
      </c>
      <c r="C521" s="854" t="s">
        <v>214</v>
      </c>
      <c r="D521" s="882">
        <v>210</v>
      </c>
      <c r="E521" s="908">
        <v>13</v>
      </c>
      <c r="F521" s="877">
        <f t="shared" si="27"/>
        <v>2730</v>
      </c>
    </row>
    <row r="522" spans="1:6">
      <c r="A522" s="879" t="s">
        <v>2163</v>
      </c>
      <c r="B522" s="858" t="s">
        <v>2045</v>
      </c>
      <c r="C522" s="854" t="s">
        <v>214</v>
      </c>
      <c r="D522" s="882">
        <v>42</v>
      </c>
      <c r="E522" s="908">
        <v>15</v>
      </c>
      <c r="F522" s="877">
        <f t="shared" si="27"/>
        <v>630</v>
      </c>
    </row>
    <row r="523" spans="1:6">
      <c r="A523" s="879" t="s">
        <v>2164</v>
      </c>
      <c r="B523" s="858" t="s">
        <v>2046</v>
      </c>
      <c r="C523" s="854" t="s">
        <v>214</v>
      </c>
      <c r="D523" s="882">
        <v>21</v>
      </c>
      <c r="E523" s="908">
        <v>18</v>
      </c>
      <c r="F523" s="877">
        <f t="shared" si="27"/>
        <v>378</v>
      </c>
    </row>
    <row r="524" spans="1:6">
      <c r="A524" s="879"/>
      <c r="B524" s="864"/>
      <c r="C524" s="882"/>
      <c r="D524" s="882" t="s">
        <v>1246</v>
      </c>
      <c r="E524" s="887"/>
      <c r="F524" s="887"/>
    </row>
    <row r="525" spans="1:6" ht="43.2">
      <c r="A525" s="879">
        <v>13</v>
      </c>
      <c r="B525" s="864" t="s">
        <v>2165</v>
      </c>
      <c r="C525" s="951"/>
      <c r="D525" s="951"/>
      <c r="E525" s="866"/>
      <c r="F525" s="866"/>
    </row>
    <row r="526" spans="1:6" ht="28.8">
      <c r="A526" s="879"/>
      <c r="B526" s="864" t="s">
        <v>2139</v>
      </c>
      <c r="C526" s="878" t="s">
        <v>31</v>
      </c>
      <c r="D526" s="878">
        <v>19</v>
      </c>
      <c r="E526" s="887">
        <v>50</v>
      </c>
      <c r="F526" s="934">
        <f>E526*D526</f>
        <v>950</v>
      </c>
    </row>
    <row r="527" spans="1:6">
      <c r="A527" s="879"/>
      <c r="B527" s="864"/>
      <c r="C527" s="878"/>
      <c r="D527" s="878"/>
      <c r="E527" s="908"/>
      <c r="F527" s="934"/>
    </row>
    <row r="528" spans="1:6" ht="43.2">
      <c r="A528" s="932">
        <v>14</v>
      </c>
      <c r="B528" s="911" t="s">
        <v>2049</v>
      </c>
      <c r="D528" s="854" t="s">
        <v>1246</v>
      </c>
      <c r="E528" s="908"/>
      <c r="F528" s="934"/>
    </row>
    <row r="529" spans="1:6">
      <c r="A529" s="932" t="s">
        <v>848</v>
      </c>
      <c r="B529" s="890" t="s">
        <v>2131</v>
      </c>
      <c r="C529" s="882" t="s">
        <v>31</v>
      </c>
      <c r="D529" s="882">
        <v>2</v>
      </c>
      <c r="E529" s="908">
        <v>100</v>
      </c>
      <c r="F529" s="934">
        <f t="shared" ref="F529:F531" si="28">E529*D529</f>
        <v>200</v>
      </c>
    </row>
    <row r="530" spans="1:6">
      <c r="A530" s="932" t="s">
        <v>1978</v>
      </c>
      <c r="B530" s="890" t="s">
        <v>2132</v>
      </c>
      <c r="C530" s="882" t="s">
        <v>31</v>
      </c>
      <c r="D530" s="882">
        <v>2</v>
      </c>
      <c r="E530" s="908">
        <v>150</v>
      </c>
      <c r="F530" s="934">
        <f t="shared" si="28"/>
        <v>300</v>
      </c>
    </row>
    <row r="531" spans="1:6">
      <c r="A531" s="932" t="s">
        <v>1996</v>
      </c>
      <c r="B531" s="890" t="s">
        <v>2166</v>
      </c>
      <c r="C531" s="882" t="s">
        <v>31</v>
      </c>
      <c r="D531" s="882">
        <v>2</v>
      </c>
      <c r="E531" s="908">
        <v>200</v>
      </c>
      <c r="F531" s="934">
        <f t="shared" si="28"/>
        <v>400</v>
      </c>
    </row>
    <row r="532" spans="1:6">
      <c r="B532" s="911"/>
      <c r="E532" s="908"/>
      <c r="F532" s="934"/>
    </row>
    <row r="533" spans="1:6" ht="43.2">
      <c r="A533" s="879">
        <v>15</v>
      </c>
      <c r="B533" s="864" t="s">
        <v>2167</v>
      </c>
      <c r="C533" s="882" t="s">
        <v>213</v>
      </c>
      <c r="D533" s="882">
        <v>1</v>
      </c>
      <c r="E533" s="887">
        <v>500</v>
      </c>
      <c r="F533" s="877">
        <f t="shared" ref="F533" si="29">E533*D533</f>
        <v>500</v>
      </c>
    </row>
    <row r="534" spans="1:6">
      <c r="A534" s="879"/>
      <c r="B534" s="864"/>
      <c r="C534" s="951"/>
      <c r="D534" s="882" t="s">
        <v>1246</v>
      </c>
      <c r="E534" s="866"/>
    </row>
    <row r="535" spans="1:6" ht="72">
      <c r="A535" s="879">
        <v>16</v>
      </c>
      <c r="B535" s="864" t="s">
        <v>2168</v>
      </c>
      <c r="C535" s="882" t="s">
        <v>213</v>
      </c>
      <c r="D535" s="882">
        <v>1</v>
      </c>
      <c r="E535" s="887">
        <v>1500</v>
      </c>
      <c r="F535" s="877">
        <f t="shared" ref="F535" si="30">E535*D535</f>
        <v>1500</v>
      </c>
    </row>
    <row r="536" spans="1:6">
      <c r="A536" s="879"/>
      <c r="B536" s="864"/>
      <c r="C536" s="882"/>
      <c r="D536" s="882" t="s">
        <v>1246</v>
      </c>
      <c r="E536" s="877"/>
      <c r="F536" s="877"/>
    </row>
    <row r="537" spans="1:6">
      <c r="A537" s="879" t="s">
        <v>1438</v>
      </c>
      <c r="B537" s="945" t="s">
        <v>38</v>
      </c>
      <c r="C537" s="953"/>
      <c r="D537" s="953" t="s">
        <v>1246</v>
      </c>
      <c r="E537" s="928"/>
      <c r="F537" s="946">
        <f>SUM(F441:F535)</f>
        <v>99742</v>
      </c>
    </row>
    <row r="539" spans="1:6" s="955" customFormat="1" ht="20.399999999999999">
      <c r="A539" s="958"/>
      <c r="B539" s="859" t="s">
        <v>1234</v>
      </c>
      <c r="C539" s="859" t="s">
        <v>2169</v>
      </c>
      <c r="D539" s="859" t="s">
        <v>2170</v>
      </c>
      <c r="E539" s="912" t="s">
        <v>2171</v>
      </c>
      <c r="F539" s="926" t="s">
        <v>2172</v>
      </c>
    </row>
    <row r="540" spans="1:6">
      <c r="B540" s="937"/>
      <c r="C540" s="936"/>
      <c r="D540" s="936"/>
      <c r="E540" s="899"/>
      <c r="F540" s="944"/>
    </row>
    <row r="541" spans="1:6">
      <c r="A541" s="904" t="s">
        <v>1492</v>
      </c>
      <c r="B541" s="931" t="s">
        <v>2173</v>
      </c>
      <c r="E541" s="915"/>
      <c r="F541" s="927"/>
    </row>
    <row r="542" spans="1:6">
      <c r="A542" s="855"/>
      <c r="E542" s="915"/>
      <c r="F542" s="927"/>
    </row>
    <row r="543" spans="1:6">
      <c r="A543" s="932">
        <v>1</v>
      </c>
      <c r="B543" s="911" t="s">
        <v>2135</v>
      </c>
      <c r="D543" s="878" t="s">
        <v>1246</v>
      </c>
    </row>
    <row r="544" spans="1:6" ht="144">
      <c r="A544" s="879"/>
      <c r="B544" s="864" t="s">
        <v>2174</v>
      </c>
      <c r="C544" s="882"/>
      <c r="D544" s="882"/>
      <c r="E544" s="877"/>
      <c r="F544" s="934"/>
    </row>
    <row r="545" spans="1:6">
      <c r="A545" s="879"/>
      <c r="B545" s="864" t="s">
        <v>2137</v>
      </c>
      <c r="C545" s="882"/>
      <c r="D545" s="882"/>
      <c r="E545" s="877"/>
      <c r="F545" s="934"/>
    </row>
    <row r="546" spans="1:6">
      <c r="A546" s="879"/>
      <c r="B546" s="864" t="s">
        <v>2175</v>
      </c>
      <c r="C546" s="882"/>
      <c r="D546" s="882"/>
      <c r="E546" s="877"/>
      <c r="F546" s="934"/>
    </row>
    <row r="547" spans="1:6">
      <c r="A547" s="879"/>
      <c r="B547" s="864" t="s">
        <v>2176</v>
      </c>
      <c r="C547" s="882"/>
      <c r="D547" s="882"/>
      <c r="E547" s="877"/>
      <c r="F547" s="934"/>
    </row>
    <row r="548" spans="1:6">
      <c r="A548" s="879"/>
      <c r="B548" s="864" t="s">
        <v>2177</v>
      </c>
      <c r="C548" s="882"/>
      <c r="D548" s="882"/>
      <c r="E548" s="877"/>
      <c r="F548" s="934"/>
    </row>
    <row r="549" spans="1:6">
      <c r="A549" s="879"/>
      <c r="B549" s="864" t="s">
        <v>2178</v>
      </c>
      <c r="C549" s="882"/>
      <c r="D549" s="882"/>
      <c r="E549" s="877"/>
      <c r="F549" s="934"/>
    </row>
    <row r="550" spans="1:6">
      <c r="A550" s="879"/>
      <c r="B550" s="864" t="s">
        <v>2179</v>
      </c>
      <c r="C550" s="882"/>
      <c r="D550" s="882"/>
      <c r="E550" s="877"/>
      <c r="F550" s="934"/>
    </row>
    <row r="551" spans="1:6">
      <c r="A551" s="879"/>
      <c r="B551" s="864" t="s">
        <v>2180</v>
      </c>
      <c r="C551" s="882"/>
      <c r="D551" s="882"/>
      <c r="E551" s="877"/>
      <c r="F551" s="934"/>
    </row>
    <row r="552" spans="1:6">
      <c r="A552" s="879"/>
      <c r="B552" s="864" t="s">
        <v>2181</v>
      </c>
      <c r="C552" s="882"/>
      <c r="D552" s="882"/>
      <c r="E552" s="877"/>
      <c r="F552" s="934"/>
    </row>
    <row r="553" spans="1:6">
      <c r="A553" s="879"/>
      <c r="B553" s="864" t="s">
        <v>2182</v>
      </c>
      <c r="C553" s="882"/>
      <c r="D553" s="882"/>
      <c r="E553" s="877"/>
      <c r="F553" s="934"/>
    </row>
    <row r="554" spans="1:6">
      <c r="A554" s="879"/>
      <c r="B554" s="864" t="s">
        <v>2183</v>
      </c>
      <c r="C554" s="882"/>
      <c r="D554" s="882"/>
      <c r="E554" s="877"/>
      <c r="F554" s="934"/>
    </row>
    <row r="555" spans="1:6">
      <c r="A555" s="879"/>
      <c r="B555" s="864" t="s">
        <v>2184</v>
      </c>
      <c r="C555" s="882"/>
      <c r="D555" s="882"/>
      <c r="E555" s="877"/>
      <c r="F555" s="934"/>
    </row>
    <row r="556" spans="1:6">
      <c r="A556" s="879"/>
      <c r="B556" s="864" t="s">
        <v>2185</v>
      </c>
      <c r="C556" s="882"/>
      <c r="D556" s="882"/>
      <c r="E556" s="877"/>
      <c r="F556" s="934"/>
    </row>
    <row r="557" spans="1:6">
      <c r="A557" s="879"/>
      <c r="B557" s="864" t="s">
        <v>2186</v>
      </c>
      <c r="C557" s="882"/>
      <c r="D557" s="882"/>
      <c r="E557" s="877"/>
      <c r="F557" s="934"/>
    </row>
    <row r="558" spans="1:6">
      <c r="A558" s="879"/>
      <c r="B558" s="864" t="s">
        <v>2187</v>
      </c>
      <c r="C558" s="882"/>
      <c r="D558" s="882"/>
      <c r="E558" s="877"/>
      <c r="F558" s="934"/>
    </row>
    <row r="559" spans="1:6">
      <c r="A559" s="879"/>
      <c r="B559" s="864" t="s">
        <v>2188</v>
      </c>
      <c r="C559" s="882"/>
      <c r="D559" s="882"/>
      <c r="E559" s="877"/>
      <c r="F559" s="934"/>
    </row>
    <row r="560" spans="1:6">
      <c r="A560" s="879"/>
      <c r="B560" s="864" t="s">
        <v>2189</v>
      </c>
      <c r="C560" s="882"/>
      <c r="D560" s="882"/>
      <c r="E560" s="877"/>
      <c r="F560" s="934"/>
    </row>
    <row r="561" spans="1:6">
      <c r="A561" s="879"/>
      <c r="B561" s="864" t="s">
        <v>2190</v>
      </c>
      <c r="C561" s="882"/>
      <c r="D561" s="882"/>
      <c r="E561" s="877"/>
      <c r="F561" s="934"/>
    </row>
    <row r="562" spans="1:6">
      <c r="A562" s="879"/>
      <c r="B562" s="864" t="s">
        <v>2191</v>
      </c>
      <c r="C562" s="882"/>
      <c r="D562" s="882"/>
      <c r="E562" s="877"/>
      <c r="F562" s="934"/>
    </row>
    <row r="563" spans="1:6">
      <c r="A563" s="879"/>
      <c r="B563" s="864" t="s">
        <v>2192</v>
      </c>
      <c r="C563" s="882"/>
      <c r="D563" s="882"/>
      <c r="E563" s="877"/>
      <c r="F563" s="934"/>
    </row>
    <row r="564" spans="1:6">
      <c r="A564" s="879"/>
      <c r="B564" s="864" t="s">
        <v>2193</v>
      </c>
      <c r="C564" s="882"/>
      <c r="D564" s="882"/>
      <c r="E564" s="877"/>
      <c r="F564" s="934"/>
    </row>
    <row r="565" spans="1:6">
      <c r="A565" s="879"/>
      <c r="B565" s="864" t="s">
        <v>2194</v>
      </c>
      <c r="C565" s="882"/>
      <c r="D565" s="882"/>
      <c r="E565" s="877"/>
      <c r="F565" s="934"/>
    </row>
    <row r="566" spans="1:6">
      <c r="A566" s="879"/>
      <c r="B566" s="864" t="s">
        <v>2195</v>
      </c>
      <c r="C566" s="882"/>
      <c r="D566" s="882"/>
      <c r="E566" s="877"/>
      <c r="F566" s="934"/>
    </row>
    <row r="567" spans="1:6">
      <c r="A567" s="891"/>
      <c r="B567" s="864" t="s">
        <v>2196</v>
      </c>
      <c r="C567" s="951"/>
      <c r="D567" s="951"/>
      <c r="E567" s="877"/>
      <c r="F567" s="877"/>
    </row>
    <row r="568" spans="1:6">
      <c r="A568" s="879"/>
      <c r="B568" s="864" t="s">
        <v>2197</v>
      </c>
      <c r="C568" s="882"/>
      <c r="D568" s="882"/>
      <c r="E568" s="877"/>
      <c r="F568" s="934"/>
    </row>
    <row r="569" spans="1:6">
      <c r="A569" s="879"/>
      <c r="B569" s="864" t="s">
        <v>2198</v>
      </c>
      <c r="C569" s="882"/>
      <c r="D569" s="882"/>
      <c r="E569" s="877"/>
      <c r="F569" s="934"/>
    </row>
    <row r="570" spans="1:6" ht="28.8">
      <c r="A570" s="879"/>
      <c r="B570" s="911" t="s">
        <v>2199</v>
      </c>
      <c r="C570" s="882" t="s">
        <v>31</v>
      </c>
      <c r="D570" s="882">
        <v>1</v>
      </c>
      <c r="E570" s="877">
        <v>7000</v>
      </c>
      <c r="F570" s="877">
        <f>D570*E570</f>
        <v>7000</v>
      </c>
    </row>
    <row r="571" spans="1:6">
      <c r="A571" s="879"/>
      <c r="B571" s="890"/>
      <c r="C571" s="882"/>
      <c r="D571" s="882"/>
      <c r="E571" s="877"/>
      <c r="F571" s="934"/>
    </row>
    <row r="572" spans="1:6" ht="43.2">
      <c r="A572" s="932">
        <v>2</v>
      </c>
      <c r="B572" s="911" t="s">
        <v>2200</v>
      </c>
      <c r="C572" s="882" t="s">
        <v>31</v>
      </c>
      <c r="D572" s="882">
        <v>1</v>
      </c>
      <c r="E572" s="877">
        <v>250</v>
      </c>
      <c r="F572" s="934">
        <f>D572*E572</f>
        <v>250</v>
      </c>
    </row>
    <row r="573" spans="1:6">
      <c r="A573" s="879"/>
      <c r="B573" s="892"/>
      <c r="C573" s="882"/>
      <c r="D573" s="882" t="s">
        <v>1246</v>
      </c>
      <c r="E573" s="877"/>
      <c r="F573" s="877"/>
    </row>
    <row r="574" spans="1:6" ht="43.2">
      <c r="A574" s="932">
        <v>3</v>
      </c>
      <c r="B574" s="911" t="s">
        <v>2201</v>
      </c>
      <c r="D574" s="878" t="s">
        <v>1246</v>
      </c>
    </row>
    <row r="575" spans="1:6">
      <c r="A575" s="879" t="s">
        <v>848</v>
      </c>
      <c r="B575" s="892" t="s">
        <v>2202</v>
      </c>
      <c r="C575" s="882" t="s">
        <v>214</v>
      </c>
      <c r="D575" s="882">
        <v>25</v>
      </c>
      <c r="E575" s="877">
        <v>15</v>
      </c>
      <c r="F575" s="934">
        <f>D575*E575</f>
        <v>375</v>
      </c>
    </row>
    <row r="576" spans="1:6">
      <c r="A576" s="879" t="s">
        <v>1978</v>
      </c>
      <c r="B576" s="892" t="s">
        <v>2203</v>
      </c>
      <c r="C576" s="882" t="s">
        <v>214</v>
      </c>
      <c r="D576" s="882">
        <v>25</v>
      </c>
      <c r="E576" s="877">
        <v>25</v>
      </c>
      <c r="F576" s="934">
        <f>D576*E576</f>
        <v>625</v>
      </c>
    </row>
    <row r="577" spans="1:6">
      <c r="A577" s="879"/>
      <c r="B577" s="911"/>
      <c r="C577" s="882"/>
      <c r="D577" s="882"/>
      <c r="E577" s="887"/>
      <c r="F577" s="887"/>
    </row>
    <row r="578" spans="1:6" ht="55.8">
      <c r="A578" s="932">
        <v>4</v>
      </c>
      <c r="B578" s="911" t="s">
        <v>2204</v>
      </c>
      <c r="C578" s="882" t="s">
        <v>214</v>
      </c>
      <c r="D578" s="882">
        <v>25</v>
      </c>
      <c r="E578" s="877">
        <v>5</v>
      </c>
      <c r="F578" s="934">
        <f>D578*E578</f>
        <v>125</v>
      </c>
    </row>
    <row r="579" spans="1:6">
      <c r="A579" s="879"/>
      <c r="B579" s="911"/>
      <c r="C579" s="882"/>
      <c r="D579" s="878" t="s">
        <v>1246</v>
      </c>
      <c r="E579" s="877"/>
      <c r="F579" s="877"/>
    </row>
    <row r="580" spans="1:6" ht="86.4">
      <c r="A580" s="932">
        <v>5</v>
      </c>
      <c r="B580" s="911" t="s">
        <v>2205</v>
      </c>
      <c r="C580" s="882" t="s">
        <v>213</v>
      </c>
      <c r="D580" s="882">
        <v>1</v>
      </c>
      <c r="E580" s="877">
        <v>150</v>
      </c>
      <c r="F580" s="934">
        <f>D580*E580</f>
        <v>150</v>
      </c>
    </row>
    <row r="581" spans="1:6">
      <c r="A581" s="879"/>
      <c r="B581" s="911"/>
      <c r="D581" s="878" t="s">
        <v>1246</v>
      </c>
    </row>
    <row r="582" spans="1:6" ht="28.8">
      <c r="A582" s="932">
        <v>6</v>
      </c>
      <c r="B582" s="911" t="s">
        <v>2206</v>
      </c>
      <c r="C582" s="882" t="s">
        <v>53</v>
      </c>
      <c r="D582" s="878">
        <v>1</v>
      </c>
      <c r="E582" s="877">
        <v>700</v>
      </c>
      <c r="F582" s="934">
        <f>D582*E582</f>
        <v>700</v>
      </c>
    </row>
    <row r="583" spans="1:6">
      <c r="A583" s="919"/>
      <c r="B583" s="900"/>
      <c r="C583" s="882"/>
      <c r="D583" s="882" t="s">
        <v>1246</v>
      </c>
      <c r="E583" s="877"/>
      <c r="F583" s="877"/>
    </row>
    <row r="584" spans="1:6">
      <c r="A584" s="879"/>
      <c r="B584" s="864"/>
      <c r="C584" s="951"/>
      <c r="D584" s="878"/>
      <c r="E584" s="918"/>
      <c r="F584" s="927"/>
    </row>
    <row r="585" spans="1:6">
      <c r="A585" s="851" t="s">
        <v>1492</v>
      </c>
      <c r="B585" s="869" t="s">
        <v>38</v>
      </c>
      <c r="C585" s="907"/>
      <c r="D585" s="897" t="s">
        <v>1246</v>
      </c>
      <c r="E585" s="903"/>
      <c r="F585" s="943">
        <f>SUM(F542:F584)</f>
        <v>9225</v>
      </c>
    </row>
    <row r="586" spans="1:6">
      <c r="A586" s="879"/>
      <c r="B586" s="960"/>
      <c r="C586" s="849"/>
      <c r="D586" s="901"/>
      <c r="E586" s="918"/>
      <c r="F586" s="938"/>
    </row>
    <row r="587" spans="1:6" s="955" customFormat="1" ht="20.399999999999999">
      <c r="A587" s="958"/>
      <c r="B587" s="859" t="s">
        <v>1234</v>
      </c>
      <c r="C587" s="859" t="s">
        <v>2169</v>
      </c>
      <c r="D587" s="859" t="s">
        <v>2170</v>
      </c>
      <c r="E587" s="912" t="s">
        <v>2171</v>
      </c>
      <c r="F587" s="926" t="s">
        <v>2172</v>
      </c>
    </row>
    <row r="588" spans="1:6">
      <c r="B588" s="937"/>
      <c r="C588" s="936"/>
      <c r="D588" s="936"/>
      <c r="E588" s="899"/>
      <c r="F588" s="944"/>
    </row>
    <row r="589" spans="1:6">
      <c r="A589" s="904" t="s">
        <v>1923</v>
      </c>
      <c r="B589" s="931" t="s">
        <v>2207</v>
      </c>
      <c r="E589" s="915"/>
      <c r="F589" s="927"/>
    </row>
    <row r="590" spans="1:6">
      <c r="A590" s="855"/>
      <c r="E590" s="915"/>
      <c r="F590" s="927"/>
    </row>
    <row r="591" spans="1:6">
      <c r="A591" s="932">
        <v>1</v>
      </c>
      <c r="B591" s="911" t="s">
        <v>2135</v>
      </c>
      <c r="D591" s="878" t="s">
        <v>1246</v>
      </c>
    </row>
    <row r="592" spans="1:6" ht="144">
      <c r="A592" s="879"/>
      <c r="B592" s="864" t="s">
        <v>2174</v>
      </c>
      <c r="C592" s="882"/>
      <c r="D592" s="882"/>
      <c r="E592" s="877"/>
      <c r="F592" s="934"/>
    </row>
    <row r="593" spans="1:6">
      <c r="A593" s="879"/>
      <c r="B593" s="864" t="s">
        <v>2137</v>
      </c>
      <c r="C593" s="882"/>
      <c r="D593" s="882"/>
      <c r="E593" s="877"/>
      <c r="F593" s="934"/>
    </row>
    <row r="594" spans="1:6">
      <c r="A594" s="879"/>
      <c r="B594" s="864" t="s">
        <v>2208</v>
      </c>
      <c r="C594" s="882"/>
      <c r="D594" s="882"/>
      <c r="E594" s="877"/>
      <c r="F594" s="934"/>
    </row>
    <row r="595" spans="1:6">
      <c r="A595" s="879"/>
      <c r="B595" s="864" t="s">
        <v>2209</v>
      </c>
      <c r="C595" s="882"/>
      <c r="D595" s="882"/>
      <c r="E595" s="877"/>
      <c r="F595" s="934"/>
    </row>
    <row r="596" spans="1:6">
      <c r="A596" s="879"/>
      <c r="B596" s="864" t="s">
        <v>2210</v>
      </c>
      <c r="C596" s="882"/>
      <c r="D596" s="882"/>
      <c r="E596" s="877"/>
      <c r="F596" s="934"/>
    </row>
    <row r="597" spans="1:6">
      <c r="A597" s="879"/>
      <c r="B597" s="864" t="s">
        <v>2178</v>
      </c>
      <c r="C597" s="882"/>
      <c r="D597" s="882"/>
      <c r="E597" s="877"/>
      <c r="F597" s="934"/>
    </row>
    <row r="598" spans="1:6">
      <c r="A598" s="879"/>
      <c r="B598" s="864" t="s">
        <v>2179</v>
      </c>
      <c r="C598" s="882"/>
      <c r="D598" s="882"/>
      <c r="E598" s="877"/>
      <c r="F598" s="934"/>
    </row>
    <row r="599" spans="1:6">
      <c r="A599" s="879"/>
      <c r="B599" s="864" t="s">
        <v>2180</v>
      </c>
      <c r="C599" s="882"/>
      <c r="D599" s="882"/>
      <c r="E599" s="877"/>
      <c r="F599" s="934"/>
    </row>
    <row r="600" spans="1:6">
      <c r="A600" s="879"/>
      <c r="B600" s="864" t="s">
        <v>2211</v>
      </c>
      <c r="C600" s="882"/>
      <c r="D600" s="882"/>
      <c r="E600" s="877"/>
      <c r="F600" s="934"/>
    </row>
    <row r="601" spans="1:6">
      <c r="A601" s="879"/>
      <c r="B601" s="864" t="s">
        <v>2212</v>
      </c>
      <c r="C601" s="882"/>
      <c r="D601" s="882"/>
      <c r="E601" s="877"/>
      <c r="F601" s="934"/>
    </row>
    <row r="602" spans="1:6">
      <c r="A602" s="879"/>
      <c r="B602" s="864" t="s">
        <v>2213</v>
      </c>
      <c r="C602" s="882"/>
      <c r="D602" s="882"/>
      <c r="E602" s="877"/>
      <c r="F602" s="934"/>
    </row>
    <row r="603" spans="1:6">
      <c r="A603" s="879"/>
      <c r="B603" s="864" t="s">
        <v>2184</v>
      </c>
      <c r="C603" s="882"/>
      <c r="D603" s="882"/>
      <c r="E603" s="877"/>
      <c r="F603" s="934"/>
    </row>
    <row r="604" spans="1:6">
      <c r="A604" s="879"/>
      <c r="B604" s="864" t="s">
        <v>2185</v>
      </c>
      <c r="C604" s="882"/>
      <c r="D604" s="882"/>
      <c r="E604" s="877"/>
      <c r="F604" s="934"/>
    </row>
    <row r="605" spans="1:6">
      <c r="A605" s="879"/>
      <c r="B605" s="864" t="s">
        <v>2186</v>
      </c>
      <c r="C605" s="882"/>
      <c r="D605" s="882"/>
      <c r="E605" s="877"/>
      <c r="F605" s="934"/>
    </row>
    <row r="606" spans="1:6">
      <c r="A606" s="879"/>
      <c r="B606" s="864" t="s">
        <v>2187</v>
      </c>
      <c r="C606" s="882"/>
      <c r="D606" s="882"/>
      <c r="E606" s="877"/>
      <c r="F606" s="934"/>
    </row>
    <row r="607" spans="1:6">
      <c r="A607" s="879"/>
      <c r="B607" s="864" t="s">
        <v>2214</v>
      </c>
      <c r="C607" s="882"/>
      <c r="D607" s="882"/>
      <c r="E607" s="877"/>
      <c r="F607" s="934"/>
    </row>
    <row r="608" spans="1:6">
      <c r="A608" s="879"/>
      <c r="B608" s="864" t="s">
        <v>2215</v>
      </c>
      <c r="C608" s="882"/>
      <c r="D608" s="882"/>
      <c r="E608" s="877"/>
      <c r="F608" s="934"/>
    </row>
    <row r="609" spans="1:6">
      <c r="A609" s="879"/>
      <c r="B609" s="864" t="s">
        <v>2216</v>
      </c>
      <c r="C609" s="882"/>
      <c r="D609" s="882"/>
      <c r="E609" s="877"/>
      <c r="F609" s="934"/>
    </row>
    <row r="610" spans="1:6">
      <c r="A610" s="879"/>
      <c r="B610" s="864" t="s">
        <v>2191</v>
      </c>
      <c r="C610" s="882"/>
      <c r="D610" s="882"/>
      <c r="E610" s="877"/>
      <c r="F610" s="934"/>
    </row>
    <row r="611" spans="1:6">
      <c r="A611" s="879"/>
      <c r="B611" s="864" t="s">
        <v>2192</v>
      </c>
      <c r="C611" s="882"/>
      <c r="D611" s="882"/>
      <c r="E611" s="877"/>
      <c r="F611" s="934"/>
    </row>
    <row r="612" spans="1:6">
      <c r="A612" s="879"/>
      <c r="B612" s="864" t="s">
        <v>2217</v>
      </c>
      <c r="C612" s="882"/>
      <c r="D612" s="882"/>
      <c r="E612" s="877"/>
      <c r="F612" s="934"/>
    </row>
    <row r="613" spans="1:6">
      <c r="A613" s="879"/>
      <c r="B613" s="864" t="s">
        <v>2218</v>
      </c>
      <c r="C613" s="882"/>
      <c r="D613" s="882"/>
      <c r="E613" s="877"/>
      <c r="F613" s="934"/>
    </row>
    <row r="614" spans="1:6">
      <c r="A614" s="879"/>
      <c r="B614" s="864" t="s">
        <v>2219</v>
      </c>
      <c r="C614" s="882"/>
      <c r="D614" s="882"/>
      <c r="E614" s="877"/>
      <c r="F614" s="934"/>
    </row>
    <row r="615" spans="1:6">
      <c r="A615" s="891"/>
      <c r="B615" s="864" t="s">
        <v>2196</v>
      </c>
      <c r="C615" s="951"/>
      <c r="D615" s="951"/>
      <c r="E615" s="877"/>
      <c r="F615" s="877"/>
    </row>
    <row r="616" spans="1:6">
      <c r="A616" s="879"/>
      <c r="B616" s="864" t="s">
        <v>2197</v>
      </c>
      <c r="C616" s="882"/>
      <c r="D616" s="882"/>
      <c r="E616" s="877"/>
      <c r="F616" s="934"/>
    </row>
    <row r="617" spans="1:6">
      <c r="A617" s="879"/>
      <c r="B617" s="864" t="s">
        <v>2198</v>
      </c>
      <c r="C617" s="882"/>
      <c r="D617" s="882"/>
      <c r="E617" s="877"/>
      <c r="F617" s="934"/>
    </row>
    <row r="618" spans="1:6" ht="28.8">
      <c r="A618" s="879"/>
      <c r="B618" s="911" t="s">
        <v>2199</v>
      </c>
      <c r="C618" s="882" t="s">
        <v>31</v>
      </c>
      <c r="D618" s="882">
        <v>1</v>
      </c>
      <c r="E618" s="877">
        <v>2500</v>
      </c>
      <c r="F618" s="877">
        <f>D618*E618</f>
        <v>2500</v>
      </c>
    </row>
    <row r="619" spans="1:6">
      <c r="A619" s="879"/>
      <c r="B619" s="890"/>
      <c r="C619" s="882"/>
      <c r="D619" s="882"/>
      <c r="E619" s="877"/>
      <c r="F619" s="934"/>
    </row>
    <row r="620" spans="1:6" ht="43.2">
      <c r="A620" s="932">
        <v>2</v>
      </c>
      <c r="B620" s="911" t="s">
        <v>2200</v>
      </c>
      <c r="C620" s="882" t="s">
        <v>31</v>
      </c>
      <c r="D620" s="882">
        <v>1</v>
      </c>
      <c r="E620" s="877">
        <v>250</v>
      </c>
      <c r="F620" s="934">
        <f>D620*E620</f>
        <v>250</v>
      </c>
    </row>
    <row r="621" spans="1:6">
      <c r="A621" s="879"/>
      <c r="B621" s="892"/>
      <c r="C621" s="882"/>
      <c r="D621" s="882" t="s">
        <v>1246</v>
      </c>
      <c r="E621" s="877"/>
      <c r="F621" s="877"/>
    </row>
    <row r="622" spans="1:6" ht="43.2">
      <c r="A622" s="932">
        <v>3</v>
      </c>
      <c r="B622" s="911" t="s">
        <v>2201</v>
      </c>
      <c r="D622" s="878" t="s">
        <v>1246</v>
      </c>
    </row>
    <row r="623" spans="1:6">
      <c r="A623" s="879" t="s">
        <v>848</v>
      </c>
      <c r="B623" s="892" t="s">
        <v>2202</v>
      </c>
      <c r="C623" s="882" t="s">
        <v>214</v>
      </c>
      <c r="D623" s="882">
        <v>12</v>
      </c>
      <c r="E623" s="877">
        <v>15</v>
      </c>
      <c r="F623" s="934">
        <f>D623*E623</f>
        <v>180</v>
      </c>
    </row>
    <row r="624" spans="1:6">
      <c r="A624" s="879" t="s">
        <v>1978</v>
      </c>
      <c r="B624" s="892" t="s">
        <v>2220</v>
      </c>
      <c r="C624" s="882" t="s">
        <v>214</v>
      </c>
      <c r="D624" s="882">
        <v>12</v>
      </c>
      <c r="E624" s="877">
        <v>25</v>
      </c>
      <c r="F624" s="934">
        <f>D624*E624</f>
        <v>300</v>
      </c>
    </row>
    <row r="625" spans="1:6">
      <c r="A625" s="879"/>
      <c r="B625" s="911"/>
      <c r="C625" s="882"/>
      <c r="D625" s="882"/>
      <c r="E625" s="887"/>
      <c r="F625" s="887"/>
    </row>
    <row r="626" spans="1:6" ht="55.8">
      <c r="A626" s="932">
        <v>4</v>
      </c>
      <c r="B626" s="911" t="s">
        <v>2204</v>
      </c>
      <c r="C626" s="882" t="s">
        <v>214</v>
      </c>
      <c r="D626" s="882">
        <v>12</v>
      </c>
      <c r="E626" s="877">
        <v>5</v>
      </c>
      <c r="F626" s="934">
        <f>D626*E626</f>
        <v>60</v>
      </c>
    </row>
    <row r="627" spans="1:6">
      <c r="A627" s="879"/>
      <c r="B627" s="911"/>
      <c r="C627" s="882"/>
      <c r="D627" s="878" t="s">
        <v>1246</v>
      </c>
      <c r="E627" s="877"/>
      <c r="F627" s="877"/>
    </row>
    <row r="628" spans="1:6" ht="86.4">
      <c r="A628" s="932">
        <v>5</v>
      </c>
      <c r="B628" s="911" t="s">
        <v>2205</v>
      </c>
      <c r="C628" s="882" t="s">
        <v>213</v>
      </c>
      <c r="D628" s="882">
        <v>1</v>
      </c>
      <c r="E628" s="877">
        <v>150</v>
      </c>
      <c r="F628" s="934">
        <f>D628*E628</f>
        <v>150</v>
      </c>
    </row>
    <row r="629" spans="1:6">
      <c r="A629" s="879"/>
      <c r="B629" s="911"/>
      <c r="D629" s="878" t="s">
        <v>1246</v>
      </c>
    </row>
    <row r="630" spans="1:6" ht="28.8">
      <c r="A630" s="932">
        <v>6</v>
      </c>
      <c r="B630" s="911" t="s">
        <v>2206</v>
      </c>
      <c r="C630" s="882" t="s">
        <v>53</v>
      </c>
      <c r="D630" s="878">
        <v>1</v>
      </c>
      <c r="E630" s="877">
        <v>800</v>
      </c>
      <c r="F630" s="934">
        <f>D630*E630</f>
        <v>800</v>
      </c>
    </row>
    <row r="631" spans="1:6">
      <c r="A631" s="919"/>
      <c r="B631" s="900"/>
      <c r="C631" s="882"/>
      <c r="D631" s="882" t="s">
        <v>1246</v>
      </c>
      <c r="E631" s="877"/>
      <c r="F631" s="877"/>
    </row>
    <row r="632" spans="1:6">
      <c r="A632" s="879"/>
      <c r="B632" s="864"/>
      <c r="C632" s="951"/>
      <c r="D632" s="878"/>
      <c r="E632" s="918"/>
      <c r="F632" s="927"/>
    </row>
    <row r="633" spans="1:6">
      <c r="A633" s="851" t="s">
        <v>1923</v>
      </c>
      <c r="B633" s="869" t="s">
        <v>38</v>
      </c>
      <c r="C633" s="907"/>
      <c r="D633" s="897" t="s">
        <v>1246</v>
      </c>
      <c r="E633" s="903"/>
      <c r="F633" s="943">
        <f>SUM(F590:F632)</f>
        <v>4240</v>
      </c>
    </row>
    <row r="634" spans="1:6">
      <c r="A634" s="879"/>
      <c r="B634" s="960"/>
      <c r="C634" s="849"/>
      <c r="D634" s="901"/>
      <c r="E634" s="918"/>
      <c r="F634" s="938"/>
    </row>
    <row r="635" spans="1:6" s="955" customFormat="1" ht="20.399999999999999">
      <c r="A635" s="913"/>
      <c r="B635" s="914" t="s">
        <v>1234</v>
      </c>
      <c r="C635" s="859" t="s">
        <v>1235</v>
      </c>
      <c r="D635" s="859" t="s">
        <v>1236</v>
      </c>
      <c r="E635" s="912" t="s">
        <v>1500</v>
      </c>
      <c r="F635" s="920" t="s">
        <v>1926</v>
      </c>
    </row>
    <row r="636" spans="1:6">
      <c r="B636" s="937"/>
      <c r="C636" s="936"/>
      <c r="D636" s="936"/>
      <c r="E636" s="861"/>
      <c r="F636" s="917"/>
    </row>
    <row r="637" spans="1:6">
      <c r="A637" s="922" t="s">
        <v>1924</v>
      </c>
      <c r="B637" s="923" t="s">
        <v>2221</v>
      </c>
      <c r="E637" s="866"/>
      <c r="F637" s="866"/>
    </row>
    <row r="638" spans="1:6">
      <c r="A638" s="856"/>
      <c r="B638" s="895"/>
      <c r="E638" s="866"/>
      <c r="F638" s="866"/>
    </row>
    <row r="639" spans="1:6" s="874" customFormat="1" ht="28.8">
      <c r="A639" s="879">
        <v>1</v>
      </c>
      <c r="B639" s="864" t="s">
        <v>2222</v>
      </c>
      <c r="C639" s="930"/>
      <c r="D639" s="882"/>
      <c r="E639" s="870"/>
      <c r="F639" s="866"/>
    </row>
    <row r="640" spans="1:6" s="874" customFormat="1" ht="172.8">
      <c r="A640" s="879"/>
      <c r="B640" s="858" t="s">
        <v>2223</v>
      </c>
      <c r="C640" s="930"/>
      <c r="D640" s="882"/>
      <c r="E640" s="870"/>
      <c r="F640" s="866"/>
    </row>
    <row r="641" spans="1:6" s="874" customFormat="1" ht="100.8">
      <c r="A641" s="879"/>
      <c r="B641" s="858" t="s">
        <v>2224</v>
      </c>
      <c r="C641" s="930"/>
      <c r="D641" s="882"/>
      <c r="E641" s="870"/>
      <c r="F641" s="866"/>
    </row>
    <row r="642" spans="1:6" s="874" customFormat="1" ht="144">
      <c r="A642" s="879"/>
      <c r="B642" s="858" t="s">
        <v>2225</v>
      </c>
      <c r="C642" s="930"/>
      <c r="D642" s="882"/>
      <c r="E642" s="870"/>
      <c r="F642" s="866"/>
    </row>
    <row r="643" spans="1:6" s="874" customFormat="1">
      <c r="A643" s="879"/>
      <c r="B643" s="858" t="s">
        <v>1933</v>
      </c>
      <c r="C643" s="930"/>
      <c r="D643" s="882"/>
      <c r="E643" s="870"/>
      <c r="F643" s="866"/>
    </row>
    <row r="644" spans="1:6" s="874" customFormat="1" ht="259.2">
      <c r="A644" s="879"/>
      <c r="B644" s="858" t="s">
        <v>2226</v>
      </c>
      <c r="C644" s="930"/>
      <c r="D644" s="882"/>
      <c r="E644" s="870"/>
      <c r="F644" s="866"/>
    </row>
    <row r="645" spans="1:6" s="874" customFormat="1" ht="201.6">
      <c r="A645" s="879"/>
      <c r="B645" s="858" t="s">
        <v>2227</v>
      </c>
      <c r="C645" s="930"/>
      <c r="D645" s="882"/>
      <c r="E645" s="870"/>
      <c r="F645" s="866"/>
    </row>
    <row r="646" spans="1:6" s="874" customFormat="1">
      <c r="A646" s="879"/>
      <c r="B646" s="864" t="s">
        <v>2228</v>
      </c>
      <c r="C646" s="882" t="s">
        <v>31</v>
      </c>
      <c r="D646" s="882">
        <v>1</v>
      </c>
      <c r="E646" s="887">
        <v>5000</v>
      </c>
      <c r="F646" s="877">
        <f>E646*D646</f>
        <v>5000</v>
      </c>
    </row>
    <row r="647" spans="1:6" s="874" customFormat="1">
      <c r="A647" s="879"/>
      <c r="B647" s="857"/>
      <c r="C647" s="882"/>
      <c r="D647" s="882"/>
      <c r="E647" s="887"/>
      <c r="F647" s="877"/>
    </row>
    <row r="648" spans="1:6" s="874" customFormat="1" ht="28.8">
      <c r="A648" s="879">
        <v>2</v>
      </c>
      <c r="B648" s="864" t="s">
        <v>2222</v>
      </c>
      <c r="C648" s="930"/>
      <c r="D648" s="882"/>
      <c r="E648" s="870"/>
      <c r="F648" s="866"/>
    </row>
    <row r="649" spans="1:6" s="874" customFormat="1" ht="100.8">
      <c r="A649" s="879"/>
      <c r="B649" s="858" t="s">
        <v>2229</v>
      </c>
      <c r="C649" s="930"/>
      <c r="D649" s="882"/>
      <c r="E649" s="870"/>
      <c r="F649" s="866"/>
    </row>
    <row r="650" spans="1:6" s="874" customFormat="1" ht="115.2">
      <c r="A650" s="879"/>
      <c r="B650" s="858" t="s">
        <v>2230</v>
      </c>
      <c r="C650" s="930"/>
      <c r="D650" s="882"/>
      <c r="E650" s="870"/>
      <c r="F650" s="866"/>
    </row>
    <row r="651" spans="1:6" s="874" customFormat="1" ht="100.8">
      <c r="A651" s="879"/>
      <c r="B651" s="858" t="s">
        <v>2231</v>
      </c>
      <c r="C651" s="930"/>
      <c r="D651" s="882"/>
      <c r="E651" s="870"/>
      <c r="F651" s="866"/>
    </row>
    <row r="652" spans="1:6" s="874" customFormat="1" ht="115.2">
      <c r="A652" s="879"/>
      <c r="B652" s="858" t="s">
        <v>2232</v>
      </c>
      <c r="C652" s="930"/>
      <c r="D652" s="882"/>
      <c r="E652" s="870"/>
      <c r="F652" s="866"/>
    </row>
    <row r="653" spans="1:6" s="874" customFormat="1" ht="100.8">
      <c r="A653" s="879"/>
      <c r="B653" s="858" t="s">
        <v>2233</v>
      </c>
      <c r="C653" s="930"/>
      <c r="D653" s="882"/>
      <c r="E653" s="870"/>
      <c r="F653" s="866"/>
    </row>
    <row r="654" spans="1:6" s="874" customFormat="1" ht="43.2">
      <c r="A654" s="879"/>
      <c r="B654" s="858" t="s">
        <v>2234</v>
      </c>
      <c r="C654" s="930"/>
      <c r="D654" s="882"/>
      <c r="E654" s="870"/>
      <c r="F654" s="866"/>
    </row>
    <row r="655" spans="1:6" s="874" customFormat="1" ht="72">
      <c r="A655" s="879"/>
      <c r="B655" s="858" t="s">
        <v>2235</v>
      </c>
      <c r="C655" s="930"/>
      <c r="D655" s="882"/>
      <c r="E655" s="870"/>
      <c r="F655" s="866"/>
    </row>
    <row r="656" spans="1:6" s="874" customFormat="1">
      <c r="A656" s="879"/>
      <c r="B656" s="858" t="s">
        <v>2236</v>
      </c>
      <c r="C656" s="930"/>
      <c r="D656" s="882"/>
      <c r="E656" s="870"/>
      <c r="F656" s="866"/>
    </row>
    <row r="657" spans="1:6" s="874" customFormat="1" ht="201.6">
      <c r="A657" s="879"/>
      <c r="B657" s="858" t="s">
        <v>2237</v>
      </c>
      <c r="C657" s="930"/>
      <c r="D657" s="882"/>
      <c r="E657" s="870"/>
      <c r="F657" s="866"/>
    </row>
    <row r="658" spans="1:6" ht="28.8">
      <c r="B658" s="858" t="s">
        <v>1969</v>
      </c>
      <c r="C658" s="951"/>
      <c r="D658" s="951"/>
      <c r="E658" s="877"/>
      <c r="F658" s="877"/>
    </row>
    <row r="659" spans="1:6" s="874" customFormat="1">
      <c r="A659" s="879"/>
      <c r="B659" s="864" t="s">
        <v>2228</v>
      </c>
      <c r="C659" s="882" t="s">
        <v>213</v>
      </c>
      <c r="D659" s="882">
        <v>1</v>
      </c>
      <c r="E659" s="887">
        <v>5000</v>
      </c>
      <c r="F659" s="877">
        <f>E659*D659</f>
        <v>5000</v>
      </c>
    </row>
    <row r="660" spans="1:6" s="874" customFormat="1">
      <c r="A660" s="879"/>
      <c r="B660" s="864"/>
      <c r="C660" s="882"/>
      <c r="D660" s="882"/>
      <c r="E660" s="887"/>
      <c r="F660" s="877"/>
    </row>
    <row r="661" spans="1:6" ht="57.6">
      <c r="A661" s="879">
        <v>3</v>
      </c>
      <c r="B661" s="911" t="s">
        <v>2238</v>
      </c>
      <c r="C661" s="951"/>
      <c r="D661" s="878" t="s">
        <v>1246</v>
      </c>
      <c r="E661" s="866"/>
    </row>
    <row r="662" spans="1:6">
      <c r="B662" s="911" t="s">
        <v>2239</v>
      </c>
      <c r="C662" s="882" t="s">
        <v>31</v>
      </c>
      <c r="D662" s="878">
        <v>1</v>
      </c>
      <c r="E662" s="887">
        <v>250</v>
      </c>
      <c r="F662" s="877">
        <f>E662*D662</f>
        <v>250</v>
      </c>
    </row>
    <row r="663" spans="1:6">
      <c r="B663" s="911" t="s">
        <v>2240</v>
      </c>
      <c r="C663" s="882" t="s">
        <v>31</v>
      </c>
      <c r="D663" s="878">
        <v>1</v>
      </c>
      <c r="E663" s="887">
        <v>250</v>
      </c>
      <c r="F663" s="877">
        <f>E663*D663</f>
        <v>250</v>
      </c>
    </row>
    <row r="664" spans="1:6">
      <c r="B664" s="911"/>
      <c r="C664" s="882"/>
      <c r="D664" s="878"/>
      <c r="E664" s="887"/>
      <c r="F664" s="877"/>
    </row>
    <row r="665" spans="1:6">
      <c r="A665" s="879">
        <v>4</v>
      </c>
      <c r="B665" s="864" t="s">
        <v>1928</v>
      </c>
      <c r="C665" s="882"/>
      <c r="D665" s="882"/>
      <c r="E665" s="887"/>
      <c r="F665" s="877"/>
    </row>
    <row r="666" spans="1:6" ht="100.8">
      <c r="A666" s="879"/>
      <c r="B666" s="864" t="s">
        <v>2241</v>
      </c>
      <c r="D666" s="951"/>
      <c r="E666" s="870"/>
      <c r="F666" s="866"/>
    </row>
    <row r="667" spans="1:6" ht="28.8">
      <c r="A667" s="879"/>
      <c r="B667" s="864" t="s">
        <v>2242</v>
      </c>
      <c r="C667" s="882"/>
      <c r="D667" s="898"/>
      <c r="E667" s="887"/>
      <c r="F667" s="877"/>
    </row>
    <row r="668" spans="1:6" ht="28.8">
      <c r="A668" s="879"/>
      <c r="B668" s="864" t="s">
        <v>2243</v>
      </c>
      <c r="C668" s="882"/>
      <c r="D668" s="898"/>
      <c r="E668" s="887"/>
      <c r="F668" s="877"/>
    </row>
    <row r="669" spans="1:6">
      <c r="A669" s="879"/>
      <c r="B669" s="864" t="s">
        <v>2244</v>
      </c>
      <c r="C669" s="882"/>
      <c r="D669" s="898"/>
      <c r="E669" s="887"/>
      <c r="F669" s="877"/>
    </row>
    <row r="670" spans="1:6">
      <c r="A670" s="879"/>
      <c r="B670" s="864" t="s">
        <v>2245</v>
      </c>
      <c r="C670" s="882"/>
      <c r="D670" s="898"/>
      <c r="E670" s="887"/>
      <c r="F670" s="877"/>
    </row>
    <row r="671" spans="1:6" ht="28.8">
      <c r="A671" s="879"/>
      <c r="B671" s="864" t="s">
        <v>2246</v>
      </c>
      <c r="C671" s="882"/>
      <c r="D671" s="898"/>
      <c r="E671" s="887"/>
      <c r="F671" s="877"/>
    </row>
    <row r="672" spans="1:6" ht="28.8">
      <c r="A672" s="879"/>
      <c r="B672" s="864" t="s">
        <v>2247</v>
      </c>
      <c r="C672" s="882"/>
      <c r="D672" s="898"/>
      <c r="E672" s="887"/>
      <c r="F672" s="877"/>
    </row>
    <row r="673" spans="1:6">
      <c r="A673" s="879"/>
      <c r="B673" s="864" t="s">
        <v>2248</v>
      </c>
      <c r="C673" s="882"/>
      <c r="D673" s="898"/>
      <c r="E673" s="887"/>
      <c r="F673" s="877"/>
    </row>
    <row r="674" spans="1:6" ht="28.8">
      <c r="A674" s="879"/>
      <c r="B674" s="864" t="s">
        <v>2249</v>
      </c>
      <c r="C674" s="882"/>
      <c r="D674" s="898"/>
      <c r="E674" s="887"/>
      <c r="F674" s="877"/>
    </row>
    <row r="675" spans="1:6" ht="28.8">
      <c r="A675" s="879"/>
      <c r="B675" s="864" t="s">
        <v>2250</v>
      </c>
      <c r="C675" s="882"/>
      <c r="D675" s="898"/>
      <c r="E675" s="887"/>
      <c r="F675" s="877"/>
    </row>
    <row r="676" spans="1:6" ht="28.8">
      <c r="A676" s="879"/>
      <c r="B676" s="864" t="s">
        <v>2251</v>
      </c>
      <c r="C676" s="882" t="s">
        <v>213</v>
      </c>
      <c r="D676" s="882">
        <v>1</v>
      </c>
      <c r="E676" s="887">
        <v>1500</v>
      </c>
      <c r="F676" s="877">
        <f>E676*D676</f>
        <v>1500</v>
      </c>
    </row>
    <row r="677" spans="1:6">
      <c r="A677" s="879"/>
      <c r="B677" s="864"/>
      <c r="C677" s="882"/>
      <c r="D677" s="882"/>
      <c r="E677" s="887"/>
      <c r="F677" s="877"/>
    </row>
    <row r="678" spans="1:6">
      <c r="A678" s="879">
        <v>5</v>
      </c>
      <c r="B678" s="864" t="s">
        <v>1928</v>
      </c>
      <c r="C678" s="882"/>
      <c r="D678" s="882"/>
      <c r="E678" s="887"/>
      <c r="F678" s="877"/>
    </row>
    <row r="679" spans="1:6" ht="28.8">
      <c r="A679" s="879"/>
      <c r="B679" s="864" t="s">
        <v>2252</v>
      </c>
      <c r="D679" s="951"/>
      <c r="E679" s="870"/>
      <c r="F679" s="866"/>
    </row>
    <row r="680" spans="1:6" ht="28.8">
      <c r="A680" s="879"/>
      <c r="B680" s="864" t="s">
        <v>2251</v>
      </c>
      <c r="C680" s="882" t="s">
        <v>213</v>
      </c>
      <c r="D680" s="882">
        <v>1</v>
      </c>
      <c r="E680" s="887">
        <v>1000</v>
      </c>
      <c r="F680" s="877">
        <f>E680*D680</f>
        <v>1000</v>
      </c>
    </row>
    <row r="681" spans="1:6">
      <c r="A681" s="879"/>
      <c r="B681" s="864"/>
      <c r="C681" s="882"/>
      <c r="D681" s="882"/>
      <c r="E681" s="887"/>
      <c r="F681" s="877"/>
    </row>
    <row r="682" spans="1:6">
      <c r="A682" s="879">
        <v>6</v>
      </c>
      <c r="B682" s="864" t="s">
        <v>1928</v>
      </c>
      <c r="C682" s="882"/>
      <c r="D682" s="882"/>
      <c r="E682" s="887"/>
      <c r="F682" s="877"/>
    </row>
    <row r="683" spans="1:6" ht="43.2">
      <c r="A683" s="879"/>
      <c r="B683" s="864" t="s">
        <v>2253</v>
      </c>
      <c r="D683" s="951"/>
      <c r="E683" s="870"/>
      <c r="F683" s="866"/>
    </row>
    <row r="684" spans="1:6" ht="28.8">
      <c r="A684" s="879"/>
      <c r="B684" s="864" t="s">
        <v>2251</v>
      </c>
      <c r="C684" s="882" t="s">
        <v>213</v>
      </c>
      <c r="D684" s="882">
        <v>1</v>
      </c>
      <c r="E684" s="887">
        <v>1000</v>
      </c>
      <c r="F684" s="877">
        <f>E684*D684</f>
        <v>1000</v>
      </c>
    </row>
    <row r="685" spans="1:6">
      <c r="A685" s="879"/>
      <c r="B685" s="864"/>
      <c r="C685" s="882"/>
      <c r="D685" s="882"/>
      <c r="E685" s="887"/>
      <c r="F685" s="877"/>
    </row>
    <row r="686" spans="1:6" ht="57.6">
      <c r="A686" s="879">
        <v>7</v>
      </c>
      <c r="B686" s="864" t="s">
        <v>2254</v>
      </c>
      <c r="D686" s="951"/>
      <c r="E686" s="870"/>
      <c r="F686" s="866"/>
    </row>
    <row r="687" spans="1:6" ht="28.8">
      <c r="A687" s="879"/>
      <c r="B687" s="864" t="s">
        <v>2251</v>
      </c>
      <c r="C687" s="882" t="s">
        <v>213</v>
      </c>
      <c r="D687" s="882">
        <v>1</v>
      </c>
      <c r="E687" s="887">
        <v>1000</v>
      </c>
      <c r="F687" s="877">
        <f>E687*D687</f>
        <v>1000</v>
      </c>
    </row>
    <row r="688" spans="1:6">
      <c r="A688" s="879"/>
      <c r="B688" s="864"/>
      <c r="C688" s="882"/>
      <c r="D688" s="882"/>
      <c r="E688" s="887"/>
      <c r="F688" s="877"/>
    </row>
    <row r="689" spans="1:6" ht="43.2">
      <c r="A689" s="879">
        <v>8</v>
      </c>
      <c r="B689" s="864" t="s">
        <v>2255</v>
      </c>
      <c r="D689" s="951"/>
      <c r="E689" s="870"/>
      <c r="F689" s="866"/>
    </row>
    <row r="690" spans="1:6">
      <c r="A690" s="879"/>
      <c r="B690" s="864"/>
      <c r="C690" s="882" t="s">
        <v>213</v>
      </c>
      <c r="D690" s="882">
        <v>1</v>
      </c>
      <c r="E690" s="887">
        <v>1500</v>
      </c>
      <c r="F690" s="877">
        <f>E690*D690</f>
        <v>1500</v>
      </c>
    </row>
    <row r="691" spans="1:6">
      <c r="A691" s="879"/>
      <c r="B691" s="864"/>
      <c r="C691" s="882"/>
      <c r="D691" s="882"/>
      <c r="E691" s="887"/>
      <c r="F691" s="877"/>
    </row>
    <row r="692" spans="1:6" ht="72">
      <c r="A692" s="879">
        <v>9</v>
      </c>
      <c r="B692" s="864" t="s">
        <v>2256</v>
      </c>
      <c r="C692" s="951"/>
      <c r="D692" s="854" t="s">
        <v>1246</v>
      </c>
      <c r="E692" s="866"/>
    </row>
    <row r="693" spans="1:6">
      <c r="A693" s="879"/>
      <c r="B693" s="864"/>
      <c r="C693" s="882" t="s">
        <v>213</v>
      </c>
      <c r="D693" s="882">
        <v>1</v>
      </c>
      <c r="E693" s="887">
        <v>1000</v>
      </c>
      <c r="F693" s="877">
        <f>E693*D693</f>
        <v>1000</v>
      </c>
    </row>
    <row r="694" spans="1:6">
      <c r="A694" s="879"/>
      <c r="B694" s="864"/>
      <c r="C694" s="951"/>
      <c r="D694" s="854" t="s">
        <v>1246</v>
      </c>
      <c r="E694" s="866"/>
    </row>
    <row r="695" spans="1:6" ht="57.6">
      <c r="A695" s="879">
        <v>10</v>
      </c>
      <c r="B695" s="911" t="s">
        <v>2257</v>
      </c>
      <c r="C695" s="951"/>
      <c r="D695" s="878" t="s">
        <v>1246</v>
      </c>
      <c r="E695" s="866"/>
    </row>
    <row r="696" spans="1:6">
      <c r="A696" s="932" t="s">
        <v>848</v>
      </c>
      <c r="B696" s="911" t="s">
        <v>2258</v>
      </c>
      <c r="C696" s="882" t="s">
        <v>214</v>
      </c>
      <c r="D696" s="878">
        <v>26</v>
      </c>
      <c r="E696" s="887">
        <v>25</v>
      </c>
      <c r="F696" s="877">
        <f t="shared" ref="F696:F697" si="31">E696*D696</f>
        <v>650</v>
      </c>
    </row>
    <row r="697" spans="1:6">
      <c r="A697" s="932" t="s">
        <v>1978</v>
      </c>
      <c r="B697" s="911" t="s">
        <v>2259</v>
      </c>
      <c r="C697" s="882" t="s">
        <v>214</v>
      </c>
      <c r="D697" s="878">
        <v>12</v>
      </c>
      <c r="E697" s="887">
        <v>40</v>
      </c>
      <c r="F697" s="877">
        <f t="shared" si="31"/>
        <v>480</v>
      </c>
    </row>
    <row r="698" spans="1:6">
      <c r="B698" s="864"/>
      <c r="C698" s="882"/>
      <c r="D698" s="882" t="s">
        <v>1246</v>
      </c>
      <c r="E698" s="887"/>
      <c r="F698" s="877"/>
    </row>
    <row r="699" spans="1:6" s="874" customFormat="1" ht="115.2">
      <c r="A699" s="879">
        <v>11</v>
      </c>
      <c r="B699" s="864" t="s">
        <v>2260</v>
      </c>
      <c r="E699" s="959"/>
      <c r="F699" s="959"/>
    </row>
    <row r="700" spans="1:6" s="874" customFormat="1">
      <c r="A700" s="879"/>
      <c r="B700" s="864"/>
      <c r="C700" s="882" t="s">
        <v>53</v>
      </c>
      <c r="D700" s="882">
        <v>359</v>
      </c>
      <c r="E700" s="887">
        <v>10</v>
      </c>
      <c r="F700" s="877">
        <f>E700*D700</f>
        <v>3590</v>
      </c>
    </row>
    <row r="701" spans="1:6" s="874" customFormat="1">
      <c r="A701" s="879"/>
      <c r="B701" s="1113"/>
      <c r="C701" s="951"/>
      <c r="D701" s="854"/>
      <c r="E701" s="866"/>
      <c r="F701" s="952"/>
    </row>
    <row r="702" spans="1:6" ht="57.6">
      <c r="A702" s="879">
        <v>12</v>
      </c>
      <c r="B702" s="864" t="s">
        <v>2261</v>
      </c>
      <c r="C702" s="951"/>
      <c r="D702" s="854" t="s">
        <v>1246</v>
      </c>
      <c r="E702" s="866"/>
    </row>
    <row r="703" spans="1:6">
      <c r="A703" s="879"/>
      <c r="B703" s="864"/>
      <c r="C703" s="882" t="s">
        <v>36</v>
      </c>
      <c r="D703" s="882">
        <v>49</v>
      </c>
      <c r="E703" s="887">
        <v>20</v>
      </c>
      <c r="F703" s="877">
        <f>E703*D703</f>
        <v>980</v>
      </c>
    </row>
    <row r="704" spans="1:6">
      <c r="A704" s="879"/>
      <c r="B704" s="864"/>
      <c r="C704" s="951"/>
      <c r="D704" s="854" t="s">
        <v>1246</v>
      </c>
      <c r="E704" s="866"/>
    </row>
    <row r="705" spans="1:6" ht="72">
      <c r="A705" s="941">
        <v>13</v>
      </c>
      <c r="B705" s="911" t="s">
        <v>2262</v>
      </c>
      <c r="C705" s="882" t="s">
        <v>36</v>
      </c>
      <c r="D705" s="878">
        <v>24</v>
      </c>
      <c r="E705" s="887">
        <v>50</v>
      </c>
      <c r="F705" s="877">
        <f>E705*D705</f>
        <v>1200</v>
      </c>
    </row>
    <row r="706" spans="1:6">
      <c r="A706" s="941"/>
      <c r="B706" s="911"/>
      <c r="C706" s="882"/>
      <c r="D706" s="878"/>
      <c r="E706" s="887"/>
      <c r="F706" s="877"/>
    </row>
    <row r="707" spans="1:6" s="874" customFormat="1" ht="57.6">
      <c r="A707" s="879">
        <v>14</v>
      </c>
      <c r="B707" s="864" t="s">
        <v>2263</v>
      </c>
      <c r="E707" s="959"/>
      <c r="F707" s="959"/>
    </row>
    <row r="708" spans="1:6" s="874" customFormat="1">
      <c r="A708" s="879"/>
      <c r="B708" s="864"/>
      <c r="C708" s="882" t="s">
        <v>53</v>
      </c>
      <c r="D708" s="882">
        <v>150</v>
      </c>
      <c r="E708" s="887">
        <v>7</v>
      </c>
      <c r="F708" s="877">
        <f>E708*D708</f>
        <v>1050</v>
      </c>
    </row>
    <row r="709" spans="1:6" s="874" customFormat="1">
      <c r="A709" s="879"/>
      <c r="B709" s="1113"/>
      <c r="C709" s="951"/>
      <c r="D709" s="854"/>
      <c r="E709" s="866"/>
      <c r="F709" s="952"/>
    </row>
    <row r="710" spans="1:6">
      <c r="A710" s="941">
        <v>15</v>
      </c>
      <c r="B710" s="864" t="s">
        <v>2135</v>
      </c>
      <c r="C710" s="951"/>
      <c r="D710" s="951" t="s">
        <v>1246</v>
      </c>
      <c r="E710" s="866"/>
      <c r="F710" s="866"/>
    </row>
    <row r="711" spans="1:6" ht="57.6">
      <c r="A711" s="941"/>
      <c r="B711" s="864" t="s">
        <v>2264</v>
      </c>
      <c r="C711" s="951"/>
      <c r="D711" s="951"/>
      <c r="E711" s="866"/>
      <c r="F711" s="866"/>
    </row>
    <row r="712" spans="1:6" ht="28.8">
      <c r="A712" s="941"/>
      <c r="B712" s="864" t="s">
        <v>2139</v>
      </c>
      <c r="C712" s="878" t="s">
        <v>31</v>
      </c>
      <c r="D712" s="878">
        <v>10</v>
      </c>
      <c r="E712" s="887">
        <v>50</v>
      </c>
      <c r="F712" s="934">
        <f>E712*D712</f>
        <v>500</v>
      </c>
    </row>
    <row r="713" spans="1:6">
      <c r="A713" s="941"/>
      <c r="B713" s="864"/>
      <c r="C713" s="878"/>
      <c r="D713" s="878"/>
      <c r="E713" s="908"/>
      <c r="F713" s="934"/>
    </row>
    <row r="714" spans="1:6" ht="72">
      <c r="A714" s="879">
        <v>16</v>
      </c>
      <c r="B714" s="864" t="s">
        <v>2265</v>
      </c>
      <c r="C714" s="951"/>
      <c r="D714" s="854" t="s">
        <v>1246</v>
      </c>
      <c r="E714" s="866"/>
    </row>
    <row r="715" spans="1:6">
      <c r="A715" s="879"/>
      <c r="B715" s="864"/>
      <c r="C715" s="882" t="s">
        <v>213</v>
      </c>
      <c r="D715" s="882">
        <v>1</v>
      </c>
      <c r="E715" s="887">
        <v>1500</v>
      </c>
      <c r="F715" s="877">
        <f>E715*D715</f>
        <v>1500</v>
      </c>
    </row>
    <row r="716" spans="1:6">
      <c r="A716" s="879"/>
      <c r="B716" s="864"/>
      <c r="C716" s="951"/>
      <c r="D716" s="854" t="s">
        <v>1246</v>
      </c>
      <c r="E716" s="866"/>
    </row>
    <row r="717" spans="1:6" ht="100.8">
      <c r="A717" s="879">
        <v>17</v>
      </c>
      <c r="B717" s="911" t="s">
        <v>2266</v>
      </c>
      <c r="C717" s="882"/>
      <c r="D717" s="878"/>
      <c r="E717" s="887"/>
      <c r="F717" s="877"/>
    </row>
    <row r="718" spans="1:6">
      <c r="B718" s="911" t="s">
        <v>2258</v>
      </c>
      <c r="C718" s="882" t="s">
        <v>31</v>
      </c>
      <c r="D718" s="878">
        <v>2</v>
      </c>
      <c r="E718" s="887">
        <v>500</v>
      </c>
      <c r="F718" s="877">
        <f t="shared" ref="F718" si="32">E718*D718</f>
        <v>1000</v>
      </c>
    </row>
    <row r="719" spans="1:6">
      <c r="A719" s="879"/>
      <c r="B719" s="864"/>
      <c r="C719" s="882"/>
      <c r="D719" s="882" t="s">
        <v>1246</v>
      </c>
      <c r="E719" s="887"/>
      <c r="F719" s="877"/>
    </row>
    <row r="720" spans="1:6" ht="57.6">
      <c r="A720" s="879">
        <v>18</v>
      </c>
      <c r="B720" s="857" t="s">
        <v>2267</v>
      </c>
      <c r="C720" s="951"/>
      <c r="D720" s="878" t="s">
        <v>1246</v>
      </c>
      <c r="E720" s="866"/>
    </row>
    <row r="721" spans="1:6">
      <c r="A721" s="879"/>
      <c r="B721" s="857" t="s">
        <v>2268</v>
      </c>
      <c r="C721" s="882" t="s">
        <v>31</v>
      </c>
      <c r="D721" s="878">
        <v>1</v>
      </c>
      <c r="E721" s="887">
        <v>250</v>
      </c>
      <c r="F721" s="877">
        <f t="shared" ref="F721" si="33">E721*D721</f>
        <v>250</v>
      </c>
    </row>
    <row r="722" spans="1:6">
      <c r="A722" s="879"/>
      <c r="B722" s="857"/>
      <c r="C722" s="882"/>
      <c r="D722" s="878"/>
      <c r="E722" s="887"/>
      <c r="F722" s="877"/>
    </row>
    <row r="723" spans="1:6" ht="86.4">
      <c r="A723" s="879">
        <v>19</v>
      </c>
      <c r="B723" s="864" t="s">
        <v>2269</v>
      </c>
      <c r="C723" s="951"/>
      <c r="D723" s="854" t="s">
        <v>1246</v>
      </c>
      <c r="E723" s="866"/>
    </row>
    <row r="724" spans="1:6">
      <c r="A724" s="879"/>
      <c r="B724" s="864"/>
      <c r="C724" s="882" t="s">
        <v>213</v>
      </c>
      <c r="D724" s="882">
        <v>1</v>
      </c>
      <c r="E724" s="887">
        <v>1500</v>
      </c>
      <c r="F724" s="877">
        <f>E724*D724</f>
        <v>1500</v>
      </c>
    </row>
    <row r="725" spans="1:6">
      <c r="B725" s="948"/>
      <c r="C725" s="898"/>
      <c r="D725" s="882" t="s">
        <v>1246</v>
      </c>
      <c r="E725" s="893"/>
      <c r="F725" s="877"/>
    </row>
    <row r="726" spans="1:6">
      <c r="A726" s="879" t="s">
        <v>1924</v>
      </c>
      <c r="B726" s="945" t="s">
        <v>38</v>
      </c>
      <c r="C726" s="953"/>
      <c r="D726" s="953" t="s">
        <v>1246</v>
      </c>
      <c r="E726" s="954"/>
      <c r="F726" s="925">
        <f>SUM(F637:F725)</f>
        <v>30200</v>
      </c>
    </row>
    <row r="727" spans="1:6">
      <c r="B727" s="864"/>
      <c r="C727" s="951"/>
      <c r="D727" s="951"/>
      <c r="E727" s="866"/>
      <c r="F727" s="866"/>
    </row>
    <row r="728" spans="1:6" s="955" customFormat="1" ht="20.399999999999999">
      <c r="A728" s="913"/>
      <c r="B728" s="914" t="s">
        <v>1234</v>
      </c>
      <c r="C728" s="859" t="s">
        <v>1235</v>
      </c>
      <c r="D728" s="859" t="s">
        <v>1236</v>
      </c>
      <c r="E728" s="912" t="s">
        <v>1500</v>
      </c>
      <c r="F728" s="920" t="s">
        <v>1926</v>
      </c>
    </row>
    <row r="729" spans="1:6">
      <c r="B729" s="937"/>
      <c r="C729" s="936"/>
      <c r="D729" s="936"/>
      <c r="E729" s="861"/>
      <c r="F729" s="917"/>
    </row>
    <row r="730" spans="1:6">
      <c r="A730" s="876" t="s">
        <v>1925</v>
      </c>
      <c r="B730" s="956" t="s">
        <v>2270</v>
      </c>
      <c r="C730" s="905"/>
      <c r="D730" s="905"/>
      <c r="E730" s="924"/>
      <c r="F730" s="852"/>
    </row>
    <row r="731" spans="1:6">
      <c r="A731" s="879">
        <v>1</v>
      </c>
      <c r="B731" s="911" t="s">
        <v>1928</v>
      </c>
      <c r="E731" s="957"/>
    </row>
    <row r="732" spans="1:6" ht="187.2">
      <c r="A732" s="879" t="s">
        <v>848</v>
      </c>
      <c r="B732" s="858" t="s">
        <v>2271</v>
      </c>
      <c r="C732" s="951"/>
      <c r="D732" s="951"/>
      <c r="E732" s="866"/>
    </row>
    <row r="733" spans="1:6" ht="86.4">
      <c r="A733" s="879"/>
      <c r="B733" s="858" t="s">
        <v>2272</v>
      </c>
      <c r="C733" s="951"/>
      <c r="D733" s="878" t="s">
        <v>1246</v>
      </c>
      <c r="E733" s="866"/>
    </row>
    <row r="734" spans="1:6" ht="100.8">
      <c r="A734" s="879"/>
      <c r="B734" s="858" t="s">
        <v>2273</v>
      </c>
      <c r="C734" s="951"/>
      <c r="D734" s="951"/>
      <c r="E734" s="866"/>
    </row>
    <row r="735" spans="1:6" ht="28.8">
      <c r="A735" s="879"/>
      <c r="B735" s="858" t="s">
        <v>2274</v>
      </c>
      <c r="C735" s="951"/>
      <c r="D735" s="878" t="s">
        <v>1246</v>
      </c>
      <c r="E735" s="866"/>
    </row>
    <row r="736" spans="1:6" ht="230.4">
      <c r="A736" s="879"/>
      <c r="B736" s="858" t="s">
        <v>2275</v>
      </c>
      <c r="C736" s="951"/>
      <c r="D736" s="951"/>
      <c r="E736" s="866"/>
    </row>
    <row r="737" spans="1:6" ht="158.4">
      <c r="A737" s="879"/>
      <c r="B737" s="858" t="s">
        <v>2276</v>
      </c>
      <c r="C737" s="951"/>
      <c r="D737" s="878" t="s">
        <v>1246</v>
      </c>
      <c r="E737" s="866"/>
    </row>
    <row r="738" spans="1:6" ht="100.8">
      <c r="A738" s="879"/>
      <c r="B738" s="858" t="s">
        <v>2277</v>
      </c>
      <c r="C738" s="951"/>
      <c r="D738" s="951"/>
      <c r="E738" s="866"/>
    </row>
    <row r="739" spans="1:6" ht="201.6">
      <c r="A739" s="879"/>
      <c r="B739" s="858" t="s">
        <v>2278</v>
      </c>
      <c r="C739" s="951"/>
      <c r="D739" s="951"/>
      <c r="E739" s="866"/>
    </row>
    <row r="740" spans="1:6" ht="216">
      <c r="A740" s="879"/>
      <c r="B740" s="858" t="s">
        <v>2279</v>
      </c>
      <c r="C740" s="951"/>
      <c r="D740" s="878" t="s">
        <v>1246</v>
      </c>
      <c r="E740" s="866"/>
    </row>
    <row r="741" spans="1:6" ht="158.4">
      <c r="A741" s="879"/>
      <c r="B741" s="858" t="s">
        <v>2280</v>
      </c>
      <c r="C741" s="951"/>
      <c r="D741" s="951"/>
      <c r="E741" s="866"/>
    </row>
    <row r="742" spans="1:6" ht="144">
      <c r="A742" s="879"/>
      <c r="B742" s="858" t="s">
        <v>2281</v>
      </c>
      <c r="C742" s="951"/>
      <c r="D742" s="878" t="s">
        <v>1246</v>
      </c>
      <c r="E742" s="866"/>
    </row>
    <row r="743" spans="1:6" ht="273.60000000000002">
      <c r="A743" s="879"/>
      <c r="B743" s="858" t="s">
        <v>2282</v>
      </c>
      <c r="C743" s="951"/>
      <c r="D743" s="878" t="s">
        <v>1246</v>
      </c>
      <c r="E743" s="866"/>
    </row>
    <row r="744" spans="1:6" ht="28.8">
      <c r="B744" s="911" t="s">
        <v>2139</v>
      </c>
      <c r="C744" s="878" t="s">
        <v>31</v>
      </c>
      <c r="D744" s="878">
        <v>5</v>
      </c>
      <c r="E744" s="908">
        <v>1500</v>
      </c>
      <c r="F744" s="934">
        <f>E744*D744</f>
        <v>7500</v>
      </c>
    </row>
    <row r="745" spans="1:6">
      <c r="A745" s="879"/>
      <c r="B745" s="911"/>
      <c r="C745" s="951"/>
      <c r="D745" s="951"/>
      <c r="E745" s="866"/>
    </row>
    <row r="746" spans="1:6" ht="172.8">
      <c r="A746" s="879" t="s">
        <v>1978</v>
      </c>
      <c r="B746" s="911" t="s">
        <v>2283</v>
      </c>
      <c r="C746" s="951"/>
      <c r="D746" s="951"/>
      <c r="E746" s="866"/>
    </row>
    <row r="747" spans="1:6" ht="100.8">
      <c r="A747" s="879"/>
      <c r="B747" s="911" t="s">
        <v>2284</v>
      </c>
      <c r="C747" s="951"/>
      <c r="D747" s="878" t="s">
        <v>1246</v>
      </c>
      <c r="E747" s="866"/>
    </row>
    <row r="748" spans="1:6" ht="115.2">
      <c r="A748" s="879"/>
      <c r="B748" s="911" t="s">
        <v>2285</v>
      </c>
      <c r="C748" s="951"/>
      <c r="D748" s="951"/>
      <c r="E748" s="866"/>
    </row>
    <row r="749" spans="1:6" ht="28.8">
      <c r="A749" s="879"/>
      <c r="B749" s="911" t="s">
        <v>2286</v>
      </c>
      <c r="C749" s="951"/>
      <c r="D749" s="878" t="s">
        <v>1246</v>
      </c>
      <c r="E749" s="866"/>
    </row>
    <row r="750" spans="1:6" ht="230.4">
      <c r="A750" s="879"/>
      <c r="B750" s="911" t="s">
        <v>2287</v>
      </c>
      <c r="C750" s="951"/>
      <c r="D750" s="951"/>
      <c r="E750" s="866"/>
    </row>
    <row r="751" spans="1:6" ht="187.2">
      <c r="A751" s="879"/>
      <c r="B751" s="911" t="s">
        <v>2288</v>
      </c>
      <c r="C751" s="951"/>
      <c r="D751" s="878" t="s">
        <v>1246</v>
      </c>
      <c r="E751" s="866"/>
    </row>
    <row r="752" spans="1:6" ht="72">
      <c r="A752" s="879"/>
      <c r="B752" s="911" t="s">
        <v>2289</v>
      </c>
      <c r="C752" s="951"/>
      <c r="D752" s="951"/>
      <c r="E752" s="866"/>
    </row>
    <row r="753" spans="1:6" ht="201.6">
      <c r="A753" s="879"/>
      <c r="B753" s="911" t="s">
        <v>2290</v>
      </c>
      <c r="C753" s="951"/>
      <c r="D753" s="951"/>
      <c r="E753" s="866"/>
    </row>
    <row r="754" spans="1:6" ht="187.2">
      <c r="A754" s="879"/>
      <c r="B754" s="911" t="s">
        <v>2291</v>
      </c>
      <c r="C754" s="951"/>
      <c r="D754" s="878" t="s">
        <v>1246</v>
      </c>
      <c r="E754" s="866"/>
    </row>
    <row r="755" spans="1:6" ht="158.4">
      <c r="A755" s="879"/>
      <c r="B755" s="911" t="s">
        <v>2292</v>
      </c>
      <c r="C755" s="951"/>
      <c r="D755" s="951"/>
      <c r="E755" s="866"/>
    </row>
    <row r="756" spans="1:6" ht="144">
      <c r="A756" s="879"/>
      <c r="B756" s="911" t="s">
        <v>2293</v>
      </c>
      <c r="C756" s="951"/>
      <c r="D756" s="878" t="s">
        <v>1246</v>
      </c>
      <c r="E756" s="866"/>
    </row>
    <row r="757" spans="1:6" ht="273.60000000000002">
      <c r="A757" s="879"/>
      <c r="B757" s="911" t="s">
        <v>2294</v>
      </c>
      <c r="C757" s="951"/>
      <c r="D757" s="878" t="s">
        <v>1246</v>
      </c>
      <c r="E757" s="866"/>
    </row>
    <row r="758" spans="1:6" ht="28.8">
      <c r="B758" s="911" t="s">
        <v>2139</v>
      </c>
      <c r="C758" s="878" t="s">
        <v>31</v>
      </c>
      <c r="D758" s="878">
        <v>1</v>
      </c>
      <c r="E758" s="908">
        <v>2500</v>
      </c>
      <c r="F758" s="934">
        <f>E758*D758</f>
        <v>2500</v>
      </c>
    </row>
    <row r="759" spans="1:6">
      <c r="A759" s="879"/>
      <c r="B759" s="911"/>
      <c r="C759" s="951"/>
      <c r="D759" s="951"/>
      <c r="E759" s="866"/>
    </row>
    <row r="760" spans="1:6" ht="57.6">
      <c r="A760" s="879">
        <v>2</v>
      </c>
      <c r="B760" s="911" t="s">
        <v>2295</v>
      </c>
      <c r="C760" s="951"/>
      <c r="D760" s="878" t="s">
        <v>1246</v>
      </c>
      <c r="E760" s="866"/>
    </row>
    <row r="761" spans="1:6">
      <c r="A761" s="932" t="s">
        <v>848</v>
      </c>
      <c r="B761" s="911" t="s">
        <v>2296</v>
      </c>
      <c r="C761" s="882" t="s">
        <v>31</v>
      </c>
      <c r="D761" s="878">
        <v>10</v>
      </c>
      <c r="E761" s="887">
        <v>50</v>
      </c>
      <c r="F761" s="877">
        <f>E761*D761</f>
        <v>500</v>
      </c>
    </row>
    <row r="762" spans="1:6">
      <c r="A762" s="932" t="s">
        <v>1978</v>
      </c>
      <c r="B762" s="911" t="s">
        <v>2297</v>
      </c>
      <c r="C762" s="882" t="s">
        <v>31</v>
      </c>
      <c r="D762" s="878">
        <v>4</v>
      </c>
      <c r="E762" s="887">
        <v>70</v>
      </c>
      <c r="F762" s="877">
        <f>E762*D762</f>
        <v>280</v>
      </c>
    </row>
    <row r="763" spans="1:6">
      <c r="A763" s="932" t="s">
        <v>1996</v>
      </c>
      <c r="B763" s="911" t="s">
        <v>2298</v>
      </c>
      <c r="C763" s="882" t="s">
        <v>31</v>
      </c>
      <c r="D763" s="878">
        <v>10</v>
      </c>
      <c r="E763" s="887">
        <v>100</v>
      </c>
      <c r="F763" s="877">
        <f>E763*D763</f>
        <v>1000</v>
      </c>
    </row>
    <row r="764" spans="1:6">
      <c r="A764" s="879"/>
      <c r="B764" s="864"/>
      <c r="C764" s="882"/>
      <c r="D764" s="882" t="s">
        <v>1246</v>
      </c>
      <c r="E764" s="887"/>
      <c r="F764" s="877"/>
    </row>
    <row r="765" spans="1:6" ht="57.6">
      <c r="A765" s="879">
        <v>3</v>
      </c>
      <c r="B765" s="911" t="s">
        <v>2299</v>
      </c>
      <c r="C765" s="882"/>
      <c r="D765" s="878"/>
      <c r="E765" s="887"/>
      <c r="F765" s="877"/>
    </row>
    <row r="766" spans="1:6" ht="28.8">
      <c r="A766" s="932" t="s">
        <v>848</v>
      </c>
      <c r="B766" s="911" t="s">
        <v>2300</v>
      </c>
      <c r="C766" s="882" t="s">
        <v>31</v>
      </c>
      <c r="D766" s="878">
        <v>20</v>
      </c>
      <c r="E766" s="887">
        <v>500</v>
      </c>
      <c r="F766" s="877">
        <f t="shared" ref="F766:F768" si="34">E766*D766</f>
        <v>10000</v>
      </c>
    </row>
    <row r="767" spans="1:6" ht="28.8">
      <c r="A767" s="932" t="s">
        <v>1978</v>
      </c>
      <c r="B767" s="911" t="s">
        <v>2301</v>
      </c>
      <c r="C767" s="882" t="s">
        <v>31</v>
      </c>
      <c r="D767" s="878">
        <v>2</v>
      </c>
      <c r="E767" s="887">
        <v>700</v>
      </c>
      <c r="F767" s="877">
        <f t="shared" si="34"/>
        <v>1400</v>
      </c>
    </row>
    <row r="768" spans="1:6" ht="28.8">
      <c r="A768" s="932" t="s">
        <v>1996</v>
      </c>
      <c r="B768" s="911" t="s">
        <v>2302</v>
      </c>
      <c r="C768" s="882" t="s">
        <v>31</v>
      </c>
      <c r="D768" s="878">
        <v>2</v>
      </c>
      <c r="E768" s="887">
        <v>1400</v>
      </c>
      <c r="F768" s="877">
        <f t="shared" si="34"/>
        <v>2800</v>
      </c>
    </row>
    <row r="769" spans="1:6">
      <c r="A769" s="879"/>
      <c r="B769" s="864"/>
      <c r="C769" s="882"/>
      <c r="D769" s="882" t="s">
        <v>1246</v>
      </c>
      <c r="E769" s="887"/>
      <c r="F769" s="877"/>
    </row>
    <row r="770" spans="1:6">
      <c r="A770" s="879">
        <v>4</v>
      </c>
      <c r="B770" s="857" t="s">
        <v>1928</v>
      </c>
      <c r="C770" s="961"/>
      <c r="D770" s="882"/>
      <c r="E770" s="887"/>
      <c r="F770" s="877"/>
    </row>
    <row r="771" spans="1:6" ht="158.4">
      <c r="A771" s="879"/>
      <c r="B771" s="857" t="s">
        <v>2303</v>
      </c>
      <c r="C771" s="961"/>
      <c r="D771" s="882"/>
      <c r="E771" s="887"/>
      <c r="F771" s="877"/>
    </row>
    <row r="772" spans="1:6" ht="72">
      <c r="A772" s="879"/>
      <c r="B772" s="857" t="s">
        <v>2304</v>
      </c>
      <c r="C772" s="961"/>
      <c r="D772" s="882"/>
      <c r="E772" s="887"/>
      <c r="F772" s="877"/>
    </row>
    <row r="773" spans="1:6">
      <c r="A773" s="879"/>
      <c r="B773" s="857" t="s">
        <v>2305</v>
      </c>
      <c r="C773" s="962" t="s">
        <v>31</v>
      </c>
      <c r="D773" s="878">
        <v>14</v>
      </c>
      <c r="E773" s="887">
        <v>150</v>
      </c>
      <c r="F773" s="877">
        <f t="shared" ref="F773" si="35">E773*D773</f>
        <v>2100</v>
      </c>
    </row>
    <row r="774" spans="1:6">
      <c r="A774" s="879"/>
      <c r="B774" s="857"/>
      <c r="C774" s="963"/>
      <c r="D774" s="878"/>
      <c r="E774" s="887"/>
      <c r="F774" s="877"/>
    </row>
    <row r="775" spans="1:6" ht="57.6">
      <c r="A775" s="879">
        <v>5</v>
      </c>
      <c r="B775" s="857" t="s">
        <v>2267</v>
      </c>
      <c r="C775" s="951"/>
      <c r="D775" s="878" t="s">
        <v>1246</v>
      </c>
      <c r="E775" s="866"/>
    </row>
    <row r="776" spans="1:6">
      <c r="A776" s="879" t="s">
        <v>848</v>
      </c>
      <c r="B776" s="857" t="s">
        <v>2268</v>
      </c>
      <c r="C776" s="882" t="s">
        <v>31</v>
      </c>
      <c r="D776" s="878">
        <v>18</v>
      </c>
      <c r="E776" s="887">
        <v>50</v>
      </c>
      <c r="F776" s="877">
        <f t="shared" ref="F776:F779" si="36">E776*D776</f>
        <v>900</v>
      </c>
    </row>
    <row r="777" spans="1:6">
      <c r="A777" s="879" t="s">
        <v>1978</v>
      </c>
      <c r="B777" s="857" t="s">
        <v>2306</v>
      </c>
      <c r="C777" s="882" t="s">
        <v>31</v>
      </c>
      <c r="D777" s="878">
        <v>4</v>
      </c>
      <c r="E777" s="887">
        <v>80</v>
      </c>
      <c r="F777" s="877">
        <f t="shared" si="36"/>
        <v>320</v>
      </c>
    </row>
    <row r="778" spans="1:6">
      <c r="A778" s="879" t="s">
        <v>1996</v>
      </c>
      <c r="B778" s="857" t="s">
        <v>2307</v>
      </c>
      <c r="C778" s="882" t="s">
        <v>31</v>
      </c>
      <c r="D778" s="878">
        <v>2</v>
      </c>
      <c r="E778" s="887">
        <v>100</v>
      </c>
      <c r="F778" s="877">
        <f t="shared" si="36"/>
        <v>200</v>
      </c>
    </row>
    <row r="779" spans="1:6">
      <c r="A779" s="879" t="s">
        <v>1998</v>
      </c>
      <c r="B779" s="857" t="s">
        <v>2308</v>
      </c>
      <c r="C779" s="882" t="s">
        <v>31</v>
      </c>
      <c r="D779" s="878">
        <v>8</v>
      </c>
      <c r="E779" s="887">
        <v>120</v>
      </c>
      <c r="F779" s="877">
        <f t="shared" si="36"/>
        <v>960</v>
      </c>
    </row>
    <row r="780" spans="1:6">
      <c r="A780" s="879"/>
      <c r="B780" s="864"/>
      <c r="C780" s="882"/>
      <c r="D780" s="882" t="s">
        <v>1246</v>
      </c>
      <c r="E780" s="887"/>
      <c r="F780" s="877"/>
    </row>
    <row r="781" spans="1:6" ht="57.6">
      <c r="A781" s="879">
        <v>6</v>
      </c>
      <c r="B781" s="911" t="s">
        <v>2257</v>
      </c>
      <c r="C781" s="951"/>
      <c r="D781" s="878" t="s">
        <v>1246</v>
      </c>
      <c r="E781" s="866"/>
    </row>
    <row r="782" spans="1:6">
      <c r="A782" s="932" t="s">
        <v>848</v>
      </c>
      <c r="B782" s="911" t="s">
        <v>2258</v>
      </c>
      <c r="C782" s="882" t="s">
        <v>214</v>
      </c>
      <c r="D782" s="878">
        <v>140</v>
      </c>
      <c r="E782" s="887">
        <v>20</v>
      </c>
      <c r="F782" s="877">
        <f t="shared" ref="F782:F787" si="37">E782*D782</f>
        <v>2800</v>
      </c>
    </row>
    <row r="783" spans="1:6">
      <c r="A783" s="932" t="s">
        <v>1978</v>
      </c>
      <c r="B783" s="911" t="s">
        <v>2309</v>
      </c>
      <c r="C783" s="882" t="s">
        <v>214</v>
      </c>
      <c r="D783" s="878">
        <v>42</v>
      </c>
      <c r="E783" s="887">
        <v>25</v>
      </c>
      <c r="F783" s="877">
        <f t="shared" si="37"/>
        <v>1050</v>
      </c>
    </row>
    <row r="784" spans="1:6">
      <c r="A784" s="932" t="s">
        <v>1996</v>
      </c>
      <c r="B784" s="911" t="s">
        <v>2259</v>
      </c>
      <c r="C784" s="882" t="s">
        <v>214</v>
      </c>
      <c r="D784" s="878">
        <v>125.99999999999999</v>
      </c>
      <c r="E784" s="887">
        <v>30</v>
      </c>
      <c r="F784" s="877">
        <f t="shared" si="37"/>
        <v>3779.9999999999995</v>
      </c>
    </row>
    <row r="785" spans="1:6">
      <c r="A785" s="932" t="s">
        <v>1998</v>
      </c>
      <c r="B785" s="911" t="s">
        <v>2310</v>
      </c>
      <c r="C785" s="882" t="s">
        <v>214</v>
      </c>
      <c r="D785" s="878">
        <v>70</v>
      </c>
      <c r="E785" s="887">
        <v>40</v>
      </c>
      <c r="F785" s="877">
        <f t="shared" si="37"/>
        <v>2800</v>
      </c>
    </row>
    <row r="786" spans="1:6">
      <c r="A786" s="932" t="s">
        <v>851</v>
      </c>
      <c r="B786" s="911" t="s">
        <v>2296</v>
      </c>
      <c r="C786" s="882" t="s">
        <v>214</v>
      </c>
      <c r="D786" s="878">
        <v>210</v>
      </c>
      <c r="E786" s="887">
        <v>50</v>
      </c>
      <c r="F786" s="877">
        <f t="shared" si="37"/>
        <v>10500</v>
      </c>
    </row>
    <row r="787" spans="1:6">
      <c r="A787" s="932" t="s">
        <v>2100</v>
      </c>
      <c r="B787" s="911" t="s">
        <v>2297</v>
      </c>
      <c r="C787" s="882" t="s">
        <v>214</v>
      </c>
      <c r="D787" s="878">
        <v>49</v>
      </c>
      <c r="E787" s="887">
        <v>60</v>
      </c>
      <c r="F787" s="877">
        <f t="shared" si="37"/>
        <v>2940</v>
      </c>
    </row>
    <row r="788" spans="1:6">
      <c r="B788" s="864"/>
      <c r="C788" s="882"/>
      <c r="D788" s="882" t="s">
        <v>1246</v>
      </c>
      <c r="E788" s="887"/>
      <c r="F788" s="877"/>
    </row>
    <row r="789" spans="1:6" ht="57.6">
      <c r="A789" s="879">
        <v>7</v>
      </c>
      <c r="B789" s="864" t="s">
        <v>2261</v>
      </c>
      <c r="C789" s="951"/>
      <c r="D789" s="854" t="s">
        <v>1246</v>
      </c>
      <c r="E789" s="866"/>
    </row>
    <row r="790" spans="1:6">
      <c r="A790" s="879"/>
      <c r="B790" s="864"/>
      <c r="C790" s="882" t="s">
        <v>36</v>
      </c>
      <c r="D790" s="882">
        <v>378</v>
      </c>
      <c r="E790" s="887">
        <v>20</v>
      </c>
      <c r="F790" s="877">
        <f>E790*D790</f>
        <v>7560</v>
      </c>
    </row>
    <row r="791" spans="1:6">
      <c r="A791" s="879"/>
      <c r="B791" s="864"/>
      <c r="C791" s="951"/>
      <c r="D791" s="854" t="s">
        <v>1246</v>
      </c>
      <c r="E791" s="866"/>
    </row>
    <row r="792" spans="1:6" ht="57.6">
      <c r="A792" s="879">
        <v>8</v>
      </c>
      <c r="B792" s="911" t="s">
        <v>2311</v>
      </c>
      <c r="C792" s="882"/>
      <c r="D792" s="878"/>
      <c r="E792" s="887"/>
      <c r="F792" s="877"/>
    </row>
    <row r="793" spans="1:6">
      <c r="A793" s="879"/>
      <c r="B793" s="911"/>
      <c r="C793" s="882" t="s">
        <v>53</v>
      </c>
      <c r="D793" s="878">
        <v>489.99999999999994</v>
      </c>
      <c r="E793" s="887">
        <v>7</v>
      </c>
      <c r="F793" s="877">
        <f>E793*D793</f>
        <v>3429.9999999999995</v>
      </c>
    </row>
    <row r="794" spans="1:6">
      <c r="A794" s="879"/>
      <c r="B794" s="911"/>
      <c r="C794" s="882"/>
      <c r="D794" s="878"/>
      <c r="E794" s="887"/>
      <c r="F794" s="877"/>
    </row>
    <row r="795" spans="1:6" ht="100.8">
      <c r="A795" s="879">
        <v>9</v>
      </c>
      <c r="B795" s="911" t="s">
        <v>2266</v>
      </c>
      <c r="C795" s="882"/>
      <c r="D795" s="878"/>
      <c r="E795" s="887"/>
      <c r="F795" s="877"/>
    </row>
    <row r="796" spans="1:6">
      <c r="A796" s="932" t="s">
        <v>848</v>
      </c>
      <c r="B796" s="911" t="s">
        <v>2258</v>
      </c>
      <c r="C796" s="882" t="s">
        <v>31</v>
      </c>
      <c r="D796" s="878">
        <v>20</v>
      </c>
      <c r="E796" s="887">
        <v>150</v>
      </c>
      <c r="F796" s="877">
        <f t="shared" ref="F796:F800" si="38">E796*D796</f>
        <v>3000</v>
      </c>
    </row>
    <row r="797" spans="1:6">
      <c r="A797" s="932" t="s">
        <v>1978</v>
      </c>
      <c r="B797" s="911" t="s">
        <v>2309</v>
      </c>
      <c r="C797" s="882" t="s">
        <v>31</v>
      </c>
      <c r="D797" s="878">
        <v>3</v>
      </c>
      <c r="E797" s="887">
        <v>160</v>
      </c>
      <c r="F797" s="877">
        <f t="shared" si="38"/>
        <v>480</v>
      </c>
    </row>
    <row r="798" spans="1:6">
      <c r="A798" s="932" t="s">
        <v>1996</v>
      </c>
      <c r="B798" s="911" t="s">
        <v>2259</v>
      </c>
      <c r="C798" s="882" t="s">
        <v>31</v>
      </c>
      <c r="D798" s="878">
        <v>13</v>
      </c>
      <c r="E798" s="887">
        <v>170</v>
      </c>
      <c r="F798" s="877">
        <f t="shared" si="38"/>
        <v>2210</v>
      </c>
    </row>
    <row r="799" spans="1:6">
      <c r="A799" s="932" t="s">
        <v>1998</v>
      </c>
      <c r="B799" s="911" t="s">
        <v>2310</v>
      </c>
      <c r="C799" s="882" t="s">
        <v>31</v>
      </c>
      <c r="D799" s="878">
        <v>5</v>
      </c>
      <c r="E799" s="887">
        <v>180</v>
      </c>
      <c r="F799" s="877">
        <f t="shared" si="38"/>
        <v>900</v>
      </c>
    </row>
    <row r="800" spans="1:6">
      <c r="A800" s="932" t="s">
        <v>851</v>
      </c>
      <c r="B800" s="911" t="s">
        <v>2296</v>
      </c>
      <c r="C800" s="882" t="s">
        <v>31</v>
      </c>
      <c r="D800" s="878">
        <v>1</v>
      </c>
      <c r="E800" s="887">
        <v>200</v>
      </c>
      <c r="F800" s="877">
        <f t="shared" si="38"/>
        <v>200</v>
      </c>
    </row>
    <row r="801" spans="1:6">
      <c r="A801" s="879"/>
      <c r="B801" s="864"/>
      <c r="C801" s="882"/>
      <c r="D801" s="882" t="s">
        <v>1246</v>
      </c>
      <c r="E801" s="887"/>
      <c r="F801" s="877"/>
    </row>
    <row r="802" spans="1:6" ht="43.2">
      <c r="A802" s="932">
        <v>10</v>
      </c>
      <c r="B802" s="964" t="s">
        <v>2312</v>
      </c>
      <c r="C802" s="951"/>
      <c r="D802" s="878" t="s">
        <v>1246</v>
      </c>
      <c r="E802" s="957"/>
    </row>
    <row r="803" spans="1:6">
      <c r="B803" s="964" t="s">
        <v>2313</v>
      </c>
      <c r="C803" s="882" t="s">
        <v>31</v>
      </c>
      <c r="D803" s="882">
        <v>25</v>
      </c>
      <c r="E803" s="887">
        <v>100</v>
      </c>
      <c r="F803" s="877">
        <f>E803*D803</f>
        <v>2500</v>
      </c>
    </row>
    <row r="804" spans="1:6">
      <c r="B804" s="964"/>
      <c r="C804" s="882"/>
      <c r="D804" s="882"/>
      <c r="E804" s="887"/>
      <c r="F804" s="877"/>
    </row>
    <row r="805" spans="1:6">
      <c r="A805" s="879">
        <v>11</v>
      </c>
      <c r="B805" s="864" t="s">
        <v>2135</v>
      </c>
      <c r="C805" s="951"/>
      <c r="D805" s="951" t="s">
        <v>1246</v>
      </c>
      <c r="E805" s="866"/>
      <c r="F805" s="866"/>
    </row>
    <row r="806" spans="1:6" ht="28.8">
      <c r="A806" s="879"/>
      <c r="B806" s="864" t="s">
        <v>2314</v>
      </c>
      <c r="C806" s="951"/>
      <c r="D806" s="951"/>
      <c r="E806" s="866"/>
      <c r="F806" s="866"/>
    </row>
    <row r="807" spans="1:6" ht="28.8">
      <c r="A807" s="879"/>
      <c r="B807" s="864" t="s">
        <v>2139</v>
      </c>
      <c r="C807" s="878" t="s">
        <v>31</v>
      </c>
      <c r="D807" s="878">
        <v>42</v>
      </c>
      <c r="E807" s="887">
        <v>50</v>
      </c>
      <c r="F807" s="934">
        <f>E807*D807</f>
        <v>2100</v>
      </c>
    </row>
    <row r="808" spans="1:6">
      <c r="A808" s="879"/>
      <c r="B808" s="864"/>
      <c r="C808" s="878"/>
      <c r="D808" s="878"/>
      <c r="E808" s="908"/>
      <c r="F808" s="934"/>
    </row>
    <row r="809" spans="1:6" s="896" customFormat="1" ht="86.4">
      <c r="A809" s="941">
        <v>12</v>
      </c>
      <c r="B809" s="911" t="s">
        <v>2315</v>
      </c>
      <c r="C809" s="965"/>
      <c r="D809" s="965" t="s">
        <v>1246</v>
      </c>
      <c r="E809" s="952"/>
      <c r="F809" s="934"/>
    </row>
    <row r="810" spans="1:6">
      <c r="A810" s="932" t="s">
        <v>848</v>
      </c>
      <c r="B810" s="911" t="s">
        <v>2258</v>
      </c>
      <c r="C810" s="882" t="s">
        <v>31</v>
      </c>
      <c r="D810" s="878">
        <v>1</v>
      </c>
      <c r="E810" s="952">
        <v>150</v>
      </c>
      <c r="F810" s="934">
        <f t="shared" ref="F810:F811" si="39">E810*D810</f>
        <v>150</v>
      </c>
    </row>
    <row r="811" spans="1:6">
      <c r="A811" s="932" t="s">
        <v>1978</v>
      </c>
      <c r="B811" s="911" t="s">
        <v>2296</v>
      </c>
      <c r="C811" s="882" t="s">
        <v>31</v>
      </c>
      <c r="D811" s="878">
        <v>2</v>
      </c>
      <c r="E811" s="952">
        <v>250</v>
      </c>
      <c r="F811" s="934">
        <f t="shared" si="39"/>
        <v>500</v>
      </c>
    </row>
    <row r="812" spans="1:6" s="896" customFormat="1">
      <c r="A812" s="932"/>
      <c r="B812" s="911"/>
      <c r="C812" s="882"/>
      <c r="D812" s="878" t="s">
        <v>1246</v>
      </c>
      <c r="E812" s="952"/>
      <c r="F812" s="934"/>
    </row>
    <row r="813" spans="1:6" ht="28.8">
      <c r="A813" s="879">
        <v>13</v>
      </c>
      <c r="B813" s="858" t="s">
        <v>2316</v>
      </c>
      <c r="C813" s="882"/>
      <c r="D813" s="878" t="s">
        <v>1246</v>
      </c>
      <c r="E813" s="887"/>
      <c r="F813" s="877"/>
    </row>
    <row r="814" spans="1:6">
      <c r="A814" s="879"/>
      <c r="B814" s="966"/>
      <c r="C814" s="882" t="s">
        <v>213</v>
      </c>
      <c r="D814" s="882">
        <v>1</v>
      </c>
      <c r="E814" s="887">
        <v>1000</v>
      </c>
      <c r="F814" s="877">
        <f>E814*D814</f>
        <v>1000</v>
      </c>
    </row>
    <row r="815" spans="1:6">
      <c r="A815" s="879"/>
      <c r="B815" s="864"/>
      <c r="C815" s="882"/>
      <c r="D815" s="882" t="s">
        <v>1246</v>
      </c>
      <c r="E815" s="887"/>
      <c r="F815" s="877"/>
    </row>
    <row r="816" spans="1:6" ht="72">
      <c r="A816" s="879">
        <v>14</v>
      </c>
      <c r="B816" s="864" t="s">
        <v>2265</v>
      </c>
      <c r="C816" s="951"/>
      <c r="D816" s="854" t="s">
        <v>1246</v>
      </c>
      <c r="E816" s="887"/>
    </row>
    <row r="817" spans="1:6">
      <c r="A817" s="879"/>
      <c r="B817" s="864"/>
      <c r="C817" s="882" t="s">
        <v>213</v>
      </c>
      <c r="D817" s="882">
        <v>1</v>
      </c>
      <c r="E817" s="887">
        <v>1000</v>
      </c>
      <c r="F817" s="877">
        <f>E817*D817</f>
        <v>1000</v>
      </c>
    </row>
    <row r="818" spans="1:6">
      <c r="A818" s="879"/>
      <c r="B818" s="864"/>
      <c r="C818" s="951"/>
      <c r="D818" s="854" t="s">
        <v>1246</v>
      </c>
      <c r="E818" s="887"/>
    </row>
    <row r="819" spans="1:6" ht="86.4">
      <c r="A819" s="879">
        <v>15</v>
      </c>
      <c r="B819" s="864" t="s">
        <v>2269</v>
      </c>
      <c r="C819" s="951"/>
      <c r="D819" s="854" t="s">
        <v>1246</v>
      </c>
      <c r="E819" s="887"/>
    </row>
    <row r="820" spans="1:6">
      <c r="A820" s="879"/>
      <c r="B820" s="864"/>
      <c r="C820" s="882" t="s">
        <v>213</v>
      </c>
      <c r="D820" s="882">
        <v>1</v>
      </c>
      <c r="E820" s="887">
        <v>1500</v>
      </c>
      <c r="F820" s="877">
        <f>E820*D820</f>
        <v>1500</v>
      </c>
    </row>
    <row r="821" spans="1:6">
      <c r="A821" s="879"/>
      <c r="B821" s="864"/>
      <c r="C821" s="951"/>
      <c r="D821" s="854" t="s">
        <v>1246</v>
      </c>
      <c r="E821" s="866"/>
    </row>
    <row r="822" spans="1:6">
      <c r="A822" s="932" t="s">
        <v>1925</v>
      </c>
      <c r="B822" s="872" t="s">
        <v>38</v>
      </c>
      <c r="C822" s="942"/>
      <c r="D822" s="884" t="s">
        <v>1246</v>
      </c>
      <c r="E822" s="954"/>
      <c r="F822" s="946">
        <f>SUM(F731:F821)</f>
        <v>80860</v>
      </c>
    </row>
    <row r="823" spans="1:6" ht="20.399999999999999">
      <c r="A823" s="888"/>
      <c r="B823" s="860" t="s">
        <v>1234</v>
      </c>
      <c r="C823" s="967" t="s">
        <v>1235</v>
      </c>
      <c r="D823" s="967" t="s">
        <v>1236</v>
      </c>
      <c r="E823" s="875" t="s">
        <v>1500</v>
      </c>
      <c r="F823" s="868" t="s">
        <v>1926</v>
      </c>
    </row>
    <row r="824" spans="1:6" s="968" customFormat="1">
      <c r="A824" s="932"/>
      <c r="B824" s="937"/>
      <c r="C824" s="936"/>
      <c r="D824" s="936"/>
      <c r="E824" s="877"/>
      <c r="F824" s="952"/>
    </row>
    <row r="825" spans="1:6">
      <c r="A825" s="855"/>
      <c r="B825" s="864"/>
    </row>
    <row r="826" spans="1:6">
      <c r="A826" s="969" t="s">
        <v>1</v>
      </c>
      <c r="B826" s="970" t="s">
        <v>1493</v>
      </c>
      <c r="C826" s="971"/>
      <c r="D826" s="971"/>
      <c r="E826" s="972"/>
      <c r="F826" s="972"/>
    </row>
    <row r="827" spans="1:6">
      <c r="A827" s="855"/>
      <c r="B827" s="864"/>
    </row>
    <row r="828" spans="1:6" ht="43.2">
      <c r="A828" s="879">
        <v>1</v>
      </c>
      <c r="B828" s="1115" t="s">
        <v>1575</v>
      </c>
      <c r="C828" s="882" t="s">
        <v>213</v>
      </c>
      <c r="D828" s="882">
        <v>1</v>
      </c>
      <c r="E828" s="877">
        <v>1500</v>
      </c>
      <c r="F828" s="877">
        <f t="shared" ref="F828" si="40">E828*D828</f>
        <v>1500</v>
      </c>
    </row>
    <row r="829" spans="1:6">
      <c r="A829" s="855"/>
      <c r="B829" s="864"/>
    </row>
    <row r="830" spans="1:6" ht="86.4">
      <c r="A830" s="1114" t="s">
        <v>2336</v>
      </c>
      <c r="B830" s="864" t="s">
        <v>217</v>
      </c>
      <c r="C830" s="882" t="s">
        <v>213</v>
      </c>
      <c r="D830" s="882">
        <v>1</v>
      </c>
      <c r="E830" s="877">
        <v>500</v>
      </c>
      <c r="F830" s="877">
        <f t="shared" ref="F830" si="41">E830*D830</f>
        <v>500</v>
      </c>
    </row>
    <row r="831" spans="1:6">
      <c r="A831" s="855"/>
      <c r="B831" s="951"/>
      <c r="C831" s="951"/>
      <c r="D831" s="878" t="s">
        <v>1246</v>
      </c>
    </row>
    <row r="832" spans="1:6">
      <c r="A832" s="855"/>
      <c r="B832" s="951"/>
      <c r="C832" s="951"/>
      <c r="D832" s="878"/>
    </row>
    <row r="833" spans="1:6" ht="72">
      <c r="A833" s="1114" t="s">
        <v>2337</v>
      </c>
      <c r="B833" s="864" t="s">
        <v>2317</v>
      </c>
      <c r="C833" s="882" t="s">
        <v>213</v>
      </c>
      <c r="D833" s="882">
        <v>1</v>
      </c>
      <c r="E833" s="877">
        <v>1500</v>
      </c>
      <c r="F833" s="877">
        <f t="shared" ref="F833" si="42">E833*D833</f>
        <v>1500</v>
      </c>
    </row>
    <row r="834" spans="1:6">
      <c r="A834" s="855"/>
      <c r="B834" s="951"/>
      <c r="C834" s="951"/>
      <c r="D834" s="878" t="s">
        <v>1246</v>
      </c>
      <c r="E834" s="877"/>
      <c r="F834" s="877"/>
    </row>
    <row r="835" spans="1:6" ht="72">
      <c r="A835" s="932" t="s">
        <v>2338</v>
      </c>
      <c r="B835" s="599" t="s">
        <v>1494</v>
      </c>
      <c r="C835" s="882" t="s">
        <v>213</v>
      </c>
      <c r="D835" s="882">
        <v>1</v>
      </c>
      <c r="E835" s="877">
        <v>500</v>
      </c>
      <c r="F835" s="877">
        <f t="shared" ref="F835" si="43">E835*D835</f>
        <v>500</v>
      </c>
    </row>
    <row r="836" spans="1:6">
      <c r="B836" s="864"/>
      <c r="C836" s="882"/>
      <c r="D836" s="882" t="s">
        <v>1246</v>
      </c>
      <c r="E836" s="877"/>
      <c r="F836" s="877"/>
    </row>
    <row r="837" spans="1:6">
      <c r="B837" s="864"/>
      <c r="C837" s="951"/>
      <c r="D837" s="878" t="s">
        <v>1246</v>
      </c>
      <c r="E837" s="877"/>
      <c r="F837" s="877"/>
    </row>
    <row r="838" spans="1:6" ht="57.6">
      <c r="A838" s="932" t="s">
        <v>2339</v>
      </c>
      <c r="B838" s="599" t="s">
        <v>1495</v>
      </c>
      <c r="C838" s="882" t="s">
        <v>213</v>
      </c>
      <c r="D838" s="882">
        <v>1</v>
      </c>
      <c r="E838" s="877">
        <v>500</v>
      </c>
      <c r="F838" s="877">
        <f t="shared" ref="F838" si="44">E838*D838</f>
        <v>500</v>
      </c>
    </row>
    <row r="839" spans="1:6">
      <c r="B839" s="599"/>
      <c r="C839" s="882"/>
      <c r="D839" s="882"/>
      <c r="E839" s="877"/>
      <c r="F839" s="877"/>
    </row>
    <row r="840" spans="1:6">
      <c r="A840" s="855"/>
      <c r="B840" s="973" t="s">
        <v>38</v>
      </c>
      <c r="C840" s="884"/>
      <c r="D840" s="884" t="s">
        <v>1246</v>
      </c>
      <c r="E840" s="928"/>
      <c r="F840" s="946">
        <f>SUM(F828:F839)</f>
        <v>4500</v>
      </c>
    </row>
  </sheetData>
  <sheetProtection selectLockedCells="1"/>
  <pageMargins left="0.74803149606299213" right="0.74803149606299213" top="0.98425196850393704" bottom="0.74925595238095233" header="0" footer="0"/>
  <pageSetup paperSize="9" scale="10" orientation="portrait" r:id="rId1"/>
  <rowBreaks count="48" manualBreakCount="48">
    <brk id="14" min="1" max="5" man="1"/>
    <brk id="37" min="1" max="5" man="1"/>
    <brk id="46" max="5" man="1"/>
    <brk id="68" max="5" man="1"/>
    <brk id="80" max="16383" man="1"/>
    <brk id="93" max="5" man="1"/>
    <brk id="99" max="5" man="1"/>
    <brk id="110" max="5" man="1"/>
    <brk id="122" max="16383" man="1"/>
    <brk id="144" max="16383" man="1"/>
    <brk id="158" max="5" man="1"/>
    <brk id="170" max="16383" man="1"/>
    <brk id="148" max="16383" man="1"/>
    <brk id="122" max="16383" man="1"/>
    <brk id="138" max="16383" man="1"/>
    <brk id="144" max="16383" man="1"/>
    <brk id="184" max="5" man="1"/>
    <brk id="208" max="5" man="1"/>
    <brk id="222" max="5" man="1"/>
    <brk id="248" max="5" man="1"/>
    <brk id="279" max="5" man="1"/>
    <brk id="285" max="16383" man="1"/>
    <brk id="296" max="16383" man="1"/>
    <brk id="316" max="5" man="1"/>
    <brk id="332" max="5" man="1"/>
    <brk id="346" max="5" man="1"/>
    <brk id="358" min="1" max="5" man="1"/>
    <brk id="382" max="5" man="1"/>
    <brk id="397" max="5" man="1"/>
    <brk id="411" max="5" man="1"/>
    <brk id="420" max="5" man="1"/>
    <brk id="438" max="16383" man="1"/>
    <brk id="448" max="5" man="1"/>
    <brk id="453" max="16383" man="1"/>
    <brk id="458" max="5" man="1"/>
    <brk id="464" max="5" man="1"/>
    <brk id="472" max="5" man="1"/>
    <brk id="491" max="16383" man="1"/>
    <brk id="504" min="1" max="5" man="1"/>
    <brk id="524" max="5" man="1"/>
    <brk id="538" max="16383" man="1"/>
    <brk id="571" max="16383" man="1"/>
    <brk id="586" max="16383" man="1"/>
    <brk id="634" max="16383" man="1"/>
    <brk id="749" max="5" man="1"/>
    <brk id="793" max="5" man="1"/>
    <brk id="807" max="5" man="1"/>
    <brk id="822" min="1" max="5"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2382-F77B-4886-8427-46D8E992262A}">
  <dimension ref="A1:F509"/>
  <sheetViews>
    <sheetView zoomScaleNormal="100" zoomScaleSheetLayoutView="100" workbookViewId="0">
      <pane ySplit="3" topLeftCell="A491" activePane="bottomLeft" state="frozen"/>
      <selection activeCell="E34" sqref="E34"/>
      <selection pane="bottomLeft" activeCell="E490" sqref="E490"/>
    </sheetView>
  </sheetViews>
  <sheetFormatPr defaultColWidth="9.21875" defaultRowHeight="13.2"/>
  <cols>
    <col min="1" max="1" width="6.77734375" style="729" customWidth="1"/>
    <col min="2" max="2" width="42.77734375" style="730" customWidth="1"/>
    <col min="3" max="3" width="6.77734375" style="731" customWidth="1"/>
    <col min="4" max="4" width="6.77734375" style="732" customWidth="1"/>
    <col min="5" max="5" width="11.77734375" style="847" customWidth="1"/>
    <col min="6" max="6" width="11.77734375" style="734" customWidth="1"/>
    <col min="7" max="8" width="6.77734375" style="722" customWidth="1"/>
    <col min="9" max="10" width="11.77734375" style="722" customWidth="1"/>
    <col min="11" max="260" width="9.21875" style="722"/>
    <col min="261" max="261" width="6.77734375" style="722" customWidth="1"/>
    <col min="262" max="262" width="42.77734375" style="722" customWidth="1"/>
    <col min="263" max="264" width="6.77734375" style="722" customWidth="1"/>
    <col min="265" max="266" width="11.77734375" style="722" customWidth="1"/>
    <col min="267" max="516" width="9.21875" style="722"/>
    <col min="517" max="517" width="6.77734375" style="722" customWidth="1"/>
    <col min="518" max="518" width="42.77734375" style="722" customWidth="1"/>
    <col min="519" max="520" width="6.77734375" style="722" customWidth="1"/>
    <col min="521" max="522" width="11.77734375" style="722" customWidth="1"/>
    <col min="523" max="772" width="9.21875" style="722"/>
    <col min="773" max="773" width="6.77734375" style="722" customWidth="1"/>
    <col min="774" max="774" width="42.77734375" style="722" customWidth="1"/>
    <col min="775" max="776" width="6.77734375" style="722" customWidth="1"/>
    <col min="777" max="778" width="11.77734375" style="722" customWidth="1"/>
    <col min="779" max="1028" width="9.21875" style="722"/>
    <col min="1029" max="1029" width="6.77734375" style="722" customWidth="1"/>
    <col min="1030" max="1030" width="42.77734375" style="722" customWidth="1"/>
    <col min="1031" max="1032" width="6.77734375" style="722" customWidth="1"/>
    <col min="1033" max="1034" width="11.77734375" style="722" customWidth="1"/>
    <col min="1035" max="1284" width="9.21875" style="722"/>
    <col min="1285" max="1285" width="6.77734375" style="722" customWidth="1"/>
    <col min="1286" max="1286" width="42.77734375" style="722" customWidth="1"/>
    <col min="1287" max="1288" width="6.77734375" style="722" customWidth="1"/>
    <col min="1289" max="1290" width="11.77734375" style="722" customWidth="1"/>
    <col min="1291" max="1540" width="9.21875" style="722"/>
    <col min="1541" max="1541" width="6.77734375" style="722" customWidth="1"/>
    <col min="1542" max="1542" width="42.77734375" style="722" customWidth="1"/>
    <col min="1543" max="1544" width="6.77734375" style="722" customWidth="1"/>
    <col min="1545" max="1546" width="11.77734375" style="722" customWidth="1"/>
    <col min="1547" max="1796" width="9.21875" style="722"/>
    <col min="1797" max="1797" width="6.77734375" style="722" customWidth="1"/>
    <col min="1798" max="1798" width="42.77734375" style="722" customWidth="1"/>
    <col min="1799" max="1800" width="6.77734375" style="722" customWidth="1"/>
    <col min="1801" max="1802" width="11.77734375" style="722" customWidth="1"/>
    <col min="1803" max="2052" width="9.21875" style="722"/>
    <col min="2053" max="2053" width="6.77734375" style="722" customWidth="1"/>
    <col min="2054" max="2054" width="42.77734375" style="722" customWidth="1"/>
    <col min="2055" max="2056" width="6.77734375" style="722" customWidth="1"/>
    <col min="2057" max="2058" width="11.77734375" style="722" customWidth="1"/>
    <col min="2059" max="2308" width="9.21875" style="722"/>
    <col min="2309" max="2309" width="6.77734375" style="722" customWidth="1"/>
    <col min="2310" max="2310" width="42.77734375" style="722" customWidth="1"/>
    <col min="2311" max="2312" width="6.77734375" style="722" customWidth="1"/>
    <col min="2313" max="2314" width="11.77734375" style="722" customWidth="1"/>
    <col min="2315" max="2564" width="9.21875" style="722"/>
    <col min="2565" max="2565" width="6.77734375" style="722" customWidth="1"/>
    <col min="2566" max="2566" width="42.77734375" style="722" customWidth="1"/>
    <col min="2567" max="2568" width="6.77734375" style="722" customWidth="1"/>
    <col min="2569" max="2570" width="11.77734375" style="722" customWidth="1"/>
    <col min="2571" max="2820" width="9.21875" style="722"/>
    <col min="2821" max="2821" width="6.77734375" style="722" customWidth="1"/>
    <col min="2822" max="2822" width="42.77734375" style="722" customWidth="1"/>
    <col min="2823" max="2824" width="6.77734375" style="722" customWidth="1"/>
    <col min="2825" max="2826" width="11.77734375" style="722" customWidth="1"/>
    <col min="2827" max="3076" width="9.21875" style="722"/>
    <col min="3077" max="3077" width="6.77734375" style="722" customWidth="1"/>
    <col min="3078" max="3078" width="42.77734375" style="722" customWidth="1"/>
    <col min="3079" max="3080" width="6.77734375" style="722" customWidth="1"/>
    <col min="3081" max="3082" width="11.77734375" style="722" customWidth="1"/>
    <col min="3083" max="3332" width="9.21875" style="722"/>
    <col min="3333" max="3333" width="6.77734375" style="722" customWidth="1"/>
    <col min="3334" max="3334" width="42.77734375" style="722" customWidth="1"/>
    <col min="3335" max="3336" width="6.77734375" style="722" customWidth="1"/>
    <col min="3337" max="3338" width="11.77734375" style="722" customWidth="1"/>
    <col min="3339" max="3588" width="9.21875" style="722"/>
    <col min="3589" max="3589" width="6.77734375" style="722" customWidth="1"/>
    <col min="3590" max="3590" width="42.77734375" style="722" customWidth="1"/>
    <col min="3591" max="3592" width="6.77734375" style="722" customWidth="1"/>
    <col min="3593" max="3594" width="11.77734375" style="722" customWidth="1"/>
    <col min="3595" max="3844" width="9.21875" style="722"/>
    <col min="3845" max="3845" width="6.77734375" style="722" customWidth="1"/>
    <col min="3846" max="3846" width="42.77734375" style="722" customWidth="1"/>
    <col min="3847" max="3848" width="6.77734375" style="722" customWidth="1"/>
    <col min="3849" max="3850" width="11.77734375" style="722" customWidth="1"/>
    <col min="3851" max="4100" width="9.21875" style="722"/>
    <col min="4101" max="4101" width="6.77734375" style="722" customWidth="1"/>
    <col min="4102" max="4102" width="42.77734375" style="722" customWidth="1"/>
    <col min="4103" max="4104" width="6.77734375" style="722" customWidth="1"/>
    <col min="4105" max="4106" width="11.77734375" style="722" customWidth="1"/>
    <col min="4107" max="4356" width="9.21875" style="722"/>
    <col min="4357" max="4357" width="6.77734375" style="722" customWidth="1"/>
    <col min="4358" max="4358" width="42.77734375" style="722" customWidth="1"/>
    <col min="4359" max="4360" width="6.77734375" style="722" customWidth="1"/>
    <col min="4361" max="4362" width="11.77734375" style="722" customWidth="1"/>
    <col min="4363" max="4612" width="9.21875" style="722"/>
    <col min="4613" max="4613" width="6.77734375" style="722" customWidth="1"/>
    <col min="4614" max="4614" width="42.77734375" style="722" customWidth="1"/>
    <col min="4615" max="4616" width="6.77734375" style="722" customWidth="1"/>
    <col min="4617" max="4618" width="11.77734375" style="722" customWidth="1"/>
    <col min="4619" max="4868" width="9.21875" style="722"/>
    <col min="4869" max="4869" width="6.77734375" style="722" customWidth="1"/>
    <col min="4870" max="4870" width="42.77734375" style="722" customWidth="1"/>
    <col min="4871" max="4872" width="6.77734375" style="722" customWidth="1"/>
    <col min="4873" max="4874" width="11.77734375" style="722" customWidth="1"/>
    <col min="4875" max="5124" width="9.21875" style="722"/>
    <col min="5125" max="5125" width="6.77734375" style="722" customWidth="1"/>
    <col min="5126" max="5126" width="42.77734375" style="722" customWidth="1"/>
    <col min="5127" max="5128" width="6.77734375" style="722" customWidth="1"/>
    <col min="5129" max="5130" width="11.77734375" style="722" customWidth="1"/>
    <col min="5131" max="5380" width="9.21875" style="722"/>
    <col min="5381" max="5381" width="6.77734375" style="722" customWidth="1"/>
    <col min="5382" max="5382" width="42.77734375" style="722" customWidth="1"/>
    <col min="5383" max="5384" width="6.77734375" style="722" customWidth="1"/>
    <col min="5385" max="5386" width="11.77734375" style="722" customWidth="1"/>
    <col min="5387" max="5636" width="9.21875" style="722"/>
    <col min="5637" max="5637" width="6.77734375" style="722" customWidth="1"/>
    <col min="5638" max="5638" width="42.77734375" style="722" customWidth="1"/>
    <col min="5639" max="5640" width="6.77734375" style="722" customWidth="1"/>
    <col min="5641" max="5642" width="11.77734375" style="722" customWidth="1"/>
    <col min="5643" max="5892" width="9.21875" style="722"/>
    <col min="5893" max="5893" width="6.77734375" style="722" customWidth="1"/>
    <col min="5894" max="5894" width="42.77734375" style="722" customWidth="1"/>
    <col min="5895" max="5896" width="6.77734375" style="722" customWidth="1"/>
    <col min="5897" max="5898" width="11.77734375" style="722" customWidth="1"/>
    <col min="5899" max="6148" width="9.21875" style="722"/>
    <col min="6149" max="6149" width="6.77734375" style="722" customWidth="1"/>
    <col min="6150" max="6150" width="42.77734375" style="722" customWidth="1"/>
    <col min="6151" max="6152" width="6.77734375" style="722" customWidth="1"/>
    <col min="6153" max="6154" width="11.77734375" style="722" customWidth="1"/>
    <col min="6155" max="6404" width="9.21875" style="722"/>
    <col min="6405" max="6405" width="6.77734375" style="722" customWidth="1"/>
    <col min="6406" max="6406" width="42.77734375" style="722" customWidth="1"/>
    <col min="6407" max="6408" width="6.77734375" style="722" customWidth="1"/>
    <col min="6409" max="6410" width="11.77734375" style="722" customWidth="1"/>
    <col min="6411" max="6660" width="9.21875" style="722"/>
    <col min="6661" max="6661" width="6.77734375" style="722" customWidth="1"/>
    <col min="6662" max="6662" width="42.77734375" style="722" customWidth="1"/>
    <col min="6663" max="6664" width="6.77734375" style="722" customWidth="1"/>
    <col min="6665" max="6666" width="11.77734375" style="722" customWidth="1"/>
    <col min="6667" max="6916" width="9.21875" style="722"/>
    <col min="6917" max="6917" width="6.77734375" style="722" customWidth="1"/>
    <col min="6918" max="6918" width="42.77734375" style="722" customWidth="1"/>
    <col min="6919" max="6920" width="6.77734375" style="722" customWidth="1"/>
    <col min="6921" max="6922" width="11.77734375" style="722" customWidth="1"/>
    <col min="6923" max="7172" width="9.21875" style="722"/>
    <col min="7173" max="7173" width="6.77734375" style="722" customWidth="1"/>
    <col min="7174" max="7174" width="42.77734375" style="722" customWidth="1"/>
    <col min="7175" max="7176" width="6.77734375" style="722" customWidth="1"/>
    <col min="7177" max="7178" width="11.77734375" style="722" customWidth="1"/>
    <col min="7179" max="7428" width="9.21875" style="722"/>
    <col min="7429" max="7429" width="6.77734375" style="722" customWidth="1"/>
    <col min="7430" max="7430" width="42.77734375" style="722" customWidth="1"/>
    <col min="7431" max="7432" width="6.77734375" style="722" customWidth="1"/>
    <col min="7433" max="7434" width="11.77734375" style="722" customWidth="1"/>
    <col min="7435" max="7684" width="9.21875" style="722"/>
    <col min="7685" max="7685" width="6.77734375" style="722" customWidth="1"/>
    <col min="7686" max="7686" width="42.77734375" style="722" customWidth="1"/>
    <col min="7687" max="7688" width="6.77734375" style="722" customWidth="1"/>
    <col min="7689" max="7690" width="11.77734375" style="722" customWidth="1"/>
    <col min="7691" max="7940" width="9.21875" style="722"/>
    <col min="7941" max="7941" width="6.77734375" style="722" customWidth="1"/>
    <col min="7942" max="7942" width="42.77734375" style="722" customWidth="1"/>
    <col min="7943" max="7944" width="6.77734375" style="722" customWidth="1"/>
    <col min="7945" max="7946" width="11.77734375" style="722" customWidth="1"/>
    <col min="7947" max="8196" width="9.21875" style="722"/>
    <col min="8197" max="8197" width="6.77734375" style="722" customWidth="1"/>
    <col min="8198" max="8198" width="42.77734375" style="722" customWidth="1"/>
    <col min="8199" max="8200" width="6.77734375" style="722" customWidth="1"/>
    <col min="8201" max="8202" width="11.77734375" style="722" customWidth="1"/>
    <col min="8203" max="8452" width="9.21875" style="722"/>
    <col min="8453" max="8453" width="6.77734375" style="722" customWidth="1"/>
    <col min="8454" max="8454" width="42.77734375" style="722" customWidth="1"/>
    <col min="8455" max="8456" width="6.77734375" style="722" customWidth="1"/>
    <col min="8457" max="8458" width="11.77734375" style="722" customWidth="1"/>
    <col min="8459" max="8708" width="9.21875" style="722"/>
    <col min="8709" max="8709" width="6.77734375" style="722" customWidth="1"/>
    <col min="8710" max="8710" width="42.77734375" style="722" customWidth="1"/>
    <col min="8711" max="8712" width="6.77734375" style="722" customWidth="1"/>
    <col min="8713" max="8714" width="11.77734375" style="722" customWidth="1"/>
    <col min="8715" max="8964" width="9.21875" style="722"/>
    <col min="8965" max="8965" width="6.77734375" style="722" customWidth="1"/>
    <col min="8966" max="8966" width="42.77734375" style="722" customWidth="1"/>
    <col min="8967" max="8968" width="6.77734375" style="722" customWidth="1"/>
    <col min="8969" max="8970" width="11.77734375" style="722" customWidth="1"/>
    <col min="8971" max="9220" width="9.21875" style="722"/>
    <col min="9221" max="9221" width="6.77734375" style="722" customWidth="1"/>
    <col min="9222" max="9222" width="42.77734375" style="722" customWidth="1"/>
    <col min="9223" max="9224" width="6.77734375" style="722" customWidth="1"/>
    <col min="9225" max="9226" width="11.77734375" style="722" customWidth="1"/>
    <col min="9227" max="9476" width="9.21875" style="722"/>
    <col min="9477" max="9477" width="6.77734375" style="722" customWidth="1"/>
    <col min="9478" max="9478" width="42.77734375" style="722" customWidth="1"/>
    <col min="9479" max="9480" width="6.77734375" style="722" customWidth="1"/>
    <col min="9481" max="9482" width="11.77734375" style="722" customWidth="1"/>
    <col min="9483" max="9732" width="9.21875" style="722"/>
    <col min="9733" max="9733" width="6.77734375" style="722" customWidth="1"/>
    <col min="9734" max="9734" width="42.77734375" style="722" customWidth="1"/>
    <col min="9735" max="9736" width="6.77734375" style="722" customWidth="1"/>
    <col min="9737" max="9738" width="11.77734375" style="722" customWidth="1"/>
    <col min="9739" max="9988" width="9.21875" style="722"/>
    <col min="9989" max="9989" width="6.77734375" style="722" customWidth="1"/>
    <col min="9990" max="9990" width="42.77734375" style="722" customWidth="1"/>
    <col min="9991" max="9992" width="6.77734375" style="722" customWidth="1"/>
    <col min="9993" max="9994" width="11.77734375" style="722" customWidth="1"/>
    <col min="9995" max="10244" width="9.21875" style="722"/>
    <col min="10245" max="10245" width="6.77734375" style="722" customWidth="1"/>
    <col min="10246" max="10246" width="42.77734375" style="722" customWidth="1"/>
    <col min="10247" max="10248" width="6.77734375" style="722" customWidth="1"/>
    <col min="10249" max="10250" width="11.77734375" style="722" customWidth="1"/>
    <col min="10251" max="10500" width="9.21875" style="722"/>
    <col min="10501" max="10501" width="6.77734375" style="722" customWidth="1"/>
    <col min="10502" max="10502" width="42.77734375" style="722" customWidth="1"/>
    <col min="10503" max="10504" width="6.77734375" style="722" customWidth="1"/>
    <col min="10505" max="10506" width="11.77734375" style="722" customWidth="1"/>
    <col min="10507" max="10756" width="9.21875" style="722"/>
    <col min="10757" max="10757" width="6.77734375" style="722" customWidth="1"/>
    <col min="10758" max="10758" width="42.77734375" style="722" customWidth="1"/>
    <col min="10759" max="10760" width="6.77734375" style="722" customWidth="1"/>
    <col min="10761" max="10762" width="11.77734375" style="722" customWidth="1"/>
    <col min="10763" max="11012" width="9.21875" style="722"/>
    <col min="11013" max="11013" width="6.77734375" style="722" customWidth="1"/>
    <col min="11014" max="11014" width="42.77734375" style="722" customWidth="1"/>
    <col min="11015" max="11016" width="6.77734375" style="722" customWidth="1"/>
    <col min="11017" max="11018" width="11.77734375" style="722" customWidth="1"/>
    <col min="11019" max="11268" width="9.21875" style="722"/>
    <col min="11269" max="11269" width="6.77734375" style="722" customWidth="1"/>
    <col min="11270" max="11270" width="42.77734375" style="722" customWidth="1"/>
    <col min="11271" max="11272" width="6.77734375" style="722" customWidth="1"/>
    <col min="11273" max="11274" width="11.77734375" style="722" customWidth="1"/>
    <col min="11275" max="11524" width="9.21875" style="722"/>
    <col min="11525" max="11525" width="6.77734375" style="722" customWidth="1"/>
    <col min="11526" max="11526" width="42.77734375" style="722" customWidth="1"/>
    <col min="11527" max="11528" width="6.77734375" style="722" customWidth="1"/>
    <col min="11529" max="11530" width="11.77734375" style="722" customWidth="1"/>
    <col min="11531" max="11780" width="9.21875" style="722"/>
    <col min="11781" max="11781" width="6.77734375" style="722" customWidth="1"/>
    <col min="11782" max="11782" width="42.77734375" style="722" customWidth="1"/>
    <col min="11783" max="11784" width="6.77734375" style="722" customWidth="1"/>
    <col min="11785" max="11786" width="11.77734375" style="722" customWidth="1"/>
    <col min="11787" max="12036" width="9.21875" style="722"/>
    <col min="12037" max="12037" width="6.77734375" style="722" customWidth="1"/>
    <col min="12038" max="12038" width="42.77734375" style="722" customWidth="1"/>
    <col min="12039" max="12040" width="6.77734375" style="722" customWidth="1"/>
    <col min="12041" max="12042" width="11.77734375" style="722" customWidth="1"/>
    <col min="12043" max="12292" width="9.21875" style="722"/>
    <col min="12293" max="12293" width="6.77734375" style="722" customWidth="1"/>
    <col min="12294" max="12294" width="42.77734375" style="722" customWidth="1"/>
    <col min="12295" max="12296" width="6.77734375" style="722" customWidth="1"/>
    <col min="12297" max="12298" width="11.77734375" style="722" customWidth="1"/>
    <col min="12299" max="12548" width="9.21875" style="722"/>
    <col min="12549" max="12549" width="6.77734375" style="722" customWidth="1"/>
    <col min="12550" max="12550" width="42.77734375" style="722" customWidth="1"/>
    <col min="12551" max="12552" width="6.77734375" style="722" customWidth="1"/>
    <col min="12553" max="12554" width="11.77734375" style="722" customWidth="1"/>
    <col min="12555" max="12804" width="9.21875" style="722"/>
    <col min="12805" max="12805" width="6.77734375" style="722" customWidth="1"/>
    <col min="12806" max="12806" width="42.77734375" style="722" customWidth="1"/>
    <col min="12807" max="12808" width="6.77734375" style="722" customWidth="1"/>
    <col min="12809" max="12810" width="11.77734375" style="722" customWidth="1"/>
    <col min="12811" max="13060" width="9.21875" style="722"/>
    <col min="13061" max="13061" width="6.77734375" style="722" customWidth="1"/>
    <col min="13062" max="13062" width="42.77734375" style="722" customWidth="1"/>
    <col min="13063" max="13064" width="6.77734375" style="722" customWidth="1"/>
    <col min="13065" max="13066" width="11.77734375" style="722" customWidth="1"/>
    <col min="13067" max="13316" width="9.21875" style="722"/>
    <col min="13317" max="13317" width="6.77734375" style="722" customWidth="1"/>
    <col min="13318" max="13318" width="42.77734375" style="722" customWidth="1"/>
    <col min="13319" max="13320" width="6.77734375" style="722" customWidth="1"/>
    <col min="13321" max="13322" width="11.77734375" style="722" customWidth="1"/>
    <col min="13323" max="13572" width="9.21875" style="722"/>
    <col min="13573" max="13573" width="6.77734375" style="722" customWidth="1"/>
    <col min="13574" max="13574" width="42.77734375" style="722" customWidth="1"/>
    <col min="13575" max="13576" width="6.77734375" style="722" customWidth="1"/>
    <col min="13577" max="13578" width="11.77734375" style="722" customWidth="1"/>
    <col min="13579" max="13828" width="9.21875" style="722"/>
    <col min="13829" max="13829" width="6.77734375" style="722" customWidth="1"/>
    <col min="13830" max="13830" width="42.77734375" style="722" customWidth="1"/>
    <col min="13831" max="13832" width="6.77734375" style="722" customWidth="1"/>
    <col min="13833" max="13834" width="11.77734375" style="722" customWidth="1"/>
    <col min="13835" max="14084" width="9.21875" style="722"/>
    <col min="14085" max="14085" width="6.77734375" style="722" customWidth="1"/>
    <col min="14086" max="14086" width="42.77734375" style="722" customWidth="1"/>
    <col min="14087" max="14088" width="6.77734375" style="722" customWidth="1"/>
    <col min="14089" max="14090" width="11.77734375" style="722" customWidth="1"/>
    <col min="14091" max="14340" width="9.21875" style="722"/>
    <col min="14341" max="14341" width="6.77734375" style="722" customWidth="1"/>
    <col min="14342" max="14342" width="42.77734375" style="722" customWidth="1"/>
    <col min="14343" max="14344" width="6.77734375" style="722" customWidth="1"/>
    <col min="14345" max="14346" width="11.77734375" style="722" customWidth="1"/>
    <col min="14347" max="14596" width="9.21875" style="722"/>
    <col min="14597" max="14597" width="6.77734375" style="722" customWidth="1"/>
    <col min="14598" max="14598" width="42.77734375" style="722" customWidth="1"/>
    <col min="14599" max="14600" width="6.77734375" style="722" customWidth="1"/>
    <col min="14601" max="14602" width="11.77734375" style="722" customWidth="1"/>
    <col min="14603" max="14852" width="9.21875" style="722"/>
    <col min="14853" max="14853" width="6.77734375" style="722" customWidth="1"/>
    <col min="14854" max="14854" width="42.77734375" style="722" customWidth="1"/>
    <col min="14855" max="14856" width="6.77734375" style="722" customWidth="1"/>
    <col min="14857" max="14858" width="11.77734375" style="722" customWidth="1"/>
    <col min="14859" max="15108" width="9.21875" style="722"/>
    <col min="15109" max="15109" width="6.77734375" style="722" customWidth="1"/>
    <col min="15110" max="15110" width="42.77734375" style="722" customWidth="1"/>
    <col min="15111" max="15112" width="6.77734375" style="722" customWidth="1"/>
    <col min="15113" max="15114" width="11.77734375" style="722" customWidth="1"/>
    <col min="15115" max="15364" width="9.21875" style="722"/>
    <col min="15365" max="15365" width="6.77734375" style="722" customWidth="1"/>
    <col min="15366" max="15366" width="42.77734375" style="722" customWidth="1"/>
    <col min="15367" max="15368" width="6.77734375" style="722" customWidth="1"/>
    <col min="15369" max="15370" width="11.77734375" style="722" customWidth="1"/>
    <col min="15371" max="15620" width="9.21875" style="722"/>
    <col min="15621" max="15621" width="6.77734375" style="722" customWidth="1"/>
    <col min="15622" max="15622" width="42.77734375" style="722" customWidth="1"/>
    <col min="15623" max="15624" width="6.77734375" style="722" customWidth="1"/>
    <col min="15625" max="15626" width="11.77734375" style="722" customWidth="1"/>
    <col min="15627" max="15876" width="9.21875" style="722"/>
    <col min="15877" max="15877" width="6.77734375" style="722" customWidth="1"/>
    <col min="15878" max="15878" width="42.77734375" style="722" customWidth="1"/>
    <col min="15879" max="15880" width="6.77734375" style="722" customWidth="1"/>
    <col min="15881" max="15882" width="11.77734375" style="722" customWidth="1"/>
    <col min="15883" max="16384" width="9.21875" style="722"/>
  </cols>
  <sheetData>
    <row r="1" spans="1:6" s="706" customFormat="1">
      <c r="A1" s="700"/>
      <c r="B1" s="701" t="s">
        <v>1699</v>
      </c>
      <c r="C1" s="702"/>
      <c r="D1" s="703"/>
      <c r="E1" s="704"/>
      <c r="F1" s="705"/>
    </row>
    <row r="2" spans="1:6" s="712" customFormat="1">
      <c r="A2" s="707" t="s">
        <v>141</v>
      </c>
      <c r="B2" s="708" t="s">
        <v>216</v>
      </c>
      <c r="C2" s="708" t="s">
        <v>215</v>
      </c>
      <c r="D2" s="709" t="s">
        <v>142</v>
      </c>
      <c r="E2" s="710" t="s">
        <v>845</v>
      </c>
      <c r="F2" s="711" t="s">
        <v>846</v>
      </c>
    </row>
    <row r="3" spans="1:6" s="715" customFormat="1" ht="30" customHeight="1">
      <c r="A3" s="713"/>
      <c r="B3" s="1139"/>
      <c r="C3" s="1140"/>
      <c r="D3" s="1141"/>
      <c r="E3" s="1139"/>
      <c r="F3" s="714"/>
    </row>
    <row r="4" spans="1:6">
      <c r="A4" s="716">
        <v>1</v>
      </c>
      <c r="B4" s="717" t="s">
        <v>1700</v>
      </c>
      <c r="C4" s="718"/>
      <c r="D4" s="719"/>
      <c r="E4" s="720"/>
      <c r="F4" s="721"/>
    </row>
    <row r="5" spans="1:6" s="728" customFormat="1" ht="13.8">
      <c r="A5" s="723"/>
      <c r="B5" s="724"/>
      <c r="C5" s="725"/>
      <c r="D5" s="726"/>
      <c r="E5" s="727"/>
      <c r="F5" s="727"/>
    </row>
    <row r="6" spans="1:6" s="728" customFormat="1" ht="26.4">
      <c r="A6" s="729">
        <v>1</v>
      </c>
      <c r="B6" s="730" t="s">
        <v>1701</v>
      </c>
      <c r="C6" s="731" t="s">
        <v>213</v>
      </c>
      <c r="D6" s="732">
        <v>1</v>
      </c>
      <c r="E6" s="733">
        <v>280</v>
      </c>
      <c r="F6" s="734">
        <f>E6*D6</f>
        <v>280</v>
      </c>
    </row>
    <row r="7" spans="1:6" s="728" customFormat="1">
      <c r="A7" s="729"/>
      <c r="B7" s="730"/>
      <c r="C7" s="731"/>
      <c r="D7" s="732"/>
      <c r="E7" s="733"/>
      <c r="F7" s="734"/>
    </row>
    <row r="8" spans="1:6" s="728" customFormat="1" ht="39.6">
      <c r="A8" s="729">
        <v>2</v>
      </c>
      <c r="B8" s="730" t="s">
        <v>1702</v>
      </c>
      <c r="C8" s="731" t="s">
        <v>213</v>
      </c>
      <c r="D8" s="732">
        <v>1</v>
      </c>
      <c r="E8" s="1151">
        <v>3000</v>
      </c>
      <c r="F8" s="734">
        <f>E8*D8</f>
        <v>3000</v>
      </c>
    </row>
    <row r="9" spans="1:6" s="728" customFormat="1">
      <c r="A9" s="729"/>
      <c r="B9" s="730"/>
      <c r="C9" s="735"/>
      <c r="D9" s="732"/>
      <c r="E9" s="733"/>
      <c r="F9" s="734"/>
    </row>
    <row r="10" spans="1:6" s="728" customFormat="1" ht="66">
      <c r="A10" s="729">
        <v>3</v>
      </c>
      <c r="B10" s="730" t="s">
        <v>1703</v>
      </c>
      <c r="C10" s="735" t="s">
        <v>31</v>
      </c>
      <c r="D10" s="732">
        <v>1</v>
      </c>
      <c r="E10" s="733">
        <v>250</v>
      </c>
      <c r="F10" s="734">
        <f>E10*D10</f>
        <v>250</v>
      </c>
    </row>
    <row r="11" spans="1:6" s="715" customFormat="1">
      <c r="A11" s="729"/>
      <c r="B11" s="730"/>
      <c r="C11" s="731"/>
      <c r="D11" s="732"/>
      <c r="E11" s="733"/>
      <c r="F11" s="734"/>
    </row>
    <row r="12" spans="1:6" s="728" customFormat="1">
      <c r="A12" s="729">
        <v>4</v>
      </c>
      <c r="B12" s="736" t="s">
        <v>1704</v>
      </c>
      <c r="C12" s="735" t="s">
        <v>213</v>
      </c>
      <c r="D12" s="732">
        <v>1</v>
      </c>
      <c r="E12" s="1151">
        <v>500</v>
      </c>
      <c r="F12" s="734">
        <f>E12*D12</f>
        <v>500</v>
      </c>
    </row>
    <row r="13" spans="1:6" s="728" customFormat="1">
      <c r="A13" s="729"/>
      <c r="B13" s="730"/>
      <c r="C13" s="731"/>
      <c r="D13" s="732"/>
      <c r="E13" s="733"/>
      <c r="F13" s="734"/>
    </row>
    <row r="14" spans="1:6" s="728" customFormat="1" ht="211.2">
      <c r="A14" s="729">
        <v>5</v>
      </c>
      <c r="B14" s="730" t="s">
        <v>2334</v>
      </c>
      <c r="C14" s="735"/>
      <c r="D14" s="732"/>
      <c r="E14" s="733"/>
      <c r="F14" s="734"/>
    </row>
    <row r="15" spans="1:6" s="742" customFormat="1" ht="8.25" customHeight="1">
      <c r="A15" s="737"/>
      <c r="B15" s="738"/>
      <c r="C15" s="739"/>
      <c r="D15" s="740"/>
      <c r="E15" s="741"/>
      <c r="F15" s="734"/>
    </row>
    <row r="16" spans="1:6" s="728" customFormat="1" ht="26.4">
      <c r="A16" s="743"/>
      <c r="B16" s="730" t="s">
        <v>1705</v>
      </c>
      <c r="C16" s="735" t="s">
        <v>31</v>
      </c>
      <c r="D16" s="732"/>
      <c r="E16" s="733"/>
      <c r="F16" s="734"/>
    </row>
    <row r="17" spans="1:6" s="742" customFormat="1" ht="6.6">
      <c r="A17" s="737"/>
      <c r="B17" s="738"/>
      <c r="C17" s="739"/>
      <c r="D17" s="740"/>
      <c r="E17" s="741"/>
      <c r="F17" s="744"/>
    </row>
    <row r="18" spans="1:6" s="728" customFormat="1" ht="26.4">
      <c r="A18" s="743"/>
      <c r="B18" s="730" t="s">
        <v>1706</v>
      </c>
      <c r="C18" s="735" t="s">
        <v>31</v>
      </c>
      <c r="D18" s="732"/>
      <c r="E18" s="733"/>
      <c r="F18" s="734"/>
    </row>
    <row r="19" spans="1:6" s="742" customFormat="1" ht="8.25" customHeight="1">
      <c r="A19" s="737"/>
      <c r="B19" s="738"/>
      <c r="C19" s="739"/>
      <c r="D19" s="740"/>
      <c r="E19" s="741"/>
      <c r="F19" s="734"/>
    </row>
    <row r="20" spans="1:6" s="728" customFormat="1">
      <c r="A20" s="743"/>
      <c r="B20" s="730" t="s">
        <v>1707</v>
      </c>
      <c r="C20" s="735" t="s">
        <v>31</v>
      </c>
      <c r="D20" s="732"/>
      <c r="E20" s="733"/>
      <c r="F20" s="734"/>
    </row>
    <row r="21" spans="1:6" s="745" customFormat="1" ht="8.25" customHeight="1">
      <c r="A21" s="737"/>
      <c r="B21" s="738"/>
      <c r="C21" s="739"/>
      <c r="D21" s="740"/>
      <c r="E21" s="741"/>
      <c r="F21" s="734"/>
    </row>
    <row r="22" spans="1:6" s="728" customFormat="1" ht="26.4">
      <c r="A22" s="743"/>
      <c r="B22" s="730" t="s">
        <v>1708</v>
      </c>
      <c r="C22" s="735" t="s">
        <v>213</v>
      </c>
      <c r="D22" s="732"/>
      <c r="E22" s="733"/>
      <c r="F22" s="734"/>
    </row>
    <row r="23" spans="1:6" s="745" customFormat="1" ht="8.25" customHeight="1">
      <c r="A23" s="737"/>
      <c r="B23" s="738"/>
      <c r="C23" s="739"/>
      <c r="D23" s="740"/>
      <c r="E23" s="741"/>
      <c r="F23" s="734"/>
    </row>
    <row r="24" spans="1:6" s="728" customFormat="1" ht="26.4">
      <c r="A24" s="743"/>
      <c r="B24" s="730" t="s">
        <v>1709</v>
      </c>
      <c r="C24" s="735" t="s">
        <v>213</v>
      </c>
      <c r="D24" s="732"/>
      <c r="E24" s="733"/>
      <c r="F24" s="734"/>
    </row>
    <row r="25" spans="1:6" s="745" customFormat="1" ht="8.25" customHeight="1">
      <c r="A25" s="737"/>
      <c r="B25" s="738"/>
      <c r="C25" s="739"/>
      <c r="D25" s="740"/>
      <c r="E25" s="741"/>
      <c r="F25" s="734"/>
    </row>
    <row r="26" spans="1:6" s="728" customFormat="1">
      <c r="A26" s="743"/>
      <c r="B26" s="730" t="s">
        <v>1710</v>
      </c>
      <c r="C26" s="735" t="s">
        <v>213</v>
      </c>
      <c r="D26" s="732"/>
      <c r="E26" s="733"/>
      <c r="F26" s="734"/>
    </row>
    <row r="27" spans="1:6" s="745" customFormat="1" ht="8.25" customHeight="1">
      <c r="A27" s="737"/>
      <c r="B27" s="738"/>
      <c r="C27" s="739"/>
      <c r="D27" s="740"/>
      <c r="E27" s="741"/>
      <c r="F27" s="734"/>
    </row>
    <row r="28" spans="1:6" s="728" customFormat="1">
      <c r="A28" s="743"/>
      <c r="B28" s="730" t="s">
        <v>1711</v>
      </c>
      <c r="C28" s="735" t="s">
        <v>213</v>
      </c>
      <c r="D28" s="732"/>
      <c r="E28" s="733"/>
      <c r="F28" s="734"/>
    </row>
    <row r="29" spans="1:6" s="745" customFormat="1" ht="8.25" customHeight="1">
      <c r="A29" s="737"/>
      <c r="B29" s="738"/>
      <c r="C29" s="739"/>
      <c r="D29" s="740"/>
      <c r="E29" s="741"/>
      <c r="F29" s="734"/>
    </row>
    <row r="30" spans="1:6" s="728" customFormat="1">
      <c r="A30" s="743"/>
      <c r="B30" s="730" t="s">
        <v>1712</v>
      </c>
      <c r="C30" s="735" t="s">
        <v>213</v>
      </c>
      <c r="D30" s="732"/>
      <c r="E30" s="733"/>
      <c r="F30" s="734"/>
    </row>
    <row r="31" spans="1:6" s="745" customFormat="1" ht="8.25" customHeight="1">
      <c r="A31" s="737"/>
      <c r="B31" s="738"/>
      <c r="C31" s="739"/>
      <c r="D31" s="740"/>
      <c r="E31" s="741"/>
      <c r="F31" s="734"/>
    </row>
    <row r="32" spans="1:6" s="728" customFormat="1">
      <c r="A32" s="743"/>
      <c r="B32" s="730" t="s">
        <v>1713</v>
      </c>
      <c r="C32" s="735" t="s">
        <v>213</v>
      </c>
      <c r="D32" s="732"/>
      <c r="E32" s="733"/>
      <c r="F32" s="734"/>
    </row>
    <row r="33" spans="1:6" s="745" customFormat="1" ht="14.25" customHeight="1">
      <c r="A33" s="737"/>
      <c r="B33" s="738"/>
      <c r="C33" s="739"/>
      <c r="D33" s="740"/>
      <c r="E33" s="741"/>
      <c r="F33" s="744"/>
    </row>
    <row r="34" spans="1:6" s="728" customFormat="1" ht="26.4">
      <c r="A34" s="743"/>
      <c r="B34" s="730" t="s">
        <v>1714</v>
      </c>
      <c r="C34" s="735" t="s">
        <v>31</v>
      </c>
      <c r="D34" s="732"/>
      <c r="E34" s="733"/>
      <c r="F34" s="734"/>
    </row>
    <row r="35" spans="1:6" s="742" customFormat="1" ht="6.6">
      <c r="A35" s="737"/>
      <c r="B35" s="738"/>
      <c r="C35" s="739"/>
      <c r="D35" s="740"/>
      <c r="E35" s="741"/>
      <c r="F35" s="744"/>
    </row>
    <row r="36" spans="1:6" s="728" customFormat="1">
      <c r="A36" s="743"/>
      <c r="B36" s="730" t="s">
        <v>1715</v>
      </c>
      <c r="C36" s="735" t="s">
        <v>31</v>
      </c>
      <c r="D36" s="732"/>
      <c r="E36" s="733"/>
      <c r="F36" s="734"/>
    </row>
    <row r="37" spans="1:6" s="742" customFormat="1" ht="6.6">
      <c r="A37" s="737"/>
      <c r="B37" s="738"/>
      <c r="C37" s="739"/>
      <c r="D37" s="740"/>
      <c r="E37" s="741"/>
      <c r="F37" s="744"/>
    </row>
    <row r="38" spans="1:6" s="728" customFormat="1" ht="26.4">
      <c r="A38" s="743"/>
      <c r="B38" s="746" t="s">
        <v>1716</v>
      </c>
      <c r="C38" s="735" t="s">
        <v>31</v>
      </c>
      <c r="D38" s="732"/>
      <c r="E38" s="733"/>
      <c r="F38" s="734"/>
    </row>
    <row r="39" spans="1:6" s="742" customFormat="1" ht="6.6">
      <c r="A39" s="737"/>
      <c r="B39" s="738"/>
      <c r="C39" s="739"/>
      <c r="D39" s="740"/>
      <c r="E39" s="741"/>
      <c r="F39" s="744"/>
    </row>
    <row r="40" spans="1:6" s="728" customFormat="1" ht="26.4">
      <c r="A40" s="743"/>
      <c r="B40" s="746" t="s">
        <v>1717</v>
      </c>
      <c r="C40" s="735" t="s">
        <v>31</v>
      </c>
      <c r="D40" s="732"/>
      <c r="E40" s="733"/>
      <c r="F40" s="734"/>
    </row>
    <row r="41" spans="1:6" s="742" customFormat="1" ht="6.6">
      <c r="A41" s="737"/>
      <c r="B41" s="738"/>
      <c r="C41" s="739"/>
      <c r="D41" s="740"/>
      <c r="E41" s="741"/>
      <c r="F41" s="744"/>
    </row>
    <row r="42" spans="1:6" s="728" customFormat="1" ht="26.4">
      <c r="A42" s="743"/>
      <c r="B42" s="746" t="s">
        <v>1718</v>
      </c>
      <c r="C42" s="735" t="s">
        <v>31</v>
      </c>
      <c r="D42" s="732"/>
      <c r="E42" s="733"/>
      <c r="F42" s="734"/>
    </row>
    <row r="43" spans="1:6" s="742" customFormat="1" ht="6.6">
      <c r="A43" s="737"/>
      <c r="B43" s="738"/>
      <c r="C43" s="739"/>
      <c r="D43" s="740"/>
      <c r="E43" s="741"/>
      <c r="F43" s="744"/>
    </row>
    <row r="44" spans="1:6" s="728" customFormat="1" ht="26.4">
      <c r="A44" s="743"/>
      <c r="B44" s="730" t="s">
        <v>1719</v>
      </c>
      <c r="C44" s="735" t="s">
        <v>31</v>
      </c>
      <c r="D44" s="732"/>
      <c r="E44" s="733"/>
      <c r="F44" s="734"/>
    </row>
    <row r="45" spans="1:6" s="742" customFormat="1" ht="6.6">
      <c r="A45" s="737"/>
      <c r="B45" s="738"/>
      <c r="C45" s="739"/>
      <c r="D45" s="740"/>
      <c r="E45" s="741"/>
      <c r="F45" s="744"/>
    </row>
    <row r="46" spans="1:6" s="728" customFormat="1" ht="26.4">
      <c r="A46" s="743"/>
      <c r="B46" s="730" t="s">
        <v>1720</v>
      </c>
      <c r="C46" s="735" t="s">
        <v>31</v>
      </c>
      <c r="D46" s="732"/>
      <c r="E46" s="733"/>
      <c r="F46" s="734"/>
    </row>
    <row r="47" spans="1:6" s="742" customFormat="1" ht="6.6">
      <c r="A47" s="737"/>
      <c r="B47" s="738"/>
      <c r="C47" s="739"/>
      <c r="D47" s="740"/>
      <c r="E47" s="741"/>
      <c r="F47" s="744"/>
    </row>
    <row r="48" spans="1:6" s="728" customFormat="1" ht="26.4">
      <c r="A48" s="743"/>
      <c r="B48" s="730" t="s">
        <v>1721</v>
      </c>
      <c r="C48" s="735" t="s">
        <v>31</v>
      </c>
      <c r="D48" s="732"/>
      <c r="E48" s="733"/>
      <c r="F48" s="734"/>
    </row>
    <row r="49" spans="1:6" s="742" customFormat="1" ht="6.6">
      <c r="A49" s="737"/>
      <c r="B49" s="738"/>
      <c r="C49" s="739"/>
      <c r="D49" s="740"/>
      <c r="E49" s="741"/>
      <c r="F49" s="744"/>
    </row>
    <row r="50" spans="1:6" s="728" customFormat="1">
      <c r="A50" s="743"/>
      <c r="B50" s="730" t="s">
        <v>1722</v>
      </c>
      <c r="C50" s="735" t="s">
        <v>31</v>
      </c>
      <c r="D50" s="732"/>
      <c r="E50" s="733"/>
      <c r="F50" s="734"/>
    </row>
    <row r="51" spans="1:6" s="742" customFormat="1" ht="6.6">
      <c r="A51" s="737"/>
      <c r="B51" s="738"/>
      <c r="C51" s="739"/>
      <c r="D51" s="740"/>
      <c r="E51" s="741"/>
      <c r="F51" s="744"/>
    </row>
    <row r="52" spans="1:6" s="728" customFormat="1">
      <c r="A52" s="743"/>
      <c r="B52" s="730" t="s">
        <v>1723</v>
      </c>
      <c r="C52" s="735" t="s">
        <v>31</v>
      </c>
      <c r="D52" s="732"/>
      <c r="E52" s="733"/>
      <c r="F52" s="734"/>
    </row>
    <row r="53" spans="1:6" s="742" customFormat="1" ht="6.6">
      <c r="A53" s="737"/>
      <c r="B53" s="738"/>
      <c r="C53" s="739"/>
      <c r="D53" s="740"/>
      <c r="E53" s="741"/>
      <c r="F53" s="744"/>
    </row>
    <row r="54" spans="1:6" s="728" customFormat="1">
      <c r="A54" s="743"/>
      <c r="B54" s="730" t="s">
        <v>1724</v>
      </c>
      <c r="C54" s="735" t="s">
        <v>31</v>
      </c>
      <c r="D54" s="732"/>
      <c r="E54" s="733"/>
      <c r="F54" s="734"/>
    </row>
    <row r="55" spans="1:6" s="745" customFormat="1">
      <c r="A55" s="737"/>
      <c r="B55" s="738"/>
      <c r="C55" s="739"/>
      <c r="D55" s="740"/>
      <c r="E55" s="741"/>
      <c r="F55" s="734"/>
    </row>
    <row r="56" spans="1:6" s="728" customFormat="1" ht="26.4">
      <c r="A56" s="743"/>
      <c r="B56" s="730" t="s">
        <v>1725</v>
      </c>
      <c r="C56" s="735" t="s">
        <v>31</v>
      </c>
      <c r="D56" s="732"/>
      <c r="E56" s="733"/>
      <c r="F56" s="734"/>
    </row>
    <row r="57" spans="1:6" s="745" customFormat="1">
      <c r="A57" s="737"/>
      <c r="B57" s="738"/>
      <c r="C57" s="739"/>
      <c r="D57" s="740"/>
      <c r="E57" s="741"/>
      <c r="F57" s="734"/>
    </row>
    <row r="58" spans="1:6" s="728" customFormat="1" ht="26.4">
      <c r="A58" s="743"/>
      <c r="B58" s="730" t="s">
        <v>1726</v>
      </c>
      <c r="C58" s="735" t="s">
        <v>31</v>
      </c>
      <c r="D58" s="732"/>
      <c r="E58" s="733"/>
      <c r="F58" s="734"/>
    </row>
    <row r="59" spans="1:6" s="745" customFormat="1">
      <c r="A59" s="737"/>
      <c r="B59" s="738"/>
      <c r="C59" s="739"/>
      <c r="D59" s="740"/>
      <c r="E59" s="741"/>
      <c r="F59" s="734"/>
    </row>
    <row r="60" spans="1:6" s="728" customFormat="1" ht="26.4">
      <c r="A60" s="743"/>
      <c r="B60" s="730" t="s">
        <v>1727</v>
      </c>
      <c r="C60" s="735" t="s">
        <v>31</v>
      </c>
      <c r="D60" s="732"/>
      <c r="E60" s="733"/>
      <c r="F60" s="734"/>
    </row>
    <row r="61" spans="1:6" s="745" customFormat="1" ht="8.25" customHeight="1">
      <c r="A61" s="737"/>
      <c r="B61" s="738"/>
      <c r="C61" s="739"/>
      <c r="D61" s="740"/>
      <c r="E61" s="741"/>
      <c r="F61" s="734"/>
    </row>
    <row r="62" spans="1:6" s="728" customFormat="1" ht="26.4">
      <c r="A62" s="743"/>
      <c r="B62" s="730" t="s">
        <v>1728</v>
      </c>
      <c r="C62" s="735" t="s">
        <v>31</v>
      </c>
      <c r="D62" s="732"/>
      <c r="E62" s="733"/>
      <c r="F62" s="734"/>
    </row>
    <row r="63" spans="1:6" s="745" customFormat="1" ht="8.25" customHeight="1">
      <c r="A63" s="737"/>
      <c r="B63" s="738"/>
      <c r="C63" s="739"/>
      <c r="D63" s="740"/>
      <c r="E63" s="741"/>
      <c r="F63" s="734"/>
    </row>
    <row r="64" spans="1:6" s="728" customFormat="1" ht="26.4">
      <c r="A64" s="743"/>
      <c r="B64" s="730" t="s">
        <v>1729</v>
      </c>
      <c r="C64" s="735" t="s">
        <v>31</v>
      </c>
      <c r="D64" s="732"/>
      <c r="E64" s="733"/>
      <c r="F64" s="734"/>
    </row>
    <row r="65" spans="1:6" s="745" customFormat="1" ht="8.25" customHeight="1">
      <c r="A65" s="737"/>
      <c r="B65" s="738"/>
      <c r="C65" s="739"/>
      <c r="D65" s="740"/>
      <c r="E65" s="741"/>
      <c r="F65" s="734"/>
    </row>
    <row r="66" spans="1:6" s="728" customFormat="1">
      <c r="A66" s="743"/>
      <c r="B66" s="730" t="s">
        <v>1730</v>
      </c>
      <c r="C66" s="735" t="s">
        <v>31</v>
      </c>
      <c r="D66" s="732"/>
      <c r="E66" s="733"/>
      <c r="F66" s="734"/>
    </row>
    <row r="67" spans="1:6" s="745" customFormat="1" ht="8.25" customHeight="1">
      <c r="A67" s="737"/>
      <c r="B67" s="738"/>
      <c r="C67" s="739"/>
      <c r="D67" s="740"/>
      <c r="E67" s="741"/>
      <c r="F67" s="734"/>
    </row>
    <row r="68" spans="1:6" s="728" customFormat="1" ht="39.6">
      <c r="A68" s="743"/>
      <c r="B68" s="730" t="s">
        <v>1731</v>
      </c>
      <c r="C68" s="735" t="s">
        <v>213</v>
      </c>
      <c r="D68" s="732"/>
      <c r="E68" s="733"/>
      <c r="F68" s="734"/>
    </row>
    <row r="69" spans="1:6" s="742" customFormat="1" ht="8.25" customHeight="1">
      <c r="A69" s="737"/>
      <c r="B69" s="738"/>
      <c r="C69" s="739"/>
      <c r="D69" s="740"/>
      <c r="E69" s="741"/>
      <c r="F69" s="734"/>
    </row>
    <row r="70" spans="1:6" s="728" customFormat="1" ht="92.4">
      <c r="A70" s="743"/>
      <c r="B70" s="730" t="s">
        <v>1732</v>
      </c>
      <c r="C70" s="735" t="s">
        <v>213</v>
      </c>
      <c r="D70" s="732"/>
      <c r="E70" s="733"/>
      <c r="F70" s="734"/>
    </row>
    <row r="71" spans="1:6" s="742" customFormat="1" ht="8.25" customHeight="1">
      <c r="A71" s="737"/>
      <c r="B71" s="738"/>
      <c r="C71" s="739"/>
      <c r="D71" s="740"/>
      <c r="E71" s="741"/>
      <c r="F71" s="734"/>
    </row>
    <row r="72" spans="1:6" s="728" customFormat="1" ht="52.8">
      <c r="A72" s="743"/>
      <c r="B72" s="730" t="s">
        <v>1733</v>
      </c>
      <c r="C72" s="735" t="s">
        <v>213</v>
      </c>
      <c r="D72" s="732"/>
      <c r="E72" s="733"/>
      <c r="F72" s="734"/>
    </row>
    <row r="73" spans="1:6" s="752" customFormat="1" ht="8.25" customHeight="1">
      <c r="A73" s="747"/>
      <c r="B73" s="748"/>
      <c r="C73" s="749"/>
      <c r="D73" s="750"/>
      <c r="E73" s="751"/>
      <c r="F73" s="734"/>
    </row>
    <row r="74" spans="1:6" s="752" customFormat="1" ht="8.25" customHeight="1">
      <c r="A74" s="747"/>
      <c r="B74" s="753"/>
      <c r="C74" s="754"/>
      <c r="D74" s="755"/>
      <c r="E74" s="751"/>
      <c r="F74" s="734"/>
    </row>
    <row r="75" spans="1:6" s="728" customFormat="1">
      <c r="A75" s="743"/>
      <c r="B75" s="730"/>
      <c r="C75" s="735" t="s">
        <v>213</v>
      </c>
      <c r="D75" s="732">
        <v>1</v>
      </c>
      <c r="E75" s="756">
        <v>18300</v>
      </c>
      <c r="F75" s="757">
        <f>E75*D75</f>
        <v>18300</v>
      </c>
    </row>
    <row r="76" spans="1:6" s="728" customFormat="1">
      <c r="A76" s="729"/>
      <c r="B76" s="730"/>
      <c r="C76" s="735"/>
      <c r="D76" s="732"/>
      <c r="E76" s="733"/>
      <c r="F76" s="734"/>
    </row>
    <row r="77" spans="1:6" s="728" customFormat="1" ht="178.5" customHeight="1">
      <c r="A77" s="729">
        <v>6</v>
      </c>
      <c r="B77" s="730" t="s">
        <v>2335</v>
      </c>
      <c r="C77" s="735"/>
      <c r="D77" s="732"/>
      <c r="E77" s="733"/>
      <c r="F77" s="734"/>
    </row>
    <row r="78" spans="1:6" s="742" customFormat="1" ht="6.6">
      <c r="A78" s="737"/>
      <c r="B78" s="738"/>
      <c r="C78" s="739"/>
      <c r="D78" s="740"/>
      <c r="E78" s="741"/>
      <c r="F78" s="744"/>
    </row>
    <row r="79" spans="1:6" s="728" customFormat="1" ht="39.6">
      <c r="A79" s="743"/>
      <c r="B79" s="730" t="s">
        <v>1734</v>
      </c>
      <c r="C79" s="735" t="s">
        <v>31</v>
      </c>
      <c r="D79" s="732"/>
      <c r="E79" s="733"/>
      <c r="F79" s="734"/>
    </row>
    <row r="80" spans="1:6" s="742" customFormat="1" ht="6.6">
      <c r="A80" s="737"/>
      <c r="B80" s="738"/>
      <c r="C80" s="739"/>
      <c r="D80" s="740"/>
      <c r="E80" s="741"/>
      <c r="F80" s="744"/>
    </row>
    <row r="81" spans="1:6" s="728" customFormat="1" ht="14.25" customHeight="1">
      <c r="A81" s="743"/>
      <c r="B81" s="730" t="s">
        <v>1735</v>
      </c>
      <c r="C81" s="735" t="s">
        <v>31</v>
      </c>
      <c r="D81" s="732"/>
      <c r="E81" s="733"/>
      <c r="F81" s="734"/>
    </row>
    <row r="82" spans="1:6" s="745" customFormat="1" ht="8.25" customHeight="1">
      <c r="A82" s="737"/>
      <c r="B82" s="738"/>
      <c r="C82" s="739"/>
      <c r="D82" s="740"/>
      <c r="E82" s="741"/>
      <c r="F82" s="734"/>
    </row>
    <row r="83" spans="1:6" s="728" customFormat="1" ht="26.4">
      <c r="A83" s="743"/>
      <c r="B83" s="730" t="s">
        <v>1709</v>
      </c>
      <c r="C83" s="735" t="s">
        <v>213</v>
      </c>
      <c r="D83" s="732"/>
      <c r="E83" s="733"/>
      <c r="F83" s="734"/>
    </row>
    <row r="84" spans="1:6" s="745" customFormat="1" ht="14.25" customHeight="1">
      <c r="A84" s="737"/>
      <c r="B84" s="738"/>
      <c r="C84" s="739"/>
      <c r="D84" s="740"/>
      <c r="E84" s="741"/>
      <c r="F84" s="744"/>
    </row>
    <row r="85" spans="1:6" s="728" customFormat="1" ht="26.4">
      <c r="A85" s="743"/>
      <c r="B85" s="730" t="s">
        <v>1714</v>
      </c>
      <c r="C85" s="735" t="s">
        <v>31</v>
      </c>
      <c r="D85" s="732"/>
      <c r="E85" s="733"/>
      <c r="F85" s="734"/>
    </row>
    <row r="86" spans="1:6" s="745" customFormat="1" ht="14.25" customHeight="1">
      <c r="A86" s="737"/>
      <c r="B86" s="738"/>
      <c r="C86" s="739"/>
      <c r="D86" s="740"/>
      <c r="E86" s="741"/>
      <c r="F86" s="744"/>
    </row>
    <row r="87" spans="1:6" s="728" customFormat="1" ht="26.4">
      <c r="A87" s="743"/>
      <c r="B87" s="730" t="s">
        <v>1736</v>
      </c>
      <c r="C87" s="735" t="s">
        <v>31</v>
      </c>
      <c r="D87" s="732"/>
      <c r="E87" s="733"/>
      <c r="F87" s="734"/>
    </row>
    <row r="88" spans="1:6" s="745" customFormat="1" ht="14.25" customHeight="1">
      <c r="A88" s="737"/>
      <c r="B88" s="738"/>
      <c r="C88" s="739"/>
      <c r="D88" s="740"/>
      <c r="E88" s="741"/>
      <c r="F88" s="744"/>
    </row>
    <row r="89" spans="1:6" s="728" customFormat="1" ht="26.4">
      <c r="A89" s="743"/>
      <c r="B89" s="730" t="s">
        <v>1737</v>
      </c>
      <c r="C89" s="735" t="s">
        <v>31</v>
      </c>
      <c r="D89" s="732"/>
      <c r="E89" s="733"/>
      <c r="F89" s="734"/>
    </row>
    <row r="90" spans="1:6" s="742" customFormat="1" ht="6.6">
      <c r="A90" s="737"/>
      <c r="B90" s="738"/>
      <c r="C90" s="739"/>
      <c r="D90" s="740"/>
      <c r="E90" s="741"/>
      <c r="F90" s="744"/>
    </row>
    <row r="91" spans="1:6" s="728" customFormat="1" ht="26.4">
      <c r="A91" s="743"/>
      <c r="B91" s="730" t="s">
        <v>1738</v>
      </c>
      <c r="C91" s="735" t="s">
        <v>31</v>
      </c>
      <c r="D91" s="732"/>
      <c r="E91" s="733"/>
      <c r="F91" s="734"/>
    </row>
    <row r="92" spans="1:6" s="745" customFormat="1" ht="8.25" customHeight="1">
      <c r="A92" s="737"/>
      <c r="B92" s="738"/>
      <c r="C92" s="739"/>
      <c r="D92" s="740"/>
      <c r="E92" s="741"/>
      <c r="F92" s="734"/>
    </row>
    <row r="93" spans="1:6" s="728" customFormat="1">
      <c r="A93" s="743"/>
      <c r="B93" s="730" t="s">
        <v>1711</v>
      </c>
      <c r="C93" s="735" t="s">
        <v>213</v>
      </c>
      <c r="D93" s="732"/>
      <c r="E93" s="733"/>
      <c r="F93" s="734"/>
    </row>
    <row r="94" spans="1:6" s="745" customFormat="1" ht="8.25" customHeight="1">
      <c r="A94" s="737"/>
      <c r="B94" s="738"/>
      <c r="C94" s="739"/>
      <c r="D94" s="740"/>
      <c r="E94" s="741"/>
      <c r="F94" s="734"/>
    </row>
    <row r="95" spans="1:6" s="728" customFormat="1">
      <c r="A95" s="743"/>
      <c r="B95" s="730" t="s">
        <v>1712</v>
      </c>
      <c r="C95" s="735" t="s">
        <v>213</v>
      </c>
      <c r="D95" s="732"/>
      <c r="E95" s="733"/>
      <c r="F95" s="734"/>
    </row>
    <row r="96" spans="1:6" s="742" customFormat="1" ht="6.6">
      <c r="A96" s="737"/>
      <c r="B96" s="738"/>
      <c r="C96" s="739"/>
      <c r="D96" s="740"/>
      <c r="E96" s="741"/>
      <c r="F96" s="744"/>
    </row>
    <row r="97" spans="1:6" s="728" customFormat="1">
      <c r="A97" s="743"/>
      <c r="B97" s="730" t="s">
        <v>1739</v>
      </c>
      <c r="C97" s="735" t="s">
        <v>31</v>
      </c>
      <c r="D97" s="732"/>
      <c r="E97" s="733"/>
      <c r="F97" s="734"/>
    </row>
    <row r="98" spans="1:6" s="742" customFormat="1" ht="6.6">
      <c r="A98" s="737"/>
      <c r="B98" s="738"/>
      <c r="C98" s="739"/>
      <c r="D98" s="740"/>
      <c r="E98" s="741"/>
      <c r="F98" s="744"/>
    </row>
    <row r="99" spans="1:6" s="728" customFormat="1">
      <c r="A99" s="743"/>
      <c r="B99" s="730" t="s">
        <v>1740</v>
      </c>
      <c r="C99" s="735" t="s">
        <v>31</v>
      </c>
      <c r="D99" s="732"/>
      <c r="E99" s="733"/>
      <c r="F99" s="734"/>
    </row>
    <row r="100" spans="1:6" s="742" customFormat="1" ht="6.6">
      <c r="A100" s="737"/>
      <c r="B100" s="738"/>
      <c r="C100" s="739"/>
      <c r="D100" s="740"/>
      <c r="E100" s="741"/>
      <c r="F100" s="744"/>
    </row>
    <row r="101" spans="1:6" s="728" customFormat="1">
      <c r="A101" s="743"/>
      <c r="B101" s="730" t="s">
        <v>1741</v>
      </c>
      <c r="C101" s="735" t="s">
        <v>31</v>
      </c>
      <c r="D101" s="732"/>
      <c r="E101" s="733"/>
      <c r="F101" s="734"/>
    </row>
    <row r="102" spans="1:6" s="742" customFormat="1" ht="6.6">
      <c r="A102" s="737"/>
      <c r="B102" s="738"/>
      <c r="C102" s="739"/>
      <c r="D102" s="740"/>
      <c r="E102" s="741"/>
      <c r="F102" s="744"/>
    </row>
    <row r="103" spans="1:6" s="728" customFormat="1">
      <c r="A103" s="743"/>
      <c r="B103" s="730" t="s">
        <v>1742</v>
      </c>
      <c r="C103" s="735" t="s">
        <v>31</v>
      </c>
      <c r="D103" s="732"/>
      <c r="E103" s="733"/>
      <c r="F103" s="734"/>
    </row>
    <row r="104" spans="1:6" s="745" customFormat="1" ht="8.25" customHeight="1">
      <c r="A104" s="737"/>
      <c r="B104" s="738"/>
      <c r="C104" s="739"/>
      <c r="D104" s="740"/>
      <c r="E104" s="741"/>
      <c r="F104" s="734"/>
    </row>
    <row r="105" spans="1:6" s="728" customFormat="1" ht="26.4">
      <c r="A105" s="743"/>
      <c r="B105" s="730" t="s">
        <v>1729</v>
      </c>
      <c r="C105" s="735" t="s">
        <v>31</v>
      </c>
      <c r="D105" s="732"/>
      <c r="E105" s="733"/>
      <c r="F105" s="734"/>
    </row>
    <row r="106" spans="1:6" s="742" customFormat="1" ht="6.6">
      <c r="A106" s="737"/>
      <c r="B106" s="738"/>
      <c r="C106" s="739"/>
      <c r="D106" s="740"/>
      <c r="E106" s="741"/>
      <c r="F106" s="744"/>
    </row>
    <row r="107" spans="1:6" s="728" customFormat="1">
      <c r="A107" s="743"/>
      <c r="B107" s="730" t="s">
        <v>1730</v>
      </c>
      <c r="C107" s="735" t="s">
        <v>31</v>
      </c>
      <c r="D107" s="732"/>
      <c r="E107" s="733"/>
      <c r="F107" s="734"/>
    </row>
    <row r="108" spans="1:6" s="742" customFormat="1" ht="6.6">
      <c r="A108" s="737"/>
      <c r="B108" s="738"/>
      <c r="C108" s="739"/>
      <c r="D108" s="740"/>
      <c r="E108" s="741"/>
      <c r="F108" s="744"/>
    </row>
    <row r="109" spans="1:6" s="728" customFormat="1" ht="39.6">
      <c r="A109" s="743"/>
      <c r="B109" s="730" t="s">
        <v>1731</v>
      </c>
      <c r="C109" s="735" t="s">
        <v>213</v>
      </c>
      <c r="D109" s="732"/>
      <c r="E109" s="733"/>
      <c r="F109" s="734"/>
    </row>
    <row r="110" spans="1:6" s="742" customFormat="1" ht="6.6">
      <c r="A110" s="737"/>
      <c r="B110" s="738"/>
      <c r="C110" s="739"/>
      <c r="D110" s="740"/>
      <c r="E110" s="741"/>
      <c r="F110" s="744"/>
    </row>
    <row r="111" spans="1:6" s="728" customFormat="1" ht="92.4">
      <c r="A111" s="743"/>
      <c r="B111" s="730" t="s">
        <v>1732</v>
      </c>
      <c r="C111" s="735" t="s">
        <v>213</v>
      </c>
      <c r="D111" s="732"/>
      <c r="E111" s="733"/>
      <c r="F111" s="734"/>
    </row>
    <row r="112" spans="1:6" s="742" customFormat="1" ht="6.6">
      <c r="A112" s="737"/>
      <c r="B112" s="738"/>
      <c r="C112" s="739"/>
      <c r="D112" s="740"/>
      <c r="E112" s="741"/>
      <c r="F112" s="744"/>
    </row>
    <row r="113" spans="1:6" s="728" customFormat="1" ht="52.8">
      <c r="A113" s="743"/>
      <c r="B113" s="730" t="s">
        <v>1733</v>
      </c>
      <c r="C113" s="735" t="s">
        <v>213</v>
      </c>
      <c r="D113" s="732"/>
      <c r="E113" s="733"/>
      <c r="F113" s="734"/>
    </row>
    <row r="114" spans="1:6" s="742" customFormat="1" ht="6.6">
      <c r="A114" s="737"/>
      <c r="B114" s="738"/>
      <c r="C114" s="739"/>
      <c r="D114" s="740"/>
      <c r="E114" s="741"/>
      <c r="F114" s="744"/>
    </row>
    <row r="115" spans="1:6" s="742" customFormat="1" ht="6.6">
      <c r="A115" s="758"/>
      <c r="B115" s="759"/>
      <c r="C115" s="760"/>
      <c r="D115" s="761"/>
      <c r="E115" s="741"/>
      <c r="F115" s="744"/>
    </row>
    <row r="116" spans="1:6" s="728" customFormat="1">
      <c r="A116" s="762"/>
      <c r="B116" s="730"/>
      <c r="C116" s="735" t="s">
        <v>213</v>
      </c>
      <c r="D116" s="732">
        <v>1</v>
      </c>
      <c r="E116" s="733">
        <v>5700</v>
      </c>
      <c r="F116" s="734">
        <f>D116*E116</f>
        <v>5700</v>
      </c>
    </row>
    <row r="117" spans="1:6" s="728" customFormat="1">
      <c r="A117" s="763"/>
      <c r="B117" s="764"/>
      <c r="C117" s="765"/>
      <c r="D117" s="766"/>
      <c r="E117" s="733"/>
      <c r="F117" s="767"/>
    </row>
    <row r="118" spans="1:6" s="728" customFormat="1" ht="39.6">
      <c r="A118" s="763">
        <v>7</v>
      </c>
      <c r="B118" s="764" t="s">
        <v>1743</v>
      </c>
      <c r="C118" s="768"/>
      <c r="D118" s="766"/>
      <c r="E118" s="733"/>
      <c r="F118" s="767"/>
    </row>
    <row r="119" spans="1:6" s="745" customFormat="1" ht="8.25" customHeight="1">
      <c r="A119" s="769"/>
      <c r="B119" s="770"/>
      <c r="C119" s="771"/>
      <c r="D119" s="772"/>
      <c r="E119" s="773"/>
      <c r="F119" s="774"/>
    </row>
    <row r="120" spans="1:6" s="728" customFormat="1" ht="26.4">
      <c r="A120" s="775"/>
      <c r="B120" s="764" t="s">
        <v>1744</v>
      </c>
      <c r="C120" s="768" t="s">
        <v>31</v>
      </c>
      <c r="D120" s="766">
        <v>1</v>
      </c>
      <c r="E120" s="733"/>
      <c r="F120" s="767"/>
    </row>
    <row r="121" spans="1:6" s="745" customFormat="1" ht="8.25" customHeight="1">
      <c r="A121" s="769"/>
      <c r="B121" s="770"/>
      <c r="C121" s="771"/>
      <c r="D121" s="772"/>
      <c r="E121" s="773"/>
      <c r="F121" s="774"/>
    </row>
    <row r="122" spans="1:6" s="728" customFormat="1">
      <c r="A122" s="775"/>
      <c r="B122" s="764" t="s">
        <v>1745</v>
      </c>
      <c r="C122" s="768" t="s">
        <v>31</v>
      </c>
      <c r="D122" s="766">
        <v>1</v>
      </c>
      <c r="E122" s="733"/>
      <c r="F122" s="767"/>
    </row>
    <row r="123" spans="1:6" s="745" customFormat="1" ht="8.25" customHeight="1">
      <c r="A123" s="769"/>
      <c r="B123" s="770"/>
      <c r="C123" s="771"/>
      <c r="D123" s="772"/>
      <c r="E123" s="773"/>
      <c r="F123" s="774"/>
    </row>
    <row r="124" spans="1:6" s="728" customFormat="1">
      <c r="A124" s="775"/>
      <c r="B124" s="764" t="s">
        <v>1746</v>
      </c>
      <c r="C124" s="768" t="s">
        <v>213</v>
      </c>
      <c r="D124" s="766">
        <v>1</v>
      </c>
      <c r="E124" s="733"/>
      <c r="F124" s="767"/>
    </row>
    <row r="125" spans="1:6" s="742" customFormat="1" ht="8.25" customHeight="1">
      <c r="A125" s="769"/>
      <c r="B125" s="770"/>
      <c r="C125" s="771"/>
      <c r="D125" s="772"/>
      <c r="E125" s="741"/>
      <c r="F125" s="776"/>
    </row>
    <row r="126" spans="1:6" s="752" customFormat="1" ht="8.25" customHeight="1">
      <c r="A126" s="777"/>
      <c r="B126" s="778"/>
      <c r="C126" s="779"/>
      <c r="D126" s="780"/>
      <c r="E126" s="751"/>
      <c r="F126" s="781"/>
    </row>
    <row r="127" spans="1:6" s="728" customFormat="1">
      <c r="A127" s="775"/>
      <c r="B127" s="764"/>
      <c r="C127" s="768" t="s">
        <v>213</v>
      </c>
      <c r="D127" s="766">
        <v>1</v>
      </c>
      <c r="E127" s="733">
        <v>350</v>
      </c>
      <c r="F127" s="767">
        <f>E127*D127</f>
        <v>350</v>
      </c>
    </row>
    <row r="128" spans="1:6" s="728" customFormat="1">
      <c r="A128" s="763"/>
      <c r="B128" s="764"/>
      <c r="C128" s="765"/>
      <c r="D128" s="766"/>
      <c r="E128" s="767"/>
      <c r="F128" s="767"/>
    </row>
    <row r="129" spans="1:6" s="728" customFormat="1" ht="92.4">
      <c r="A129" s="775"/>
      <c r="B129" s="764" t="s">
        <v>1747</v>
      </c>
      <c r="C129" s="765"/>
      <c r="D129" s="766"/>
      <c r="E129" s="767"/>
      <c r="F129" s="767"/>
    </row>
    <row r="130" spans="1:6" s="728" customFormat="1">
      <c r="A130" s="763"/>
      <c r="B130" s="764"/>
      <c r="C130" s="765"/>
      <c r="D130" s="766"/>
      <c r="E130" s="767"/>
      <c r="F130" s="767"/>
    </row>
    <row r="131" spans="1:6" s="728" customFormat="1">
      <c r="A131" s="763">
        <v>8</v>
      </c>
      <c r="B131" s="764" t="s">
        <v>1748</v>
      </c>
      <c r="C131" s="765" t="s">
        <v>214</v>
      </c>
      <c r="D131" s="766">
        <v>18</v>
      </c>
      <c r="E131" s="767">
        <v>83.2</v>
      </c>
      <c r="F131" s="767">
        <f>E131*D131</f>
        <v>1497.6000000000001</v>
      </c>
    </row>
    <row r="132" spans="1:6" s="728" customFormat="1">
      <c r="A132" s="763"/>
      <c r="B132" s="764"/>
      <c r="C132" s="765"/>
      <c r="D132" s="766"/>
      <c r="E132" s="767"/>
      <c r="F132" s="767"/>
    </row>
    <row r="133" spans="1:6" s="728" customFormat="1">
      <c r="A133" s="763">
        <v>9</v>
      </c>
      <c r="B133" s="764" t="s">
        <v>1749</v>
      </c>
      <c r="C133" s="765" t="s">
        <v>214</v>
      </c>
      <c r="D133" s="766">
        <v>89</v>
      </c>
      <c r="E133" s="767">
        <v>37.85</v>
      </c>
      <c r="F133" s="767">
        <f t="shared" ref="F133:F135" si="0">E133*D133</f>
        <v>3368.65</v>
      </c>
    </row>
    <row r="134" spans="1:6" s="728" customFormat="1">
      <c r="A134" s="763"/>
      <c r="B134" s="764"/>
      <c r="C134" s="765"/>
      <c r="D134" s="766"/>
      <c r="E134" s="767"/>
      <c r="F134" s="767"/>
    </row>
    <row r="135" spans="1:6" s="728" customFormat="1">
      <c r="A135" s="763">
        <v>10</v>
      </c>
      <c r="B135" s="764" t="s">
        <v>1750</v>
      </c>
      <c r="C135" s="765" t="s">
        <v>214</v>
      </c>
      <c r="D135" s="766">
        <v>30</v>
      </c>
      <c r="E135" s="767">
        <v>28.7</v>
      </c>
      <c r="F135" s="767">
        <f t="shared" si="0"/>
        <v>861</v>
      </c>
    </row>
    <row r="136" spans="1:6" s="728" customFormat="1">
      <c r="A136" s="763"/>
      <c r="B136" s="764"/>
      <c r="C136" s="765"/>
      <c r="D136" s="766"/>
      <c r="E136" s="782"/>
      <c r="F136" s="767"/>
    </row>
    <row r="137" spans="1:6" s="728" customFormat="1" ht="60.75" customHeight="1">
      <c r="A137" s="743"/>
      <c r="B137" s="730" t="s">
        <v>1751</v>
      </c>
      <c r="C137" s="735"/>
      <c r="D137" s="732"/>
      <c r="E137" s="733"/>
      <c r="F137" s="734"/>
    </row>
    <row r="138" spans="1:6" s="728" customFormat="1">
      <c r="A138" s="729"/>
      <c r="B138" s="730"/>
      <c r="C138" s="735"/>
      <c r="D138" s="732"/>
      <c r="E138" s="733"/>
      <c r="F138" s="734"/>
    </row>
    <row r="139" spans="1:6" s="728" customFormat="1" ht="26.4">
      <c r="A139" s="729">
        <v>11</v>
      </c>
      <c r="B139" s="730" t="s">
        <v>1752</v>
      </c>
      <c r="C139" s="735" t="s">
        <v>31</v>
      </c>
      <c r="D139" s="732">
        <v>28</v>
      </c>
      <c r="E139" s="733">
        <v>9.5</v>
      </c>
      <c r="F139" s="734">
        <f t="shared" ref="F139:F153" si="1">E139*D139</f>
        <v>266</v>
      </c>
    </row>
    <row r="140" spans="1:6" s="728" customFormat="1">
      <c r="A140" s="729"/>
      <c r="B140" s="730"/>
      <c r="C140" s="735"/>
      <c r="D140" s="732"/>
      <c r="E140" s="733"/>
      <c r="F140" s="734"/>
    </row>
    <row r="141" spans="1:6" s="728" customFormat="1" ht="26.4">
      <c r="A141" s="729">
        <v>12</v>
      </c>
      <c r="B141" s="730" t="s">
        <v>1753</v>
      </c>
      <c r="C141" s="735" t="s">
        <v>31</v>
      </c>
      <c r="D141" s="732">
        <v>42</v>
      </c>
      <c r="E141" s="733">
        <v>11</v>
      </c>
      <c r="F141" s="734">
        <f t="shared" si="1"/>
        <v>462</v>
      </c>
    </row>
    <row r="142" spans="1:6" s="728" customFormat="1">
      <c r="A142" s="729"/>
      <c r="B142" s="730"/>
      <c r="C142" s="735"/>
      <c r="D142" s="732"/>
      <c r="E142" s="733"/>
      <c r="F142" s="734"/>
    </row>
    <row r="143" spans="1:6" s="728" customFormat="1" ht="26.4">
      <c r="A143" s="729">
        <v>13</v>
      </c>
      <c r="B143" s="730" t="s">
        <v>1754</v>
      </c>
      <c r="C143" s="735" t="s">
        <v>31</v>
      </c>
      <c r="D143" s="732">
        <v>8</v>
      </c>
      <c r="E143" s="733">
        <v>15.5</v>
      </c>
      <c r="F143" s="734">
        <f t="shared" si="1"/>
        <v>124</v>
      </c>
    </row>
    <row r="144" spans="1:6" s="728" customFormat="1">
      <c r="A144" s="729"/>
      <c r="B144" s="730"/>
      <c r="C144" s="735"/>
      <c r="D144" s="732"/>
      <c r="E144" s="733"/>
      <c r="F144" s="734"/>
    </row>
    <row r="145" spans="1:6" s="728" customFormat="1" ht="26.4">
      <c r="A145" s="729">
        <v>14</v>
      </c>
      <c r="B145" s="730" t="s">
        <v>1755</v>
      </c>
      <c r="C145" s="735" t="s">
        <v>31</v>
      </c>
      <c r="D145" s="732">
        <v>89</v>
      </c>
      <c r="E145" s="733">
        <v>12.3</v>
      </c>
      <c r="F145" s="734">
        <f t="shared" si="1"/>
        <v>1094.7</v>
      </c>
    </row>
    <row r="146" spans="1:6" s="728" customFormat="1">
      <c r="A146" s="729"/>
      <c r="B146" s="730"/>
      <c r="C146" s="735"/>
      <c r="D146" s="732"/>
      <c r="E146" s="733"/>
      <c r="F146" s="734"/>
    </row>
    <row r="147" spans="1:6" s="728" customFormat="1" ht="26.4">
      <c r="A147" s="729">
        <v>15</v>
      </c>
      <c r="B147" s="730" t="s">
        <v>1756</v>
      </c>
      <c r="C147" s="735" t="s">
        <v>31</v>
      </c>
      <c r="D147" s="732">
        <v>25</v>
      </c>
      <c r="E147" s="733">
        <v>14</v>
      </c>
      <c r="F147" s="734">
        <f>E147*D147</f>
        <v>350</v>
      </c>
    </row>
    <row r="148" spans="1:6" s="728" customFormat="1">
      <c r="A148" s="729"/>
      <c r="B148" s="730"/>
      <c r="C148" s="735"/>
      <c r="D148" s="732"/>
      <c r="E148" s="733"/>
      <c r="F148" s="734"/>
    </row>
    <row r="149" spans="1:6" s="728" customFormat="1" ht="26.4">
      <c r="A149" s="729">
        <v>16</v>
      </c>
      <c r="B149" s="730" t="s">
        <v>1757</v>
      </c>
      <c r="C149" s="735" t="s">
        <v>31</v>
      </c>
      <c r="D149" s="732">
        <v>55</v>
      </c>
      <c r="E149" s="733">
        <v>24</v>
      </c>
      <c r="F149" s="734">
        <f t="shared" si="1"/>
        <v>1320</v>
      </c>
    </row>
    <row r="150" spans="1:6" s="728" customFormat="1">
      <c r="A150" s="729"/>
      <c r="B150" s="730"/>
      <c r="C150" s="735"/>
      <c r="D150" s="732"/>
      <c r="E150" s="733"/>
      <c r="F150" s="734"/>
    </row>
    <row r="151" spans="1:6" s="728" customFormat="1" ht="26.4">
      <c r="A151" s="729">
        <v>17</v>
      </c>
      <c r="B151" s="730" t="s">
        <v>1758</v>
      </c>
      <c r="C151" s="735" t="s">
        <v>31</v>
      </c>
      <c r="D151" s="732">
        <v>17</v>
      </c>
      <c r="E151" s="733">
        <v>17</v>
      </c>
      <c r="F151" s="734">
        <f>E151*D151</f>
        <v>289</v>
      </c>
    </row>
    <row r="152" spans="1:6" s="728" customFormat="1">
      <c r="A152" s="729"/>
      <c r="B152" s="730"/>
      <c r="C152" s="735"/>
      <c r="D152" s="732"/>
      <c r="E152" s="733"/>
      <c r="F152" s="734"/>
    </row>
    <row r="153" spans="1:6" s="728" customFormat="1" ht="26.4">
      <c r="A153" s="729">
        <v>18</v>
      </c>
      <c r="B153" s="730" t="s">
        <v>1759</v>
      </c>
      <c r="C153" s="735" t="s">
        <v>31</v>
      </c>
      <c r="D153" s="732">
        <v>16</v>
      </c>
      <c r="E153" s="733">
        <v>31</v>
      </c>
      <c r="F153" s="734">
        <f t="shared" si="1"/>
        <v>496</v>
      </c>
    </row>
    <row r="154" spans="1:6" s="728" customFormat="1">
      <c r="A154" s="729"/>
      <c r="B154" s="730"/>
      <c r="C154" s="735"/>
      <c r="D154" s="732"/>
      <c r="E154" s="733"/>
      <c r="F154" s="734"/>
    </row>
    <row r="155" spans="1:6" s="728" customFormat="1" ht="26.4">
      <c r="A155" s="729">
        <v>19</v>
      </c>
      <c r="B155" s="730" t="s">
        <v>1760</v>
      </c>
      <c r="C155" s="735" t="s">
        <v>31</v>
      </c>
      <c r="D155" s="732">
        <v>8</v>
      </c>
      <c r="E155" s="733">
        <v>15.2</v>
      </c>
      <c r="F155" s="734">
        <f>E155*D155</f>
        <v>121.6</v>
      </c>
    </row>
    <row r="156" spans="1:6" s="728" customFormat="1">
      <c r="A156" s="763"/>
      <c r="B156" s="764"/>
      <c r="C156" s="768"/>
      <c r="D156" s="766"/>
      <c r="E156" s="782"/>
      <c r="F156" s="767"/>
    </row>
    <row r="157" spans="1:6" s="728" customFormat="1" ht="39.6">
      <c r="A157" s="729">
        <v>20</v>
      </c>
      <c r="B157" s="730" t="s">
        <v>1761</v>
      </c>
      <c r="C157" s="735" t="s">
        <v>213</v>
      </c>
      <c r="D157" s="732">
        <v>30</v>
      </c>
      <c r="E157" s="733">
        <v>25</v>
      </c>
      <c r="F157" s="734">
        <f t="shared" ref="F157:F171" si="2">D157*E157</f>
        <v>750</v>
      </c>
    </row>
    <row r="158" spans="1:6" s="728" customFormat="1">
      <c r="A158" s="763"/>
      <c r="B158" s="764"/>
      <c r="C158" s="768"/>
      <c r="D158" s="766"/>
      <c r="E158" s="782"/>
      <c r="F158" s="767"/>
    </row>
    <row r="159" spans="1:6" s="728" customFormat="1" ht="52.8">
      <c r="A159" s="729">
        <v>21</v>
      </c>
      <c r="B159" s="730" t="s">
        <v>2343</v>
      </c>
      <c r="C159" s="735"/>
      <c r="D159" s="732"/>
      <c r="E159" s="733"/>
      <c r="F159" s="734"/>
    </row>
    <row r="160" spans="1:6" s="728" customFormat="1">
      <c r="A160" s="729"/>
      <c r="B160" s="730" t="s">
        <v>2341</v>
      </c>
      <c r="C160" s="735" t="s">
        <v>213</v>
      </c>
      <c r="D160" s="732">
        <v>2</v>
      </c>
      <c r="E160" s="733">
        <v>210</v>
      </c>
      <c r="F160" s="734">
        <f>D160*E160</f>
        <v>420</v>
      </c>
    </row>
    <row r="161" spans="1:6" s="728" customFormat="1">
      <c r="A161" s="729"/>
      <c r="B161" s="730" t="s">
        <v>2342</v>
      </c>
      <c r="C161" s="735" t="s">
        <v>213</v>
      </c>
      <c r="D161" s="732">
        <v>1</v>
      </c>
      <c r="E161" s="733">
        <v>210</v>
      </c>
      <c r="F161" s="734">
        <f>D161*E161</f>
        <v>210</v>
      </c>
    </row>
    <row r="162" spans="1:6" s="728" customFormat="1">
      <c r="A162" s="729"/>
      <c r="B162" s="730"/>
      <c r="C162" s="735"/>
      <c r="D162" s="732"/>
      <c r="E162" s="733"/>
      <c r="F162" s="734"/>
    </row>
    <row r="163" spans="1:6" s="728" customFormat="1" ht="39.6">
      <c r="A163" s="729">
        <v>22</v>
      </c>
      <c r="B163" s="730" t="s">
        <v>1762</v>
      </c>
      <c r="C163" s="735" t="s">
        <v>31</v>
      </c>
      <c r="D163" s="732">
        <v>8</v>
      </c>
      <c r="E163" s="733">
        <v>23</v>
      </c>
      <c r="F163" s="734">
        <f t="shared" si="2"/>
        <v>184</v>
      </c>
    </row>
    <row r="164" spans="1:6" s="728" customFormat="1">
      <c r="A164" s="729"/>
      <c r="B164" s="730"/>
      <c r="C164" s="735"/>
      <c r="D164" s="732"/>
      <c r="E164" s="733"/>
      <c r="F164" s="734"/>
    </row>
    <row r="165" spans="1:6" s="728" customFormat="1" ht="26.4">
      <c r="A165" s="729">
        <v>23</v>
      </c>
      <c r="B165" s="730" t="s">
        <v>1763</v>
      </c>
      <c r="C165" s="735" t="s">
        <v>31</v>
      </c>
      <c r="D165" s="732">
        <v>2</v>
      </c>
      <c r="E165" s="733">
        <v>30</v>
      </c>
      <c r="F165" s="734">
        <f>D165*E165</f>
        <v>60</v>
      </c>
    </row>
    <row r="166" spans="1:6" s="728" customFormat="1">
      <c r="A166" s="729"/>
      <c r="B166" s="730"/>
      <c r="C166" s="735"/>
      <c r="D166" s="732"/>
      <c r="E166" s="733"/>
      <c r="F166" s="734"/>
    </row>
    <row r="167" spans="1:6" s="728" customFormat="1" ht="26.4">
      <c r="A167" s="729">
        <v>24</v>
      </c>
      <c r="B167" s="730" t="s">
        <v>1764</v>
      </c>
      <c r="C167" s="735" t="s">
        <v>31</v>
      </c>
      <c r="D167" s="732">
        <v>18</v>
      </c>
      <c r="E167" s="733">
        <v>20</v>
      </c>
      <c r="F167" s="734">
        <f t="shared" si="2"/>
        <v>360</v>
      </c>
    </row>
    <row r="168" spans="1:6" s="728" customFormat="1">
      <c r="A168" s="729"/>
      <c r="B168" s="730"/>
      <c r="C168" s="735"/>
      <c r="D168" s="732"/>
      <c r="E168" s="733"/>
      <c r="F168" s="734"/>
    </row>
    <row r="169" spans="1:6" s="728" customFormat="1" ht="26.4">
      <c r="A169" s="729">
        <v>25</v>
      </c>
      <c r="B169" s="730" t="s">
        <v>1765</v>
      </c>
      <c r="C169" s="735" t="s">
        <v>31</v>
      </c>
      <c r="D169" s="732">
        <v>1</v>
      </c>
      <c r="E169" s="733">
        <v>31</v>
      </c>
      <c r="F169" s="734">
        <f t="shared" si="2"/>
        <v>31</v>
      </c>
    </row>
    <row r="170" spans="1:6" s="728" customFormat="1">
      <c r="A170" s="729"/>
      <c r="B170" s="730"/>
      <c r="C170" s="735"/>
      <c r="D170" s="732"/>
      <c r="E170" s="733"/>
      <c r="F170" s="734"/>
    </row>
    <row r="171" spans="1:6" s="728" customFormat="1" ht="26.4">
      <c r="A171" s="729">
        <v>26</v>
      </c>
      <c r="B171" s="730" t="s">
        <v>1766</v>
      </c>
      <c r="C171" s="735" t="s">
        <v>31</v>
      </c>
      <c r="D171" s="732">
        <v>1</v>
      </c>
      <c r="E171" s="733">
        <v>18</v>
      </c>
      <c r="F171" s="734">
        <f t="shared" si="2"/>
        <v>18</v>
      </c>
    </row>
    <row r="172" spans="1:6" s="728" customFormat="1">
      <c r="A172" s="729"/>
      <c r="B172" s="730"/>
      <c r="C172" s="735"/>
      <c r="D172" s="732"/>
      <c r="E172" s="733"/>
      <c r="F172" s="734"/>
    </row>
    <row r="173" spans="1:6" s="728" customFormat="1" ht="26.4">
      <c r="A173" s="729">
        <v>27</v>
      </c>
      <c r="B173" s="730" t="s">
        <v>1767</v>
      </c>
      <c r="C173" s="735" t="s">
        <v>31</v>
      </c>
      <c r="D173" s="732">
        <v>6</v>
      </c>
      <c r="E173" s="733">
        <v>30</v>
      </c>
      <c r="F173" s="734">
        <f>D173*E173</f>
        <v>180</v>
      </c>
    </row>
    <row r="174" spans="1:6" s="728" customFormat="1">
      <c r="A174" s="729"/>
      <c r="B174" s="730"/>
      <c r="C174" s="735"/>
      <c r="D174" s="732"/>
      <c r="E174" s="733"/>
      <c r="F174" s="734"/>
    </row>
    <row r="175" spans="1:6" s="728" customFormat="1" ht="26.4">
      <c r="A175" s="729">
        <v>28</v>
      </c>
      <c r="B175" s="730" t="s">
        <v>1768</v>
      </c>
      <c r="C175" s="735" t="s">
        <v>31</v>
      </c>
      <c r="D175" s="732">
        <v>35</v>
      </c>
      <c r="E175" s="733">
        <v>62</v>
      </c>
      <c r="F175" s="734">
        <f>D175*E175</f>
        <v>2170</v>
      </c>
    </row>
    <row r="176" spans="1:6" s="728" customFormat="1">
      <c r="A176" s="729"/>
      <c r="B176" s="730"/>
      <c r="C176" s="735"/>
      <c r="D176" s="732"/>
      <c r="E176" s="733"/>
      <c r="F176" s="734"/>
    </row>
    <row r="177" spans="1:6" s="728" customFormat="1" ht="26.4">
      <c r="A177" s="729">
        <v>29</v>
      </c>
      <c r="B177" s="730" t="s">
        <v>1769</v>
      </c>
      <c r="C177" s="735" t="s">
        <v>31</v>
      </c>
      <c r="D177" s="732">
        <v>12</v>
      </c>
      <c r="E177" s="733">
        <v>120</v>
      </c>
      <c r="F177" s="734">
        <f>D177*E177</f>
        <v>1440</v>
      </c>
    </row>
    <row r="178" spans="1:6" s="728" customFormat="1">
      <c r="A178" s="729"/>
      <c r="B178" s="730"/>
      <c r="C178" s="735"/>
      <c r="D178" s="732"/>
      <c r="E178" s="733"/>
      <c r="F178" s="734"/>
    </row>
    <row r="179" spans="1:6" s="728" customFormat="1" ht="26.4">
      <c r="A179" s="729">
        <v>30</v>
      </c>
      <c r="B179" s="730" t="s">
        <v>1770</v>
      </c>
      <c r="C179" s="735" t="s">
        <v>31</v>
      </c>
      <c r="D179" s="732">
        <v>4</v>
      </c>
      <c r="E179" s="733">
        <v>23</v>
      </c>
      <c r="F179" s="734">
        <f>D179*E179</f>
        <v>92</v>
      </c>
    </row>
    <row r="180" spans="1:6" s="728" customFormat="1">
      <c r="A180" s="729"/>
      <c r="B180" s="730"/>
      <c r="C180" s="735"/>
      <c r="D180" s="732"/>
      <c r="E180" s="733"/>
      <c r="F180" s="734"/>
    </row>
    <row r="181" spans="1:6" s="728" customFormat="1" ht="26.4">
      <c r="A181" s="729">
        <v>31</v>
      </c>
      <c r="B181" s="730" t="s">
        <v>1771</v>
      </c>
      <c r="C181" s="735" t="s">
        <v>31</v>
      </c>
      <c r="D181" s="732">
        <v>1</v>
      </c>
      <c r="E181" s="733">
        <v>15</v>
      </c>
      <c r="F181" s="734">
        <f>E181*D181</f>
        <v>15</v>
      </c>
    </row>
    <row r="182" spans="1:6" s="728" customFormat="1">
      <c r="A182" s="729"/>
      <c r="B182" s="730"/>
      <c r="C182" s="731"/>
      <c r="D182" s="732"/>
      <c r="E182" s="733"/>
      <c r="F182" s="734"/>
    </row>
    <row r="183" spans="1:6" ht="26.4">
      <c r="A183" s="729">
        <v>32</v>
      </c>
      <c r="B183" s="730" t="s">
        <v>1772</v>
      </c>
      <c r="C183" s="731" t="s">
        <v>31</v>
      </c>
      <c r="D183" s="732">
        <v>10</v>
      </c>
      <c r="E183" s="733">
        <v>15</v>
      </c>
      <c r="F183" s="734">
        <f>E183*D183</f>
        <v>150</v>
      </c>
    </row>
    <row r="184" spans="1:6" s="728" customFormat="1">
      <c r="A184" s="729"/>
      <c r="B184" s="730"/>
      <c r="C184" s="731"/>
      <c r="D184" s="732"/>
      <c r="E184" s="733"/>
      <c r="F184" s="734"/>
    </row>
    <row r="185" spans="1:6" ht="26.4">
      <c r="A185" s="729">
        <v>33</v>
      </c>
      <c r="B185" s="730" t="s">
        <v>1773</v>
      </c>
      <c r="C185" s="731" t="s">
        <v>31</v>
      </c>
      <c r="D185" s="732">
        <v>10</v>
      </c>
      <c r="E185" s="733">
        <v>10</v>
      </c>
      <c r="F185" s="734">
        <f>E185*D185</f>
        <v>100</v>
      </c>
    </row>
    <row r="186" spans="1:6" s="728" customFormat="1">
      <c r="A186" s="729"/>
      <c r="B186" s="730"/>
      <c r="C186" s="731"/>
      <c r="D186" s="732"/>
      <c r="E186" s="733"/>
      <c r="F186" s="734"/>
    </row>
    <row r="187" spans="1:6" s="728" customFormat="1" ht="39.6">
      <c r="A187" s="729">
        <v>34</v>
      </c>
      <c r="B187" s="730" t="s">
        <v>1774</v>
      </c>
      <c r="C187" s="731" t="s">
        <v>31</v>
      </c>
      <c r="D187" s="732">
        <v>15</v>
      </c>
      <c r="E187" s="733">
        <v>20</v>
      </c>
      <c r="F187" s="734">
        <f>E187*D187</f>
        <v>300</v>
      </c>
    </row>
    <row r="188" spans="1:6" s="728" customFormat="1">
      <c r="A188" s="729"/>
      <c r="B188" s="730"/>
      <c r="C188" s="731"/>
      <c r="D188" s="732"/>
      <c r="E188" s="733"/>
      <c r="F188" s="734"/>
    </row>
    <row r="189" spans="1:6" s="728" customFormat="1" ht="52.8">
      <c r="A189" s="729">
        <v>35</v>
      </c>
      <c r="B189" s="730" t="s">
        <v>1775</v>
      </c>
      <c r="C189" s="731" t="s">
        <v>31</v>
      </c>
      <c r="D189" s="732">
        <v>60</v>
      </c>
      <c r="E189" s="733">
        <v>8</v>
      </c>
      <c r="F189" s="734">
        <f>E189*D189</f>
        <v>480</v>
      </c>
    </row>
    <row r="190" spans="1:6" s="728" customFormat="1">
      <c r="A190" s="729"/>
      <c r="B190" s="730"/>
      <c r="C190" s="731"/>
      <c r="D190" s="732"/>
      <c r="E190" s="733"/>
      <c r="F190" s="734"/>
    </row>
    <row r="191" spans="1:6" s="728" customFormat="1" ht="52.8">
      <c r="A191" s="729">
        <v>36</v>
      </c>
      <c r="B191" s="730" t="s">
        <v>1776</v>
      </c>
      <c r="C191" s="731" t="s">
        <v>31</v>
      </c>
      <c r="D191" s="732">
        <v>5</v>
      </c>
      <c r="E191" s="733">
        <v>50</v>
      </c>
      <c r="F191" s="734">
        <f>E191*D191</f>
        <v>250</v>
      </c>
    </row>
    <row r="192" spans="1:6" s="728" customFormat="1">
      <c r="A192" s="729"/>
      <c r="B192" s="730"/>
      <c r="C192" s="731"/>
      <c r="D192" s="732"/>
      <c r="E192" s="733"/>
      <c r="F192" s="734"/>
    </row>
    <row r="193" spans="1:6" s="728" customFormat="1" ht="39.6">
      <c r="A193" s="729">
        <v>37</v>
      </c>
      <c r="B193" s="730" t="s">
        <v>1777</v>
      </c>
      <c r="C193" s="731" t="s">
        <v>31</v>
      </c>
      <c r="D193" s="732">
        <v>10</v>
      </c>
      <c r="E193" s="733">
        <v>250</v>
      </c>
      <c r="F193" s="734">
        <f>E193*D193</f>
        <v>2500</v>
      </c>
    </row>
    <row r="194" spans="1:6">
      <c r="C194" s="735"/>
      <c r="E194" s="733"/>
    </row>
    <row r="195" spans="1:6" s="728" customFormat="1" ht="66">
      <c r="A195" s="743"/>
      <c r="B195" s="730" t="s">
        <v>1778</v>
      </c>
      <c r="C195" s="731"/>
      <c r="D195" s="732"/>
      <c r="E195" s="733"/>
      <c r="F195" s="734"/>
    </row>
    <row r="196" spans="1:6" s="728" customFormat="1">
      <c r="A196" s="729"/>
      <c r="B196" s="730"/>
      <c r="C196" s="731"/>
      <c r="D196" s="732"/>
      <c r="E196" s="733"/>
      <c r="F196" s="734"/>
    </row>
    <row r="197" spans="1:6" s="728" customFormat="1">
      <c r="A197" s="729">
        <v>38</v>
      </c>
      <c r="B197" s="730" t="s">
        <v>1779</v>
      </c>
      <c r="C197" s="731" t="s">
        <v>214</v>
      </c>
      <c r="D197" s="732">
        <v>75</v>
      </c>
      <c r="E197" s="733">
        <v>6.45</v>
      </c>
      <c r="F197" s="734">
        <f>E197*D197</f>
        <v>483.75</v>
      </c>
    </row>
    <row r="198" spans="1:6" s="728" customFormat="1">
      <c r="A198" s="729"/>
      <c r="B198" s="730"/>
      <c r="C198" s="731"/>
      <c r="D198" s="732"/>
      <c r="E198" s="733"/>
      <c r="F198" s="734"/>
    </row>
    <row r="199" spans="1:6" s="728" customFormat="1">
      <c r="A199" s="729">
        <v>39</v>
      </c>
      <c r="B199" s="730" t="s">
        <v>1780</v>
      </c>
      <c r="C199" s="731" t="s">
        <v>214</v>
      </c>
      <c r="D199" s="732">
        <v>120</v>
      </c>
      <c r="E199" s="733">
        <v>5.9</v>
      </c>
      <c r="F199" s="734">
        <f>E199*D199</f>
        <v>708</v>
      </c>
    </row>
    <row r="200" spans="1:6" s="728" customFormat="1">
      <c r="A200" s="729"/>
      <c r="B200" s="730"/>
      <c r="C200" s="731"/>
      <c r="D200" s="732"/>
      <c r="E200" s="733"/>
      <c r="F200" s="734"/>
    </row>
    <row r="201" spans="1:6" s="728" customFormat="1">
      <c r="A201" s="729">
        <v>40</v>
      </c>
      <c r="B201" s="730" t="s">
        <v>1781</v>
      </c>
      <c r="C201" s="731" t="s">
        <v>214</v>
      </c>
      <c r="D201" s="732">
        <v>300</v>
      </c>
      <c r="E201" s="733">
        <v>4.55</v>
      </c>
      <c r="F201" s="734">
        <f>E201*D201</f>
        <v>1365</v>
      </c>
    </row>
    <row r="202" spans="1:6" s="728" customFormat="1">
      <c r="A202" s="729"/>
      <c r="B202" s="730"/>
      <c r="C202" s="731"/>
      <c r="D202" s="732"/>
      <c r="E202" s="733"/>
      <c r="F202" s="734"/>
    </row>
    <row r="203" spans="1:6" s="728" customFormat="1">
      <c r="A203" s="729">
        <v>41</v>
      </c>
      <c r="B203" s="730" t="s">
        <v>1782</v>
      </c>
      <c r="C203" s="731" t="s">
        <v>214</v>
      </c>
      <c r="D203" s="732">
        <v>975</v>
      </c>
      <c r="E203" s="733">
        <v>3.9</v>
      </c>
      <c r="F203" s="734">
        <f>E203*D203</f>
        <v>3802.5</v>
      </c>
    </row>
    <row r="204" spans="1:6" s="728" customFormat="1">
      <c r="A204" s="729"/>
      <c r="B204" s="730"/>
      <c r="C204" s="731"/>
      <c r="D204" s="732"/>
      <c r="E204" s="733"/>
      <c r="F204" s="734"/>
    </row>
    <row r="205" spans="1:6" s="728" customFormat="1">
      <c r="A205" s="729">
        <v>42</v>
      </c>
      <c r="B205" s="730" t="s">
        <v>1783</v>
      </c>
      <c r="C205" s="731" t="s">
        <v>214</v>
      </c>
      <c r="D205" s="732">
        <v>5700</v>
      </c>
      <c r="E205" s="733">
        <v>3.8</v>
      </c>
      <c r="F205" s="734">
        <f>E205*D205</f>
        <v>21660</v>
      </c>
    </row>
    <row r="206" spans="1:6" s="728" customFormat="1">
      <c r="A206" s="729"/>
      <c r="B206" s="730"/>
      <c r="C206" s="731"/>
      <c r="D206" s="732"/>
      <c r="E206" s="733"/>
      <c r="F206" s="734"/>
    </row>
    <row r="207" spans="1:6" s="728" customFormat="1" ht="39.75" customHeight="1">
      <c r="A207" s="729"/>
      <c r="B207" s="730" t="s">
        <v>1784</v>
      </c>
      <c r="C207" s="731"/>
      <c r="D207" s="732"/>
      <c r="E207" s="733"/>
      <c r="F207" s="734"/>
    </row>
    <row r="208" spans="1:6" s="728" customFormat="1">
      <c r="A208" s="763"/>
      <c r="B208" s="764"/>
      <c r="C208" s="765"/>
      <c r="D208" s="766"/>
      <c r="E208" s="767"/>
      <c r="F208" s="767"/>
    </row>
    <row r="209" spans="1:6" s="728" customFormat="1">
      <c r="A209" s="763">
        <v>43</v>
      </c>
      <c r="B209" s="764" t="s">
        <v>1785</v>
      </c>
      <c r="C209" s="765" t="s">
        <v>214</v>
      </c>
      <c r="D209" s="766">
        <v>756</v>
      </c>
      <c r="E209" s="767">
        <v>10.3</v>
      </c>
      <c r="F209" s="767">
        <f t="shared" ref="F209:F213" si="3">E209*D209</f>
        <v>7786.8</v>
      </c>
    </row>
    <row r="210" spans="1:6" s="728" customFormat="1">
      <c r="A210" s="763"/>
      <c r="B210" s="764"/>
      <c r="C210" s="765"/>
      <c r="D210" s="766"/>
      <c r="E210" s="767"/>
      <c r="F210" s="767"/>
    </row>
    <row r="211" spans="1:6" s="728" customFormat="1">
      <c r="A211" s="763">
        <v>44</v>
      </c>
      <c r="B211" s="764" t="s">
        <v>1786</v>
      </c>
      <c r="C211" s="765" t="s">
        <v>214</v>
      </c>
      <c r="D211" s="766">
        <v>288</v>
      </c>
      <c r="E211" s="767">
        <v>13.8</v>
      </c>
      <c r="F211" s="767">
        <f t="shared" si="3"/>
        <v>3974.4</v>
      </c>
    </row>
    <row r="212" spans="1:6" s="728" customFormat="1">
      <c r="A212" s="763"/>
      <c r="B212" s="764"/>
      <c r="C212" s="765"/>
      <c r="D212" s="766"/>
      <c r="E212" s="767"/>
      <c r="F212" s="767"/>
    </row>
    <row r="213" spans="1:6" s="728" customFormat="1">
      <c r="A213" s="763">
        <v>45</v>
      </c>
      <c r="B213" s="764" t="s">
        <v>1787</v>
      </c>
      <c r="C213" s="765" t="s">
        <v>214</v>
      </c>
      <c r="D213" s="766">
        <v>72</v>
      </c>
      <c r="E213" s="767">
        <v>10.85</v>
      </c>
      <c r="F213" s="767">
        <f t="shared" si="3"/>
        <v>781.19999999999993</v>
      </c>
    </row>
    <row r="214" spans="1:6" s="728" customFormat="1">
      <c r="A214" s="729"/>
      <c r="B214" s="730"/>
      <c r="C214" s="731"/>
      <c r="D214" s="732"/>
      <c r="E214" s="733"/>
      <c r="F214" s="734"/>
    </row>
    <row r="215" spans="1:6" s="728" customFormat="1">
      <c r="A215" s="729">
        <v>46</v>
      </c>
      <c r="B215" s="730" t="s">
        <v>1788</v>
      </c>
      <c r="C215" s="731" t="s">
        <v>214</v>
      </c>
      <c r="D215" s="732">
        <v>36</v>
      </c>
      <c r="E215" s="733">
        <v>22</v>
      </c>
      <c r="F215" s="734">
        <f>E215*D215</f>
        <v>792</v>
      </c>
    </row>
    <row r="216" spans="1:6" s="728" customFormat="1">
      <c r="A216" s="729"/>
      <c r="B216" s="730"/>
      <c r="C216" s="731"/>
      <c r="D216" s="732"/>
      <c r="E216" s="733"/>
      <c r="F216" s="734"/>
    </row>
    <row r="217" spans="1:6" s="728" customFormat="1">
      <c r="A217" s="729">
        <v>47</v>
      </c>
      <c r="B217" s="730" t="s">
        <v>1789</v>
      </c>
      <c r="C217" s="731" t="s">
        <v>214</v>
      </c>
      <c r="D217" s="732">
        <v>36</v>
      </c>
      <c r="E217" s="733">
        <v>15.75</v>
      </c>
      <c r="F217" s="734">
        <f>E217*D217</f>
        <v>567</v>
      </c>
    </row>
    <row r="218" spans="1:6" s="728" customFormat="1">
      <c r="A218" s="729"/>
      <c r="B218" s="730"/>
      <c r="C218" s="731"/>
      <c r="D218" s="732"/>
      <c r="E218" s="733"/>
      <c r="F218" s="734"/>
    </row>
    <row r="219" spans="1:6" s="728" customFormat="1">
      <c r="A219" s="729">
        <v>48</v>
      </c>
      <c r="B219" s="730" t="s">
        <v>1790</v>
      </c>
      <c r="C219" s="731" t="s">
        <v>214</v>
      </c>
      <c r="D219" s="732">
        <v>117</v>
      </c>
      <c r="E219" s="733">
        <v>10.5</v>
      </c>
      <c r="F219" s="734">
        <f>E219*D219</f>
        <v>1228.5</v>
      </c>
    </row>
    <row r="220" spans="1:6" s="728" customFormat="1">
      <c r="A220" s="729"/>
      <c r="B220" s="730"/>
      <c r="C220" s="731"/>
      <c r="D220" s="732"/>
      <c r="E220" s="733"/>
      <c r="F220" s="734"/>
    </row>
    <row r="221" spans="1:6" s="728" customFormat="1">
      <c r="A221" s="729">
        <v>49</v>
      </c>
      <c r="B221" s="730" t="s">
        <v>1791</v>
      </c>
      <c r="C221" s="731" t="s">
        <v>214</v>
      </c>
      <c r="D221" s="732">
        <v>36</v>
      </c>
      <c r="E221" s="733">
        <v>8.25</v>
      </c>
      <c r="F221" s="734">
        <f>E221*D221</f>
        <v>297</v>
      </c>
    </row>
    <row r="222" spans="1:6" s="728" customFormat="1">
      <c r="A222" s="729"/>
      <c r="B222" s="730"/>
      <c r="C222" s="731"/>
      <c r="D222" s="732"/>
      <c r="E222" s="733"/>
      <c r="F222" s="734"/>
    </row>
    <row r="223" spans="1:6" s="728" customFormat="1">
      <c r="A223" s="729">
        <v>50</v>
      </c>
      <c r="B223" s="730" t="s">
        <v>1792</v>
      </c>
      <c r="C223" s="731" t="s">
        <v>214</v>
      </c>
      <c r="D223" s="732">
        <v>90</v>
      </c>
      <c r="E223" s="733">
        <v>3.45</v>
      </c>
      <c r="F223" s="734">
        <f>E223*D223</f>
        <v>310.5</v>
      </c>
    </row>
    <row r="224" spans="1:6" s="728" customFormat="1">
      <c r="A224" s="729"/>
      <c r="B224" s="730"/>
      <c r="C224" s="731"/>
      <c r="D224" s="732"/>
      <c r="E224" s="733"/>
      <c r="F224" s="734"/>
    </row>
    <row r="225" spans="1:6" s="728" customFormat="1">
      <c r="A225" s="729">
        <v>51</v>
      </c>
      <c r="B225" s="730" t="s">
        <v>1793</v>
      </c>
      <c r="C225" s="731" t="s">
        <v>214</v>
      </c>
      <c r="D225" s="732">
        <v>450</v>
      </c>
      <c r="E225" s="733">
        <v>2.7</v>
      </c>
      <c r="F225" s="734">
        <f>E225*D225</f>
        <v>1215</v>
      </c>
    </row>
    <row r="226" spans="1:6" s="728" customFormat="1">
      <c r="A226" s="729"/>
      <c r="B226" s="730"/>
      <c r="C226" s="731"/>
      <c r="D226" s="732"/>
      <c r="E226" s="733"/>
      <c r="F226" s="734"/>
    </row>
    <row r="227" spans="1:6" ht="15.6">
      <c r="A227" s="729">
        <v>52</v>
      </c>
      <c r="B227" s="730" t="s">
        <v>1794</v>
      </c>
      <c r="C227" s="731" t="s">
        <v>214</v>
      </c>
      <c r="D227" s="732">
        <v>1260</v>
      </c>
      <c r="E227" s="733">
        <v>3.3</v>
      </c>
      <c r="F227" s="734">
        <f t="shared" ref="F227:F237" si="4">E227*D227</f>
        <v>4158</v>
      </c>
    </row>
    <row r="228" spans="1:6" s="728" customFormat="1">
      <c r="A228" s="729"/>
      <c r="B228" s="730"/>
      <c r="C228" s="731"/>
      <c r="D228" s="732"/>
      <c r="E228" s="733"/>
      <c r="F228" s="734"/>
    </row>
    <row r="229" spans="1:6" ht="15.6">
      <c r="A229" s="729">
        <v>53</v>
      </c>
      <c r="B229" s="730" t="s">
        <v>1795</v>
      </c>
      <c r="C229" s="731" t="s">
        <v>214</v>
      </c>
      <c r="D229" s="732">
        <v>666</v>
      </c>
      <c r="E229" s="733">
        <v>4.45</v>
      </c>
      <c r="F229" s="734">
        <f>E229*D229</f>
        <v>2963.7000000000003</v>
      </c>
    </row>
    <row r="230" spans="1:6" s="728" customFormat="1">
      <c r="A230" s="729"/>
      <c r="B230" s="730"/>
      <c r="C230" s="731"/>
      <c r="D230" s="732"/>
      <c r="E230" s="733"/>
      <c r="F230" s="734"/>
    </row>
    <row r="231" spans="1:6" ht="15.6">
      <c r="A231" s="729">
        <v>54</v>
      </c>
      <c r="B231" s="730" t="s">
        <v>1796</v>
      </c>
      <c r="C231" s="731" t="s">
        <v>214</v>
      </c>
      <c r="D231" s="732">
        <v>4590</v>
      </c>
      <c r="E231" s="733">
        <v>3.3</v>
      </c>
      <c r="F231" s="734">
        <f t="shared" si="4"/>
        <v>15147</v>
      </c>
    </row>
    <row r="232" spans="1:6" s="728" customFormat="1">
      <c r="A232" s="729"/>
      <c r="B232" s="730"/>
      <c r="C232" s="731"/>
      <c r="D232" s="732"/>
      <c r="E232" s="733"/>
      <c r="F232" s="734"/>
    </row>
    <row r="233" spans="1:6" ht="15.6">
      <c r="A233" s="729">
        <v>55</v>
      </c>
      <c r="B233" s="730" t="s">
        <v>1797</v>
      </c>
      <c r="C233" s="731" t="s">
        <v>214</v>
      </c>
      <c r="D233" s="732">
        <v>270</v>
      </c>
      <c r="E233" s="733">
        <v>3.05</v>
      </c>
      <c r="F233" s="734">
        <f t="shared" si="4"/>
        <v>823.5</v>
      </c>
    </row>
    <row r="234" spans="1:6" s="728" customFormat="1">
      <c r="A234" s="729"/>
      <c r="B234" s="730"/>
      <c r="C234" s="731"/>
      <c r="D234" s="732"/>
      <c r="E234" s="733"/>
      <c r="F234" s="734"/>
    </row>
    <row r="235" spans="1:6" ht="15.6">
      <c r="A235" s="729">
        <v>56</v>
      </c>
      <c r="B235" s="730" t="s">
        <v>1798</v>
      </c>
      <c r="C235" s="731" t="s">
        <v>214</v>
      </c>
      <c r="D235" s="732">
        <v>3150</v>
      </c>
      <c r="E235" s="733">
        <v>2.6</v>
      </c>
      <c r="F235" s="734">
        <f t="shared" si="4"/>
        <v>8190</v>
      </c>
    </row>
    <row r="236" spans="1:6" s="728" customFormat="1">
      <c r="A236" s="763"/>
      <c r="B236" s="764"/>
      <c r="C236" s="765"/>
      <c r="D236" s="766"/>
      <c r="E236" s="767"/>
      <c r="F236" s="767"/>
    </row>
    <row r="237" spans="1:6" ht="15.6">
      <c r="A237" s="763">
        <v>57</v>
      </c>
      <c r="B237" s="764" t="s">
        <v>1799</v>
      </c>
      <c r="C237" s="765" t="s">
        <v>214</v>
      </c>
      <c r="D237" s="766">
        <v>90</v>
      </c>
      <c r="E237" s="767">
        <v>2.15</v>
      </c>
      <c r="F237" s="767">
        <f t="shared" si="4"/>
        <v>193.5</v>
      </c>
    </row>
    <row r="238" spans="1:6" s="728" customFormat="1">
      <c r="A238" s="763"/>
      <c r="B238" s="764"/>
      <c r="C238" s="765"/>
      <c r="D238" s="766"/>
      <c r="E238" s="767"/>
      <c r="F238" s="767"/>
    </row>
    <row r="239" spans="1:6" ht="15.6">
      <c r="A239" s="763">
        <v>58</v>
      </c>
      <c r="B239" s="764" t="s">
        <v>1800</v>
      </c>
      <c r="C239" s="765" t="s">
        <v>214</v>
      </c>
      <c r="D239" s="766">
        <v>90</v>
      </c>
      <c r="E239" s="767">
        <v>2.6</v>
      </c>
      <c r="F239" s="767">
        <f>E239*D239</f>
        <v>234</v>
      </c>
    </row>
    <row r="240" spans="1:6" s="715" customFormat="1" ht="8.25" customHeight="1">
      <c r="A240" s="783"/>
      <c r="B240" s="730"/>
      <c r="C240" s="735"/>
      <c r="D240" s="732"/>
      <c r="E240" s="784"/>
      <c r="F240" s="734"/>
    </row>
    <row r="241" spans="1:6" s="728" customFormat="1" ht="15.6">
      <c r="A241" s="785">
        <v>59</v>
      </c>
      <c r="B241" s="786" t="s">
        <v>1801</v>
      </c>
      <c r="C241" s="731" t="s">
        <v>214</v>
      </c>
      <c r="D241" s="732">
        <v>36</v>
      </c>
      <c r="E241" s="733">
        <v>3.6</v>
      </c>
      <c r="F241" s="734">
        <f>E241*D241</f>
        <v>129.6</v>
      </c>
    </row>
    <row r="242" spans="1:6" s="792" customFormat="1">
      <c r="A242" s="787"/>
      <c r="B242" s="788"/>
      <c r="C242" s="789"/>
      <c r="D242" s="790"/>
      <c r="E242" s="791"/>
      <c r="F242" s="791"/>
    </row>
    <row r="243" spans="1:6" s="794" customFormat="1" ht="13.8">
      <c r="A243" s="763">
        <v>60</v>
      </c>
      <c r="B243" s="764" t="s">
        <v>1802</v>
      </c>
      <c r="C243" s="765" t="s">
        <v>214</v>
      </c>
      <c r="D243" s="793">
        <v>630</v>
      </c>
      <c r="E243" s="767">
        <v>6.4</v>
      </c>
      <c r="F243" s="767">
        <f>E243*D243</f>
        <v>4032</v>
      </c>
    </row>
    <row r="244" spans="1:6" s="792" customFormat="1">
      <c r="A244" s="787"/>
      <c r="B244" s="788"/>
      <c r="C244" s="789"/>
      <c r="D244" s="790"/>
      <c r="E244" s="791"/>
      <c r="F244" s="791"/>
    </row>
    <row r="245" spans="1:6" s="794" customFormat="1" ht="13.8">
      <c r="A245" s="763">
        <v>61</v>
      </c>
      <c r="B245" s="764" t="s">
        <v>1803</v>
      </c>
      <c r="C245" s="765" t="s">
        <v>214</v>
      </c>
      <c r="D245" s="793">
        <v>360</v>
      </c>
      <c r="E245" s="767">
        <v>4.8</v>
      </c>
      <c r="F245" s="767">
        <f>E245*D245</f>
        <v>1728</v>
      </c>
    </row>
    <row r="246" spans="1:6" s="792" customFormat="1">
      <c r="A246" s="787"/>
      <c r="B246" s="788"/>
      <c r="C246" s="789"/>
      <c r="D246" s="790"/>
      <c r="E246" s="791"/>
      <c r="F246" s="791"/>
    </row>
    <row r="247" spans="1:6" s="794" customFormat="1" ht="13.8">
      <c r="A247" s="763">
        <v>62</v>
      </c>
      <c r="B247" s="764" t="s">
        <v>1804</v>
      </c>
      <c r="C247" s="765" t="s">
        <v>214</v>
      </c>
      <c r="D247" s="793">
        <v>72</v>
      </c>
      <c r="E247" s="767">
        <v>4.05</v>
      </c>
      <c r="F247" s="767">
        <f>E247*D247</f>
        <v>291.59999999999997</v>
      </c>
    </row>
    <row r="248" spans="1:6" s="792" customFormat="1">
      <c r="A248" s="787"/>
      <c r="B248" s="788"/>
      <c r="C248" s="789"/>
      <c r="D248" s="790"/>
      <c r="E248" s="791"/>
      <c r="F248" s="791"/>
    </row>
    <row r="249" spans="1:6" s="794" customFormat="1" ht="13.8">
      <c r="A249" s="763">
        <v>63</v>
      </c>
      <c r="B249" s="764" t="s">
        <v>1805</v>
      </c>
      <c r="C249" s="765" t="s">
        <v>214</v>
      </c>
      <c r="D249" s="793">
        <v>54</v>
      </c>
      <c r="E249" s="767">
        <v>1.9</v>
      </c>
      <c r="F249" s="767">
        <f>E249*D249</f>
        <v>102.6</v>
      </c>
    </row>
    <row r="250" spans="1:6" s="728" customFormat="1">
      <c r="A250" s="729"/>
      <c r="B250" s="730"/>
      <c r="C250" s="731"/>
      <c r="D250" s="732"/>
      <c r="E250" s="733"/>
      <c r="F250" s="734"/>
    </row>
    <row r="251" spans="1:6" ht="15.6">
      <c r="A251" s="729">
        <v>64</v>
      </c>
      <c r="B251" s="730" t="s">
        <v>1806</v>
      </c>
      <c r="C251" s="731" t="s">
        <v>214</v>
      </c>
      <c r="D251" s="732">
        <v>90</v>
      </c>
      <c r="E251" s="733">
        <v>3.2</v>
      </c>
      <c r="F251" s="734">
        <f>E251*D251</f>
        <v>288</v>
      </c>
    </row>
    <row r="252" spans="1:6" s="728" customFormat="1">
      <c r="A252" s="729"/>
      <c r="B252" s="730"/>
      <c r="C252" s="731"/>
      <c r="D252" s="732"/>
      <c r="E252" s="733"/>
      <c r="F252" s="734"/>
    </row>
    <row r="253" spans="1:6" ht="15.6">
      <c r="A253" s="729">
        <v>65</v>
      </c>
      <c r="B253" s="730" t="s">
        <v>1807</v>
      </c>
      <c r="C253" s="731" t="s">
        <v>214</v>
      </c>
      <c r="D253" s="732">
        <v>450</v>
      </c>
      <c r="E253" s="733">
        <v>2.5</v>
      </c>
      <c r="F253" s="734">
        <f>E253*D253</f>
        <v>1125</v>
      </c>
    </row>
    <row r="254" spans="1:6" s="728" customFormat="1">
      <c r="A254" s="729"/>
      <c r="B254" s="730"/>
      <c r="C254" s="731"/>
      <c r="D254" s="732"/>
      <c r="E254" s="733"/>
      <c r="F254" s="734"/>
    </row>
    <row r="255" spans="1:6" ht="15.6">
      <c r="A255" s="729">
        <v>66</v>
      </c>
      <c r="B255" s="730" t="s">
        <v>1808</v>
      </c>
      <c r="C255" s="731" t="s">
        <v>214</v>
      </c>
      <c r="D255" s="732">
        <v>270</v>
      </c>
      <c r="E255" s="733">
        <v>2.2000000000000002</v>
      </c>
      <c r="F255" s="734">
        <f>E255*D255</f>
        <v>594</v>
      </c>
    </row>
    <row r="256" spans="1:6">
      <c r="A256" s="795"/>
      <c r="C256" s="735"/>
      <c r="E256" s="733"/>
    </row>
    <row r="257" spans="1:6" ht="105.6">
      <c r="A257" s="729">
        <v>67</v>
      </c>
      <c r="B257" s="730" t="s">
        <v>1809</v>
      </c>
      <c r="C257" s="731" t="s">
        <v>213</v>
      </c>
      <c r="D257" s="732">
        <v>1</v>
      </c>
      <c r="E257" s="733">
        <v>1050</v>
      </c>
      <c r="F257" s="734">
        <f>E257*D257</f>
        <v>1050</v>
      </c>
    </row>
    <row r="258" spans="1:6" s="728" customFormat="1">
      <c r="A258" s="729"/>
      <c r="B258" s="730"/>
      <c r="C258" s="731"/>
      <c r="D258" s="732"/>
      <c r="E258" s="733"/>
      <c r="F258" s="734"/>
    </row>
    <row r="259" spans="1:6" s="728" customFormat="1">
      <c r="A259" s="716" t="s">
        <v>83</v>
      </c>
      <c r="B259" s="717"/>
      <c r="C259" s="718"/>
      <c r="D259" s="719"/>
      <c r="E259" s="720"/>
      <c r="F259" s="721">
        <f>SUM(F6:F258)</f>
        <v>134362.69999999998</v>
      </c>
    </row>
    <row r="260" spans="1:6" s="728" customFormat="1">
      <c r="A260" s="716">
        <v>2</v>
      </c>
      <c r="B260" s="717" t="s">
        <v>1810</v>
      </c>
      <c r="C260" s="718"/>
      <c r="D260" s="719"/>
      <c r="E260" s="720"/>
      <c r="F260" s="721"/>
    </row>
    <row r="261" spans="1:6" s="802" customFormat="1">
      <c r="A261" s="796"/>
      <c r="B261" s="797"/>
      <c r="C261" s="798"/>
      <c r="D261" s="799"/>
      <c r="E261" s="800"/>
      <c r="F261" s="801"/>
    </row>
    <row r="262" spans="1:6" s="728" customFormat="1" ht="52.8">
      <c r="A262" s="743"/>
      <c r="B262" s="730" t="s">
        <v>1811</v>
      </c>
      <c r="C262" s="731"/>
      <c r="D262" s="732"/>
      <c r="E262" s="733"/>
      <c r="F262" s="734"/>
    </row>
    <row r="263" spans="1:6">
      <c r="B263" s="764"/>
      <c r="E263" s="733"/>
    </row>
    <row r="264" spans="1:6" ht="250.8">
      <c r="A264" s="729">
        <v>1</v>
      </c>
      <c r="B264" s="803" t="s">
        <v>1812</v>
      </c>
      <c r="C264" s="731" t="s">
        <v>31</v>
      </c>
      <c r="D264" s="732">
        <v>5</v>
      </c>
      <c r="E264" s="733">
        <v>136</v>
      </c>
      <c r="F264" s="734">
        <f>E264*D264</f>
        <v>680</v>
      </c>
    </row>
    <row r="265" spans="1:6" s="715" customFormat="1">
      <c r="A265" s="729"/>
      <c r="B265" s="730"/>
      <c r="C265" s="735"/>
      <c r="D265" s="732"/>
      <c r="E265" s="733"/>
      <c r="F265" s="734"/>
    </row>
    <row r="266" spans="1:6" ht="277.2">
      <c r="A266" s="729">
        <v>2</v>
      </c>
      <c r="B266" s="803" t="s">
        <v>1813</v>
      </c>
      <c r="C266" s="731" t="s">
        <v>31</v>
      </c>
      <c r="D266" s="732">
        <v>12</v>
      </c>
      <c r="E266" s="733">
        <v>135</v>
      </c>
      <c r="F266" s="734">
        <f>E266*D266</f>
        <v>1620</v>
      </c>
    </row>
    <row r="267" spans="1:6" s="715" customFormat="1">
      <c r="A267" s="729"/>
      <c r="B267" s="730"/>
      <c r="C267" s="735"/>
      <c r="D267" s="732"/>
      <c r="E267" s="733"/>
      <c r="F267" s="734"/>
    </row>
    <row r="268" spans="1:6" ht="316.8">
      <c r="A268" s="729">
        <v>3</v>
      </c>
      <c r="B268" s="803" t="s">
        <v>1814</v>
      </c>
      <c r="C268" s="731" t="s">
        <v>31</v>
      </c>
      <c r="D268" s="732">
        <v>18</v>
      </c>
      <c r="E268" s="733">
        <v>239</v>
      </c>
      <c r="F268" s="734">
        <f>E268*D268</f>
        <v>4302</v>
      </c>
    </row>
    <row r="269" spans="1:6" s="715" customFormat="1">
      <c r="A269" s="729"/>
      <c r="B269" s="730"/>
      <c r="C269" s="735"/>
      <c r="D269" s="732"/>
      <c r="E269" s="733"/>
      <c r="F269" s="734"/>
    </row>
    <row r="270" spans="1:6" ht="303.60000000000002">
      <c r="A270" s="729">
        <v>4</v>
      </c>
      <c r="B270" s="803" t="s">
        <v>1815</v>
      </c>
      <c r="C270" s="731" t="s">
        <v>31</v>
      </c>
      <c r="D270" s="732">
        <v>44</v>
      </c>
      <c r="E270" s="733">
        <v>81</v>
      </c>
      <c r="F270" s="734">
        <f>E270*D270</f>
        <v>3564</v>
      </c>
    </row>
    <row r="271" spans="1:6" s="715" customFormat="1">
      <c r="A271" s="729"/>
      <c r="B271" s="730"/>
      <c r="C271" s="735"/>
      <c r="D271" s="732"/>
      <c r="E271" s="733"/>
      <c r="F271" s="734"/>
    </row>
    <row r="272" spans="1:6" ht="290.39999999999998">
      <c r="A272" s="729">
        <v>5</v>
      </c>
      <c r="B272" s="803" t="s">
        <v>1816</v>
      </c>
      <c r="C272" s="731" t="s">
        <v>31</v>
      </c>
      <c r="D272" s="732">
        <v>4</v>
      </c>
      <c r="E272" s="733">
        <v>204</v>
      </c>
      <c r="F272" s="734">
        <f>E272*D272</f>
        <v>816</v>
      </c>
    </row>
    <row r="273" spans="1:6" s="715" customFormat="1">
      <c r="A273" s="729"/>
      <c r="B273" s="730"/>
      <c r="C273" s="735"/>
      <c r="D273" s="732"/>
      <c r="E273" s="733"/>
      <c r="F273" s="734"/>
    </row>
    <row r="274" spans="1:6" ht="343.2">
      <c r="A274" s="729">
        <v>6</v>
      </c>
      <c r="B274" s="803" t="s">
        <v>1817</v>
      </c>
      <c r="C274" s="731" t="s">
        <v>31</v>
      </c>
      <c r="D274" s="732">
        <v>9</v>
      </c>
      <c r="E274" s="733">
        <v>238</v>
      </c>
      <c r="F274" s="734">
        <f>E274*D274</f>
        <v>2142</v>
      </c>
    </row>
    <row r="275" spans="1:6" s="715" customFormat="1">
      <c r="A275" s="729"/>
      <c r="B275" s="730"/>
      <c r="C275" s="735"/>
      <c r="D275" s="732"/>
      <c r="E275" s="733"/>
      <c r="F275" s="734"/>
    </row>
    <row r="276" spans="1:6" ht="343.2">
      <c r="A276" s="729">
        <v>7</v>
      </c>
      <c r="B276" s="803" t="s">
        <v>1818</v>
      </c>
      <c r="C276" s="731" t="s">
        <v>31</v>
      </c>
      <c r="D276" s="732">
        <v>9</v>
      </c>
      <c r="E276" s="733">
        <v>147</v>
      </c>
      <c r="F276" s="734">
        <f>E276*D276</f>
        <v>1323</v>
      </c>
    </row>
    <row r="277" spans="1:6" s="715" customFormat="1">
      <c r="A277" s="729"/>
      <c r="B277" s="730"/>
      <c r="C277" s="735"/>
      <c r="D277" s="732"/>
      <c r="E277" s="733"/>
      <c r="F277" s="734"/>
    </row>
    <row r="278" spans="1:6" ht="316.8">
      <c r="A278" s="729">
        <v>8</v>
      </c>
      <c r="B278" s="803" t="s">
        <v>1819</v>
      </c>
      <c r="C278" s="731" t="s">
        <v>31</v>
      </c>
      <c r="D278" s="732">
        <v>31</v>
      </c>
      <c r="E278" s="733">
        <v>80.5</v>
      </c>
      <c r="F278" s="734">
        <f>E278*D278</f>
        <v>2495.5</v>
      </c>
    </row>
    <row r="279" spans="1:6">
      <c r="B279" s="764"/>
      <c r="E279" s="733"/>
    </row>
    <row r="280" spans="1:6" ht="330">
      <c r="A280" s="729">
        <v>9</v>
      </c>
      <c r="B280" s="803" t="s">
        <v>1820</v>
      </c>
      <c r="C280" s="731" t="s">
        <v>31</v>
      </c>
      <c r="D280" s="732">
        <v>6</v>
      </c>
      <c r="E280" s="733">
        <v>235.5</v>
      </c>
      <c r="F280" s="734">
        <f>E280*D280</f>
        <v>1413</v>
      </c>
    </row>
    <row r="281" spans="1:6">
      <c r="B281" s="764"/>
      <c r="E281" s="733"/>
    </row>
    <row r="282" spans="1:6" ht="330">
      <c r="A282" s="729">
        <v>10</v>
      </c>
      <c r="B282" s="803" t="s">
        <v>1821</v>
      </c>
      <c r="C282" s="731" t="s">
        <v>31</v>
      </c>
      <c r="D282" s="732">
        <v>2</v>
      </c>
      <c r="E282" s="733">
        <v>243.5</v>
      </c>
      <c r="F282" s="734">
        <f>E282*D282</f>
        <v>487</v>
      </c>
    </row>
    <row r="283" spans="1:6" s="715" customFormat="1">
      <c r="A283" s="729"/>
      <c r="B283" s="730"/>
      <c r="C283" s="735"/>
      <c r="D283" s="732"/>
      <c r="E283" s="733"/>
      <c r="F283" s="734"/>
    </row>
    <row r="284" spans="1:6" ht="369.6">
      <c r="A284" s="729">
        <v>11</v>
      </c>
      <c r="B284" s="803" t="s">
        <v>1822</v>
      </c>
      <c r="C284" s="731" t="s">
        <v>31</v>
      </c>
      <c r="D284" s="732">
        <v>5</v>
      </c>
      <c r="E284" s="733">
        <v>1140</v>
      </c>
      <c r="F284" s="734">
        <f>E284*D284</f>
        <v>5700</v>
      </c>
    </row>
    <row r="285" spans="1:6" s="715" customFormat="1">
      <c r="A285" s="729"/>
      <c r="B285" s="730"/>
      <c r="C285" s="735"/>
      <c r="D285" s="732"/>
      <c r="E285" s="733"/>
      <c r="F285" s="734"/>
    </row>
    <row r="286" spans="1:6" ht="382.8">
      <c r="A286" s="729">
        <v>12</v>
      </c>
      <c r="B286" s="803" t="s">
        <v>1823</v>
      </c>
      <c r="C286" s="731" t="s">
        <v>31</v>
      </c>
      <c r="D286" s="732">
        <v>3</v>
      </c>
      <c r="E286" s="733">
        <v>744.5</v>
      </c>
      <c r="F286" s="734">
        <f>E286*D286</f>
        <v>2233.5</v>
      </c>
    </row>
    <row r="287" spans="1:6" s="715" customFormat="1">
      <c r="A287" s="729"/>
      <c r="B287" s="730"/>
      <c r="C287" s="735"/>
      <c r="D287" s="732"/>
      <c r="E287" s="733"/>
      <c r="F287" s="734"/>
    </row>
    <row r="288" spans="1:6" ht="369.6">
      <c r="A288" s="729">
        <v>13</v>
      </c>
      <c r="B288" s="803" t="s">
        <v>1824</v>
      </c>
      <c r="C288" s="731" t="s">
        <v>31</v>
      </c>
      <c r="D288" s="732">
        <v>3</v>
      </c>
      <c r="E288" s="733">
        <v>537</v>
      </c>
      <c r="F288" s="734">
        <f>E288*D288</f>
        <v>1611</v>
      </c>
    </row>
    <row r="289" spans="1:6" s="715" customFormat="1">
      <c r="A289" s="729"/>
      <c r="B289" s="730"/>
      <c r="C289" s="735"/>
      <c r="D289" s="732"/>
      <c r="E289" s="733"/>
      <c r="F289" s="734"/>
    </row>
    <row r="290" spans="1:6" ht="369.6">
      <c r="A290" s="729">
        <v>14</v>
      </c>
      <c r="B290" s="803" t="s">
        <v>1825</v>
      </c>
      <c r="C290" s="731" t="s">
        <v>31</v>
      </c>
      <c r="D290" s="732">
        <v>1</v>
      </c>
      <c r="E290" s="733">
        <v>1780</v>
      </c>
      <c r="F290" s="734">
        <f>E290*D290</f>
        <v>1780</v>
      </c>
    </row>
    <row r="291" spans="1:6">
      <c r="B291" s="764"/>
      <c r="E291" s="733"/>
    </row>
    <row r="292" spans="1:6" ht="369.6">
      <c r="A292" s="729">
        <v>15</v>
      </c>
      <c r="B292" s="803" t="s">
        <v>1826</v>
      </c>
      <c r="C292" s="731" t="s">
        <v>31</v>
      </c>
      <c r="D292" s="732">
        <v>10</v>
      </c>
      <c r="E292" s="733">
        <v>458.5</v>
      </c>
      <c r="F292" s="734">
        <f>E292*D292</f>
        <v>4585</v>
      </c>
    </row>
    <row r="293" spans="1:6">
      <c r="B293" s="764"/>
      <c r="E293" s="733"/>
    </row>
    <row r="294" spans="1:6" ht="369.6">
      <c r="A294" s="729">
        <v>16</v>
      </c>
      <c r="B294" s="803" t="s">
        <v>1827</v>
      </c>
      <c r="C294" s="731" t="s">
        <v>31</v>
      </c>
      <c r="D294" s="732">
        <v>10</v>
      </c>
      <c r="E294" s="733">
        <v>665</v>
      </c>
      <c r="F294" s="734">
        <f>E294*D294</f>
        <v>6650</v>
      </c>
    </row>
    <row r="295" spans="1:6">
      <c r="B295" s="764"/>
      <c r="E295" s="733"/>
    </row>
    <row r="296" spans="1:6" ht="369.6">
      <c r="A296" s="729">
        <v>17</v>
      </c>
      <c r="B296" s="803" t="s">
        <v>1828</v>
      </c>
      <c r="C296" s="731" t="s">
        <v>31</v>
      </c>
      <c r="D296" s="732">
        <v>10</v>
      </c>
      <c r="E296" s="733">
        <v>1052</v>
      </c>
      <c r="F296" s="734">
        <f>E296*D296</f>
        <v>10520</v>
      </c>
    </row>
    <row r="297" spans="1:6" s="715" customFormat="1">
      <c r="A297" s="729"/>
      <c r="B297" s="730"/>
      <c r="C297" s="735"/>
      <c r="D297" s="732"/>
      <c r="E297" s="733"/>
      <c r="F297" s="734"/>
    </row>
    <row r="298" spans="1:6" ht="303.60000000000002">
      <c r="A298" s="729">
        <v>18</v>
      </c>
      <c r="B298" s="803" t="s">
        <v>1829</v>
      </c>
      <c r="C298" s="731" t="s">
        <v>31</v>
      </c>
      <c r="D298" s="732">
        <v>8</v>
      </c>
      <c r="E298" s="733">
        <v>294</v>
      </c>
      <c r="F298" s="734">
        <f>E298*D298</f>
        <v>2352</v>
      </c>
    </row>
    <row r="299" spans="1:6" s="715" customFormat="1">
      <c r="A299" s="729"/>
      <c r="B299" s="730"/>
      <c r="C299" s="735"/>
      <c r="D299" s="732"/>
      <c r="E299" s="733"/>
      <c r="F299" s="734"/>
    </row>
    <row r="300" spans="1:6" ht="316.8">
      <c r="A300" s="729">
        <v>19</v>
      </c>
      <c r="B300" s="803" t="s">
        <v>1830</v>
      </c>
      <c r="C300" s="731" t="s">
        <v>31</v>
      </c>
      <c r="D300" s="732">
        <v>15</v>
      </c>
      <c r="E300" s="733">
        <v>454</v>
      </c>
      <c r="F300" s="734">
        <f>E300*D300</f>
        <v>6810</v>
      </c>
    </row>
    <row r="301" spans="1:6" s="715" customFormat="1">
      <c r="A301" s="729"/>
      <c r="B301" s="730"/>
      <c r="C301" s="735"/>
      <c r="D301" s="732"/>
      <c r="E301" s="733"/>
      <c r="F301" s="734"/>
    </row>
    <row r="302" spans="1:6" ht="277.2">
      <c r="A302" s="729">
        <v>20</v>
      </c>
      <c r="B302" s="803" t="s">
        <v>1831</v>
      </c>
      <c r="C302" s="731" t="s">
        <v>31</v>
      </c>
      <c r="D302" s="732">
        <v>6</v>
      </c>
      <c r="E302" s="733">
        <v>512</v>
      </c>
      <c r="F302" s="734">
        <f>E302*D302</f>
        <v>3072</v>
      </c>
    </row>
    <row r="303" spans="1:6" s="715" customFormat="1">
      <c r="A303" s="729"/>
      <c r="B303" s="730"/>
      <c r="C303" s="735"/>
      <c r="D303" s="732"/>
      <c r="E303" s="733"/>
      <c r="F303" s="734"/>
    </row>
    <row r="304" spans="1:6" ht="277.2">
      <c r="A304" s="729">
        <v>21</v>
      </c>
      <c r="B304" s="803" t="s">
        <v>1832</v>
      </c>
      <c r="C304" s="731" t="s">
        <v>31</v>
      </c>
      <c r="D304" s="732">
        <v>1</v>
      </c>
      <c r="E304" s="733">
        <v>512</v>
      </c>
      <c r="F304" s="734">
        <f>E304*D304</f>
        <v>512</v>
      </c>
    </row>
    <row r="305" spans="1:6">
      <c r="B305" s="764"/>
      <c r="E305" s="733"/>
    </row>
    <row r="306" spans="1:6" ht="66">
      <c r="A306" s="729">
        <v>22</v>
      </c>
      <c r="B306" s="764" t="s">
        <v>1833</v>
      </c>
      <c r="C306" s="731" t="s">
        <v>31</v>
      </c>
      <c r="D306" s="732">
        <v>7</v>
      </c>
      <c r="E306" s="733">
        <v>713.2</v>
      </c>
      <c r="F306" s="734">
        <f>E306*D306</f>
        <v>4992.4000000000005</v>
      </c>
    </row>
    <row r="307" spans="1:6">
      <c r="B307" s="764"/>
      <c r="E307" s="733"/>
    </row>
    <row r="308" spans="1:6" ht="303.60000000000002">
      <c r="A308" s="729">
        <v>23</v>
      </c>
      <c r="B308" s="803" t="s">
        <v>1834</v>
      </c>
      <c r="C308" s="731" t="s">
        <v>31</v>
      </c>
      <c r="D308" s="732">
        <v>11</v>
      </c>
      <c r="E308" s="733">
        <v>128</v>
      </c>
      <c r="F308" s="734">
        <f>E308*D308</f>
        <v>1408</v>
      </c>
    </row>
    <row r="309" spans="1:6">
      <c r="B309" s="764"/>
      <c r="E309" s="733"/>
    </row>
    <row r="310" spans="1:6" ht="316.8">
      <c r="A310" s="729">
        <v>24</v>
      </c>
      <c r="B310" s="803" t="s">
        <v>1835</v>
      </c>
      <c r="C310" s="731" t="s">
        <v>31</v>
      </c>
      <c r="D310" s="732">
        <v>5</v>
      </c>
      <c r="E310" s="733">
        <v>105</v>
      </c>
      <c r="F310" s="734">
        <f>E310*D310</f>
        <v>525</v>
      </c>
    </row>
    <row r="311" spans="1:6">
      <c r="B311" s="764"/>
      <c r="E311" s="733"/>
    </row>
    <row r="312" spans="1:6" ht="303.60000000000002">
      <c r="A312" s="729">
        <v>25</v>
      </c>
      <c r="B312" s="803" t="s">
        <v>1836</v>
      </c>
      <c r="C312" s="731" t="s">
        <v>31</v>
      </c>
      <c r="D312" s="732">
        <v>2</v>
      </c>
      <c r="E312" s="733">
        <v>117</v>
      </c>
      <c r="F312" s="734">
        <f>E312*D312</f>
        <v>234</v>
      </c>
    </row>
    <row r="313" spans="1:6">
      <c r="B313" s="764"/>
      <c r="E313" s="733"/>
    </row>
    <row r="314" spans="1:6" ht="290.39999999999998">
      <c r="A314" s="729">
        <v>26</v>
      </c>
      <c r="B314" s="803" t="s">
        <v>1837</v>
      </c>
      <c r="C314" s="731" t="s">
        <v>31</v>
      </c>
      <c r="D314" s="732">
        <v>17</v>
      </c>
      <c r="E314" s="733">
        <v>117</v>
      </c>
      <c r="F314" s="734">
        <f>E314*D314</f>
        <v>1989</v>
      </c>
    </row>
    <row r="315" spans="1:6">
      <c r="B315" s="764"/>
      <c r="E315" s="733"/>
    </row>
    <row r="316" spans="1:6" ht="277.2">
      <c r="A316" s="729">
        <v>27</v>
      </c>
      <c r="B316" s="803" t="s">
        <v>1838</v>
      </c>
      <c r="C316" s="731" t="s">
        <v>31</v>
      </c>
      <c r="D316" s="732">
        <v>10</v>
      </c>
      <c r="E316" s="733">
        <v>99.6</v>
      </c>
      <c r="F316" s="734">
        <f>E316*D316</f>
        <v>996</v>
      </c>
    </row>
    <row r="317" spans="1:6">
      <c r="B317" s="764"/>
      <c r="E317" s="733"/>
    </row>
    <row r="318" spans="1:6" ht="277.2">
      <c r="A318" s="729">
        <v>28</v>
      </c>
      <c r="B318" s="803" t="s">
        <v>1839</v>
      </c>
      <c r="C318" s="731" t="s">
        <v>31</v>
      </c>
      <c r="D318" s="732">
        <v>1</v>
      </c>
      <c r="E318" s="733">
        <v>99.6</v>
      </c>
      <c r="F318" s="734">
        <f>E318*D318</f>
        <v>99.6</v>
      </c>
    </row>
    <row r="319" spans="1:6">
      <c r="B319" s="764"/>
      <c r="E319" s="733"/>
    </row>
    <row r="320" spans="1:6" ht="316.8">
      <c r="A320" s="729">
        <v>29</v>
      </c>
      <c r="B320" s="803" t="s">
        <v>1840</v>
      </c>
      <c r="C320" s="731" t="s">
        <v>31</v>
      </c>
      <c r="D320" s="732">
        <v>2</v>
      </c>
      <c r="E320" s="733">
        <v>105.5</v>
      </c>
      <c r="F320" s="734">
        <f>E320*D320</f>
        <v>211</v>
      </c>
    </row>
    <row r="321" spans="1:6">
      <c r="B321" s="764"/>
      <c r="E321" s="733"/>
    </row>
    <row r="322" spans="1:6" ht="277.2">
      <c r="A322" s="729">
        <v>30</v>
      </c>
      <c r="B322" s="803" t="s">
        <v>1841</v>
      </c>
      <c r="C322" s="731" t="s">
        <v>31</v>
      </c>
      <c r="D322" s="732">
        <v>1</v>
      </c>
      <c r="E322" s="733">
        <v>99.6</v>
      </c>
      <c r="F322" s="734">
        <f>E322*D322</f>
        <v>99.6</v>
      </c>
    </row>
    <row r="323" spans="1:6">
      <c r="B323" s="764"/>
      <c r="E323" s="733"/>
    </row>
    <row r="324" spans="1:6" ht="303.60000000000002">
      <c r="A324" s="729">
        <v>31</v>
      </c>
      <c r="B324" s="803" t="s">
        <v>1842</v>
      </c>
      <c r="C324" s="731" t="s">
        <v>31</v>
      </c>
      <c r="D324" s="732">
        <v>8</v>
      </c>
      <c r="E324" s="733">
        <v>118</v>
      </c>
      <c r="F324" s="734">
        <f>E324*D324</f>
        <v>944</v>
      </c>
    </row>
    <row r="325" spans="1:6">
      <c r="B325" s="764"/>
      <c r="E325" s="733"/>
    </row>
    <row r="326" spans="1:6" ht="39.6">
      <c r="A326" s="729">
        <v>32</v>
      </c>
      <c r="B326" s="730" t="s">
        <v>1843</v>
      </c>
      <c r="C326" s="731" t="s">
        <v>213</v>
      </c>
      <c r="D326" s="732">
        <v>1</v>
      </c>
      <c r="E326" s="733">
        <v>700</v>
      </c>
      <c r="F326" s="734">
        <f>E326*D326</f>
        <v>700</v>
      </c>
    </row>
    <row r="327" spans="1:6" s="728" customFormat="1">
      <c r="A327" s="729"/>
      <c r="B327" s="730"/>
      <c r="C327" s="731"/>
      <c r="D327" s="732"/>
      <c r="E327" s="733"/>
      <c r="F327" s="734"/>
    </row>
    <row r="328" spans="1:6" s="728" customFormat="1">
      <c r="A328" s="716" t="s">
        <v>83</v>
      </c>
      <c r="B328" s="717"/>
      <c r="C328" s="718"/>
      <c r="D328" s="719"/>
      <c r="E328" s="720"/>
      <c r="F328" s="721">
        <f>SUM(F261:F327)</f>
        <v>76866.600000000006</v>
      </c>
    </row>
    <row r="329" spans="1:6">
      <c r="B329" s="764"/>
      <c r="E329" s="733"/>
    </row>
    <row r="330" spans="1:6" s="728" customFormat="1">
      <c r="A330" s="716">
        <v>3</v>
      </c>
      <c r="B330" s="717" t="s">
        <v>1844</v>
      </c>
      <c r="C330" s="718"/>
      <c r="D330" s="719"/>
      <c r="E330" s="720"/>
      <c r="F330" s="721"/>
    </row>
    <row r="331" spans="1:6">
      <c r="E331" s="733"/>
    </row>
    <row r="332" spans="1:6" s="728" customFormat="1" ht="171.6">
      <c r="A332" s="729">
        <v>1</v>
      </c>
      <c r="B332" s="730" t="s">
        <v>1845</v>
      </c>
      <c r="C332" s="735"/>
      <c r="D332" s="732"/>
      <c r="E332" s="733"/>
      <c r="F332" s="734"/>
    </row>
    <row r="333" spans="1:6" s="745" customFormat="1" ht="6.6">
      <c r="A333" s="737"/>
      <c r="B333" s="738"/>
      <c r="C333" s="739"/>
      <c r="D333" s="740"/>
      <c r="E333" s="741"/>
      <c r="F333" s="744"/>
    </row>
    <row r="334" spans="1:6" s="728" customFormat="1">
      <c r="A334" s="743"/>
      <c r="B334" s="730" t="s">
        <v>1846</v>
      </c>
      <c r="C334" s="731" t="s">
        <v>31</v>
      </c>
      <c r="D334" s="732">
        <v>1</v>
      </c>
      <c r="E334" s="733"/>
      <c r="F334" s="734"/>
    </row>
    <row r="335" spans="1:6" s="728" customFormat="1" ht="8.25" customHeight="1">
      <c r="A335" s="729"/>
      <c r="B335" s="730"/>
      <c r="C335" s="731"/>
      <c r="D335" s="732"/>
      <c r="E335" s="733"/>
      <c r="F335" s="734"/>
    </row>
    <row r="336" spans="1:6" s="728" customFormat="1">
      <c r="A336" s="743"/>
      <c r="B336" s="730" t="s">
        <v>1847</v>
      </c>
      <c r="C336" s="731" t="s">
        <v>31</v>
      </c>
      <c r="D336" s="732">
        <v>2</v>
      </c>
      <c r="E336" s="733"/>
      <c r="F336" s="734"/>
    </row>
    <row r="337" spans="1:6" s="728" customFormat="1" ht="8.25" customHeight="1">
      <c r="A337" s="729"/>
      <c r="B337" s="730"/>
      <c r="C337" s="731"/>
      <c r="D337" s="732"/>
      <c r="E337" s="733"/>
      <c r="F337" s="734"/>
    </row>
    <row r="338" spans="1:6" s="728" customFormat="1" ht="26.4">
      <c r="A338" s="743"/>
      <c r="B338" s="730" t="s">
        <v>1848</v>
      </c>
      <c r="C338" s="731" t="s">
        <v>31</v>
      </c>
      <c r="D338" s="732">
        <v>1</v>
      </c>
      <c r="E338" s="733"/>
      <c r="F338" s="734"/>
    </row>
    <row r="339" spans="1:6" ht="8.25" customHeight="1">
      <c r="E339" s="733"/>
    </row>
    <row r="340" spans="1:6" s="728" customFormat="1">
      <c r="A340" s="743"/>
      <c r="B340" s="730" t="s">
        <v>1849</v>
      </c>
      <c r="C340" s="731" t="s">
        <v>213</v>
      </c>
      <c r="D340" s="732">
        <v>1</v>
      </c>
      <c r="E340" s="733"/>
      <c r="F340" s="734"/>
    </row>
    <row r="341" spans="1:6" s="730" customFormat="1" ht="8.25" customHeight="1">
      <c r="C341" s="804"/>
      <c r="D341" s="805"/>
      <c r="E341" s="806"/>
      <c r="F341" s="807"/>
    </row>
    <row r="342" spans="1:6" s="728" customFormat="1">
      <c r="A342" s="743"/>
      <c r="B342" s="730" t="s">
        <v>1850</v>
      </c>
      <c r="C342" s="731" t="s">
        <v>31</v>
      </c>
      <c r="D342" s="732">
        <v>4</v>
      </c>
      <c r="E342" s="733"/>
      <c r="F342" s="734"/>
    </row>
    <row r="343" spans="1:6" s="730" customFormat="1" ht="8.25" customHeight="1">
      <c r="C343" s="804"/>
      <c r="D343" s="805"/>
      <c r="E343" s="806"/>
      <c r="F343" s="807"/>
    </row>
    <row r="344" spans="1:6" s="728" customFormat="1">
      <c r="A344" s="743"/>
      <c r="B344" s="730" t="s">
        <v>1851</v>
      </c>
      <c r="C344" s="731" t="s">
        <v>31</v>
      </c>
      <c r="D344" s="732">
        <v>4</v>
      </c>
      <c r="E344" s="733"/>
      <c r="F344" s="734"/>
    </row>
    <row r="345" spans="1:6" s="730" customFormat="1" ht="8.25" customHeight="1">
      <c r="C345" s="804"/>
      <c r="D345" s="805"/>
      <c r="E345" s="806"/>
      <c r="F345" s="807"/>
    </row>
    <row r="346" spans="1:6" s="728" customFormat="1">
      <c r="A346" s="743"/>
      <c r="B346" s="730" t="s">
        <v>1852</v>
      </c>
      <c r="C346" s="731" t="s">
        <v>31</v>
      </c>
      <c r="D346" s="732">
        <v>2</v>
      </c>
      <c r="E346" s="733"/>
      <c r="F346" s="734"/>
    </row>
    <row r="347" spans="1:6" s="730" customFormat="1" ht="8.25" customHeight="1">
      <c r="C347" s="804"/>
      <c r="D347" s="805"/>
      <c r="E347" s="806"/>
      <c r="F347" s="807"/>
    </row>
    <row r="348" spans="1:6" s="728" customFormat="1">
      <c r="A348" s="743"/>
      <c r="B348" s="730" t="s">
        <v>1853</v>
      </c>
      <c r="C348" s="731" t="s">
        <v>31</v>
      </c>
      <c r="D348" s="732">
        <v>1</v>
      </c>
      <c r="E348" s="733"/>
      <c r="F348" s="734"/>
    </row>
    <row r="349" spans="1:6" s="730" customFormat="1" ht="8.25" customHeight="1">
      <c r="C349" s="804"/>
      <c r="D349" s="805"/>
      <c r="E349" s="806"/>
      <c r="F349" s="807"/>
    </row>
    <row r="350" spans="1:6" s="728" customFormat="1">
      <c r="A350" s="743"/>
      <c r="B350" s="730" t="s">
        <v>1854</v>
      </c>
      <c r="C350" s="731" t="s">
        <v>31</v>
      </c>
      <c r="D350" s="732">
        <v>1</v>
      </c>
      <c r="E350" s="733"/>
      <c r="F350" s="734"/>
    </row>
    <row r="351" spans="1:6" s="730" customFormat="1" ht="8.25" customHeight="1">
      <c r="C351" s="804"/>
      <c r="D351" s="805"/>
      <c r="E351" s="806"/>
      <c r="F351" s="807"/>
    </row>
    <row r="352" spans="1:6" s="728" customFormat="1">
      <c r="A352" s="743"/>
      <c r="B352" s="730" t="s">
        <v>1855</v>
      </c>
      <c r="C352" s="731" t="s">
        <v>213</v>
      </c>
      <c r="D352" s="732">
        <v>1</v>
      </c>
      <c r="E352" s="733"/>
      <c r="F352" s="734"/>
    </row>
    <row r="353" spans="1:6" s="728" customFormat="1" ht="8.25" customHeight="1">
      <c r="A353" s="729"/>
      <c r="B353" s="730"/>
      <c r="C353" s="731"/>
      <c r="D353" s="732"/>
      <c r="E353" s="733"/>
      <c r="F353" s="734"/>
    </row>
    <row r="354" spans="1:6" s="728" customFormat="1" ht="26.4">
      <c r="A354" s="743"/>
      <c r="B354" s="730" t="s">
        <v>1856</v>
      </c>
      <c r="C354" s="731" t="s">
        <v>31</v>
      </c>
      <c r="D354" s="732">
        <v>2</v>
      </c>
      <c r="E354" s="733"/>
      <c r="F354" s="734"/>
    </row>
    <row r="355" spans="1:6" s="730" customFormat="1" ht="8.25" customHeight="1">
      <c r="C355" s="804"/>
      <c r="D355" s="805"/>
      <c r="E355" s="806"/>
      <c r="F355" s="807"/>
    </row>
    <row r="356" spans="1:6" s="728" customFormat="1">
      <c r="A356" s="743"/>
      <c r="B356" s="730" t="s">
        <v>1857</v>
      </c>
      <c r="C356" s="731" t="s">
        <v>31</v>
      </c>
      <c r="D356" s="732">
        <v>1</v>
      </c>
      <c r="E356" s="733"/>
      <c r="F356" s="734"/>
    </row>
    <row r="357" spans="1:6" s="728" customFormat="1" ht="8.25" customHeight="1">
      <c r="A357" s="729"/>
      <c r="B357" s="730"/>
      <c r="C357" s="731"/>
      <c r="D357" s="732"/>
      <c r="E357" s="733"/>
      <c r="F357" s="734"/>
    </row>
    <row r="358" spans="1:6" s="728" customFormat="1">
      <c r="A358" s="743"/>
      <c r="B358" s="730" t="s">
        <v>1858</v>
      </c>
      <c r="C358" s="731" t="s">
        <v>31</v>
      </c>
      <c r="D358" s="732">
        <v>1</v>
      </c>
      <c r="E358" s="733"/>
      <c r="F358" s="734"/>
    </row>
    <row r="359" spans="1:6" s="738" customFormat="1" ht="8.25" customHeight="1">
      <c r="C359" s="804"/>
      <c r="E359" s="808"/>
      <c r="F359" s="809"/>
    </row>
    <row r="360" spans="1:6" s="728" customFormat="1">
      <c r="A360" s="743"/>
      <c r="B360" s="730" t="s">
        <v>1859</v>
      </c>
      <c r="C360" s="731" t="s">
        <v>31</v>
      </c>
      <c r="D360" s="732">
        <v>4</v>
      </c>
      <c r="E360" s="733"/>
      <c r="F360" s="734"/>
    </row>
    <row r="361" spans="1:6" s="745" customFormat="1">
      <c r="A361" s="737"/>
      <c r="B361" s="738"/>
      <c r="C361" s="804"/>
      <c r="D361" s="740"/>
      <c r="E361" s="741"/>
      <c r="F361" s="744"/>
    </row>
    <row r="362" spans="1:6" s="728" customFormat="1">
      <c r="A362" s="743"/>
      <c r="B362" s="730" t="s">
        <v>1860</v>
      </c>
      <c r="C362" s="731" t="s">
        <v>31</v>
      </c>
      <c r="D362" s="732">
        <v>5</v>
      </c>
      <c r="E362" s="733"/>
      <c r="F362" s="734"/>
    </row>
    <row r="363" spans="1:6" s="730" customFormat="1" ht="8.25" customHeight="1">
      <c r="C363" s="804"/>
      <c r="D363" s="805"/>
      <c r="E363" s="806"/>
      <c r="F363" s="807"/>
    </row>
    <row r="364" spans="1:6" s="728" customFormat="1" ht="26.4">
      <c r="A364" s="743"/>
      <c r="B364" s="730" t="s">
        <v>1861</v>
      </c>
      <c r="C364" s="731" t="s">
        <v>31</v>
      </c>
      <c r="D364" s="732">
        <v>3</v>
      </c>
      <c r="E364" s="733"/>
      <c r="F364" s="734"/>
    </row>
    <row r="365" spans="1:6" s="728" customFormat="1" ht="8.25" customHeight="1">
      <c r="A365" s="729"/>
      <c r="B365" s="730"/>
      <c r="C365" s="731"/>
      <c r="D365" s="732"/>
      <c r="E365" s="733"/>
      <c r="F365" s="734"/>
    </row>
    <row r="366" spans="1:6" s="728" customFormat="1">
      <c r="A366" s="743"/>
      <c r="B366" s="730" t="s">
        <v>1862</v>
      </c>
      <c r="C366" s="731" t="s">
        <v>31</v>
      </c>
      <c r="D366" s="732">
        <v>1</v>
      </c>
      <c r="E366" s="733"/>
      <c r="F366" s="734"/>
    </row>
    <row r="367" spans="1:6" s="728" customFormat="1" ht="8.25" customHeight="1">
      <c r="A367" s="729"/>
      <c r="B367" s="730"/>
      <c r="C367" s="804"/>
      <c r="D367" s="732"/>
      <c r="E367" s="733"/>
      <c r="F367" s="734"/>
    </row>
    <row r="368" spans="1:6" s="728" customFormat="1">
      <c r="A368" s="743"/>
      <c r="B368" s="730" t="s">
        <v>1863</v>
      </c>
      <c r="C368" s="731" t="s">
        <v>31</v>
      </c>
      <c r="D368" s="732">
        <v>2</v>
      </c>
      <c r="E368" s="733"/>
      <c r="F368" s="734"/>
    </row>
    <row r="369" spans="1:6" s="728" customFormat="1" ht="8.25" customHeight="1">
      <c r="A369" s="729"/>
      <c r="B369" s="730"/>
      <c r="C369" s="804"/>
      <c r="D369" s="732"/>
      <c r="E369" s="733"/>
      <c r="F369" s="734"/>
    </row>
    <row r="370" spans="1:6" s="728" customFormat="1" ht="39.6">
      <c r="A370" s="743"/>
      <c r="B370" s="730" t="s">
        <v>1864</v>
      </c>
      <c r="C370" s="731" t="s">
        <v>31</v>
      </c>
      <c r="D370" s="732">
        <v>20</v>
      </c>
      <c r="E370" s="733"/>
      <c r="F370" s="734"/>
    </row>
    <row r="371" spans="1:6" s="730" customFormat="1" ht="8.25" customHeight="1">
      <c r="B371" s="746"/>
      <c r="C371" s="804"/>
      <c r="D371" s="805"/>
      <c r="E371" s="806"/>
      <c r="F371" s="807"/>
    </row>
    <row r="372" spans="1:6" s="728" customFormat="1" ht="39.6">
      <c r="A372" s="743"/>
      <c r="B372" s="730" t="s">
        <v>1865</v>
      </c>
      <c r="C372" s="731" t="s">
        <v>31</v>
      </c>
      <c r="D372" s="732">
        <v>12</v>
      </c>
      <c r="E372" s="733"/>
      <c r="F372" s="734"/>
    </row>
    <row r="373" spans="1:6" s="730" customFormat="1" ht="8.25" customHeight="1">
      <c r="B373" s="746"/>
      <c r="C373" s="804"/>
      <c r="D373" s="805"/>
      <c r="E373" s="806"/>
      <c r="F373" s="807"/>
    </row>
    <row r="374" spans="1:6" ht="39.6">
      <c r="A374" s="743"/>
      <c r="B374" s="730" t="s">
        <v>1866</v>
      </c>
      <c r="C374" s="731" t="s">
        <v>31</v>
      </c>
      <c r="D374" s="732">
        <v>10</v>
      </c>
      <c r="E374" s="733"/>
    </row>
    <row r="375" spans="1:6" s="730" customFormat="1" ht="8.25" customHeight="1">
      <c r="B375" s="746"/>
      <c r="C375" s="804"/>
      <c r="D375" s="805"/>
      <c r="E375" s="806"/>
      <c r="F375" s="807"/>
    </row>
    <row r="376" spans="1:6" ht="39.6">
      <c r="A376" s="743"/>
      <c r="B376" s="730" t="s">
        <v>1867</v>
      </c>
      <c r="C376" s="731" t="s">
        <v>31</v>
      </c>
      <c r="D376" s="732">
        <v>8</v>
      </c>
      <c r="E376" s="733"/>
    </row>
    <row r="377" spans="1:6" s="730" customFormat="1" ht="8.25" customHeight="1">
      <c r="B377" s="746"/>
      <c r="C377" s="804"/>
      <c r="D377" s="805"/>
      <c r="E377" s="806"/>
      <c r="F377" s="807"/>
    </row>
    <row r="378" spans="1:6" ht="26.4">
      <c r="A378" s="743"/>
      <c r="B378" s="730" t="s">
        <v>1868</v>
      </c>
      <c r="C378" s="731" t="s">
        <v>213</v>
      </c>
      <c r="D378" s="732">
        <v>1</v>
      </c>
      <c r="E378" s="733"/>
    </row>
    <row r="379" spans="1:6" s="728" customFormat="1" ht="8.25" customHeight="1">
      <c r="A379" s="743"/>
      <c r="B379" s="730"/>
      <c r="C379" s="731"/>
      <c r="D379" s="732"/>
      <c r="E379" s="733"/>
      <c r="F379" s="734"/>
    </row>
    <row r="380" spans="1:6">
      <c r="A380" s="743"/>
      <c r="B380" s="730" t="s">
        <v>1869</v>
      </c>
      <c r="C380" s="731" t="s">
        <v>213</v>
      </c>
      <c r="D380" s="732">
        <v>1</v>
      </c>
      <c r="E380" s="733"/>
    </row>
    <row r="381" spans="1:6" s="742" customFormat="1" ht="6.6">
      <c r="A381" s="810"/>
      <c r="B381" s="738"/>
      <c r="C381" s="739"/>
      <c r="D381" s="740"/>
      <c r="E381" s="741"/>
      <c r="F381" s="744"/>
    </row>
    <row r="382" spans="1:6" s="742" customFormat="1" ht="6.6">
      <c r="A382" s="810"/>
      <c r="B382" s="759"/>
      <c r="C382" s="760"/>
      <c r="D382" s="761"/>
      <c r="E382" s="741"/>
      <c r="F382" s="744"/>
    </row>
    <row r="383" spans="1:6" s="728" customFormat="1">
      <c r="A383" s="743"/>
      <c r="B383" s="730"/>
      <c r="C383" s="735" t="s">
        <v>213</v>
      </c>
      <c r="D383" s="732">
        <v>1</v>
      </c>
      <c r="E383" s="756">
        <v>2600</v>
      </c>
      <c r="F383" s="734">
        <f>E383*D383</f>
        <v>2600</v>
      </c>
    </row>
    <row r="384" spans="1:6" s="730" customFormat="1" ht="8.25" customHeight="1">
      <c r="C384" s="804"/>
      <c r="D384" s="805"/>
      <c r="E384" s="806"/>
      <c r="F384" s="807"/>
    </row>
    <row r="385" spans="1:6" s="715" customFormat="1">
      <c r="A385" s="729"/>
      <c r="B385" s="730"/>
      <c r="C385" s="735"/>
      <c r="D385" s="732"/>
      <c r="E385" s="733"/>
      <c r="F385" s="734"/>
    </row>
    <row r="386" spans="1:6">
      <c r="E386" s="733"/>
    </row>
    <row r="387" spans="1:6" s="816" customFormat="1" ht="26.4">
      <c r="A387" s="811">
        <v>2</v>
      </c>
      <c r="B387" s="730" t="s">
        <v>1870</v>
      </c>
      <c r="C387" s="812" t="s">
        <v>31</v>
      </c>
      <c r="D387" s="813">
        <v>55</v>
      </c>
      <c r="E387" s="814">
        <v>3.5</v>
      </c>
      <c r="F387" s="815">
        <f>E387*D387</f>
        <v>192.5</v>
      </c>
    </row>
    <row r="388" spans="1:6" s="728" customFormat="1">
      <c r="A388" s="729"/>
      <c r="B388" s="730"/>
      <c r="C388" s="731"/>
      <c r="D388" s="732"/>
      <c r="E388" s="733"/>
      <c r="F388" s="734"/>
    </row>
    <row r="389" spans="1:6" s="728" customFormat="1" ht="66">
      <c r="A389" s="743"/>
      <c r="B389" s="730" t="s">
        <v>1778</v>
      </c>
      <c r="C389" s="731"/>
      <c r="D389" s="732"/>
      <c r="E389" s="733"/>
      <c r="F389" s="734"/>
    </row>
    <row r="390" spans="1:6" s="728" customFormat="1">
      <c r="A390" s="729"/>
      <c r="B390" s="730"/>
      <c r="C390" s="731"/>
      <c r="D390" s="732"/>
      <c r="E390" s="733"/>
      <c r="F390" s="734"/>
    </row>
    <row r="391" spans="1:6" s="728" customFormat="1">
      <c r="A391" s="729">
        <v>3</v>
      </c>
      <c r="B391" s="730" t="s">
        <v>1871</v>
      </c>
      <c r="C391" s="731" t="s">
        <v>214</v>
      </c>
      <c r="D391" s="732">
        <v>36</v>
      </c>
      <c r="E391" s="733">
        <v>5.25</v>
      </c>
      <c r="F391" s="734">
        <f>E391*D391</f>
        <v>189</v>
      </c>
    </row>
    <row r="392" spans="1:6" s="728" customFormat="1">
      <c r="A392" s="729"/>
      <c r="B392" s="730"/>
      <c r="C392" s="731"/>
      <c r="D392" s="732"/>
      <c r="E392" s="733"/>
      <c r="F392" s="734"/>
    </row>
    <row r="393" spans="1:6" s="728" customFormat="1">
      <c r="A393" s="729">
        <v>4</v>
      </c>
      <c r="B393" s="730" t="s">
        <v>1782</v>
      </c>
      <c r="C393" s="731" t="s">
        <v>214</v>
      </c>
      <c r="D393" s="732">
        <v>630</v>
      </c>
      <c r="E393" s="733">
        <v>3.9</v>
      </c>
      <c r="F393" s="734">
        <f>E393*D393</f>
        <v>2457</v>
      </c>
    </row>
    <row r="394" spans="1:6" s="728" customFormat="1">
      <c r="A394" s="729"/>
      <c r="B394" s="730"/>
      <c r="C394" s="731"/>
      <c r="D394" s="732"/>
      <c r="E394" s="733"/>
      <c r="F394" s="734"/>
    </row>
    <row r="395" spans="1:6" s="728" customFormat="1">
      <c r="A395" s="729">
        <v>5</v>
      </c>
      <c r="B395" s="730" t="s">
        <v>1783</v>
      </c>
      <c r="C395" s="731" t="s">
        <v>214</v>
      </c>
      <c r="D395" s="732">
        <v>2340</v>
      </c>
      <c r="E395" s="733">
        <v>3.8</v>
      </c>
      <c r="F395" s="734">
        <f>E395*D395</f>
        <v>8892</v>
      </c>
    </row>
    <row r="396" spans="1:6" s="728" customFormat="1">
      <c r="A396" s="729"/>
      <c r="B396" s="730"/>
      <c r="C396" s="735"/>
      <c r="D396" s="732"/>
      <c r="E396" s="733"/>
      <c r="F396" s="734"/>
    </row>
    <row r="397" spans="1:6" s="715" customFormat="1" ht="39.6">
      <c r="A397" s="729"/>
      <c r="B397" s="730" t="s">
        <v>1872</v>
      </c>
      <c r="C397" s="735"/>
      <c r="D397" s="732"/>
      <c r="E397" s="733"/>
      <c r="F397" s="734"/>
    </row>
    <row r="398" spans="1:6" s="715" customFormat="1" ht="15" customHeight="1">
      <c r="A398" s="729"/>
      <c r="B398" s="730"/>
      <c r="C398" s="735"/>
      <c r="D398" s="732"/>
      <c r="E398" s="733"/>
      <c r="F398" s="734"/>
    </row>
    <row r="399" spans="1:6" s="715" customFormat="1">
      <c r="A399" s="729">
        <v>6</v>
      </c>
      <c r="B399" s="730" t="s">
        <v>1873</v>
      </c>
      <c r="C399" s="735" t="s">
        <v>214</v>
      </c>
      <c r="D399" s="732">
        <v>5130</v>
      </c>
      <c r="E399" s="733">
        <v>1.9</v>
      </c>
      <c r="F399" s="734">
        <f>E399*D399</f>
        <v>9747</v>
      </c>
    </row>
    <row r="400" spans="1:6" s="715" customFormat="1" ht="15" customHeight="1">
      <c r="A400" s="729"/>
      <c r="B400" s="730"/>
      <c r="C400" s="735"/>
      <c r="D400" s="732"/>
      <c r="E400" s="733"/>
      <c r="F400" s="734"/>
    </row>
    <row r="401" spans="1:6" s="715" customFormat="1" ht="66">
      <c r="A401" s="729">
        <v>7</v>
      </c>
      <c r="B401" s="730" t="s">
        <v>1874</v>
      </c>
      <c r="C401" s="735" t="s">
        <v>213</v>
      </c>
      <c r="D401" s="732">
        <v>1</v>
      </c>
      <c r="E401" s="733">
        <v>350</v>
      </c>
      <c r="F401" s="734">
        <f t="shared" ref="F401" si="5">E401*D401</f>
        <v>350</v>
      </c>
    </row>
    <row r="402" spans="1:6" s="715" customFormat="1">
      <c r="A402" s="729"/>
      <c r="B402" s="730"/>
      <c r="C402" s="735"/>
      <c r="D402" s="732"/>
      <c r="E402" s="733"/>
      <c r="F402" s="734"/>
    </row>
    <row r="403" spans="1:6" s="728" customFormat="1">
      <c r="A403" s="716" t="s">
        <v>83</v>
      </c>
      <c r="B403" s="717"/>
      <c r="C403" s="817"/>
      <c r="D403" s="719"/>
      <c r="E403" s="720"/>
      <c r="F403" s="721">
        <f>SUM(F334:F402)</f>
        <v>24427.5</v>
      </c>
    </row>
    <row r="404" spans="1:6">
      <c r="C404" s="735"/>
      <c r="E404" s="733"/>
    </row>
    <row r="405" spans="1:6" s="728" customFormat="1" ht="39.6">
      <c r="A405" s="729"/>
      <c r="B405" s="730" t="s">
        <v>1875</v>
      </c>
      <c r="C405" s="735"/>
      <c r="D405" s="732"/>
      <c r="E405" s="733"/>
      <c r="F405" s="734"/>
    </row>
    <row r="406" spans="1:6" s="728" customFormat="1">
      <c r="A406" s="716">
        <v>4</v>
      </c>
      <c r="B406" s="717" t="s">
        <v>1876</v>
      </c>
      <c r="C406" s="718"/>
      <c r="D406" s="719"/>
      <c r="E406" s="720"/>
      <c r="F406" s="721"/>
    </row>
    <row r="407" spans="1:6" s="715" customFormat="1">
      <c r="A407" s="763"/>
      <c r="B407" s="764"/>
      <c r="C407" s="768"/>
      <c r="D407" s="766"/>
      <c r="E407" s="784"/>
      <c r="F407" s="818"/>
    </row>
    <row r="408" spans="1:6" s="728" customFormat="1" ht="39.6">
      <c r="A408" s="763">
        <v>1</v>
      </c>
      <c r="B408" s="764" t="s">
        <v>1877</v>
      </c>
      <c r="C408" s="768" t="s">
        <v>213</v>
      </c>
      <c r="D408" s="766">
        <v>1</v>
      </c>
      <c r="E408" s="733">
        <v>115</v>
      </c>
      <c r="F408" s="767">
        <f>E408*D408</f>
        <v>115</v>
      </c>
    </row>
    <row r="409" spans="1:6">
      <c r="A409" s="763"/>
      <c r="B409" s="764"/>
      <c r="C409" s="768"/>
      <c r="D409" s="766"/>
      <c r="E409" s="733"/>
      <c r="F409" s="767"/>
    </row>
    <row r="410" spans="1:6" s="728" customFormat="1" ht="26.4">
      <c r="A410" s="763">
        <v>2</v>
      </c>
      <c r="B410" s="764" t="s">
        <v>1878</v>
      </c>
      <c r="C410" s="768" t="s">
        <v>31</v>
      </c>
      <c r="D410" s="766">
        <v>1</v>
      </c>
      <c r="E410" s="733">
        <v>175</v>
      </c>
      <c r="F410" s="767">
        <f>E410*D410</f>
        <v>175</v>
      </c>
    </row>
    <row r="411" spans="1:6" s="715" customFormat="1">
      <c r="A411" s="763"/>
      <c r="B411" s="764"/>
      <c r="C411" s="768"/>
      <c r="D411" s="766"/>
      <c r="E411" s="784"/>
      <c r="F411" s="818"/>
    </row>
    <row r="412" spans="1:6" s="728" customFormat="1" ht="26.4">
      <c r="A412" s="763">
        <v>3</v>
      </c>
      <c r="B412" s="764" t="s">
        <v>1879</v>
      </c>
      <c r="C412" s="768"/>
      <c r="D412" s="766"/>
      <c r="E412" s="733"/>
      <c r="F412" s="767"/>
    </row>
    <row r="413" spans="1:6" s="742" customFormat="1" ht="6.6">
      <c r="A413" s="819"/>
      <c r="B413" s="770"/>
      <c r="C413" s="771"/>
      <c r="D413" s="772"/>
      <c r="E413" s="741"/>
      <c r="F413" s="776"/>
    </row>
    <row r="414" spans="1:6" s="728" customFormat="1">
      <c r="A414" s="775"/>
      <c r="B414" s="764" t="s">
        <v>2331</v>
      </c>
      <c r="C414" s="768"/>
      <c r="D414" s="766"/>
      <c r="E414" s="733"/>
      <c r="F414" s="767"/>
    </row>
    <row r="415" spans="1:6" s="742" customFormat="1" ht="6.6">
      <c r="A415" s="819"/>
      <c r="B415" s="770"/>
      <c r="C415" s="771"/>
      <c r="D415" s="772"/>
      <c r="E415" s="741"/>
      <c r="F415" s="776"/>
    </row>
    <row r="416" spans="1:6" s="728" customFormat="1" ht="39.6">
      <c r="A416" s="775"/>
      <c r="B416" s="764" t="s">
        <v>1880</v>
      </c>
      <c r="C416" s="768"/>
      <c r="D416" s="766"/>
      <c r="E416" s="733"/>
      <c r="F416" s="767"/>
    </row>
    <row r="417" spans="1:6" s="742" customFormat="1" ht="6.6">
      <c r="A417" s="819"/>
      <c r="B417" s="770"/>
      <c r="C417" s="771"/>
      <c r="D417" s="772"/>
      <c r="E417" s="741"/>
      <c r="F417" s="776"/>
    </row>
    <row r="418" spans="1:6" s="728" customFormat="1" ht="26.4">
      <c r="A418" s="775"/>
      <c r="B418" s="764" t="s">
        <v>1881</v>
      </c>
      <c r="C418" s="768"/>
      <c r="D418" s="766"/>
      <c r="E418" s="733"/>
      <c r="F418" s="767"/>
    </row>
    <row r="419" spans="1:6" s="742" customFormat="1" ht="6.6">
      <c r="A419" s="819"/>
      <c r="B419" s="770"/>
      <c r="C419" s="771"/>
      <c r="D419" s="772"/>
      <c r="E419" s="741"/>
      <c r="F419" s="776"/>
    </row>
    <row r="420" spans="1:6" s="728" customFormat="1" ht="26.4">
      <c r="A420" s="775"/>
      <c r="B420" s="764" t="s">
        <v>1882</v>
      </c>
      <c r="C420" s="768"/>
      <c r="D420" s="766"/>
      <c r="E420" s="733"/>
      <c r="F420" s="767"/>
    </row>
    <row r="421" spans="1:6" s="742" customFormat="1" ht="6.6">
      <c r="A421" s="819"/>
      <c r="B421" s="770"/>
      <c r="C421" s="771"/>
      <c r="D421" s="772"/>
      <c r="E421" s="741"/>
      <c r="F421" s="776"/>
    </row>
    <row r="422" spans="1:6" s="742" customFormat="1" ht="6.6">
      <c r="A422" s="819"/>
      <c r="B422" s="820"/>
      <c r="C422" s="821"/>
      <c r="D422" s="822"/>
      <c r="E422" s="741"/>
      <c r="F422" s="776"/>
    </row>
    <row r="423" spans="1:6" s="728" customFormat="1">
      <c r="A423" s="775"/>
      <c r="B423" s="764"/>
      <c r="C423" s="768" t="s">
        <v>213</v>
      </c>
      <c r="D423" s="766">
        <v>1</v>
      </c>
      <c r="E423" s="733">
        <v>2100</v>
      </c>
      <c r="F423" s="767">
        <f>E423*D423</f>
        <v>2100</v>
      </c>
    </row>
    <row r="424" spans="1:6" s="715" customFormat="1">
      <c r="A424" s="763"/>
      <c r="B424" s="764"/>
      <c r="C424" s="768"/>
      <c r="D424" s="766"/>
      <c r="E424" s="784"/>
      <c r="F424" s="818"/>
    </row>
    <row r="425" spans="1:6" s="728" customFormat="1" ht="39.6">
      <c r="A425" s="775"/>
      <c r="B425" s="764" t="s">
        <v>1883</v>
      </c>
      <c r="C425" s="768"/>
      <c r="D425" s="766"/>
      <c r="E425" s="733"/>
      <c r="F425" s="767"/>
    </row>
    <row r="426" spans="1:6">
      <c r="A426" s="775"/>
      <c r="B426" s="764"/>
      <c r="C426" s="768"/>
      <c r="D426" s="766"/>
      <c r="E426" s="733"/>
      <c r="F426" s="767"/>
    </row>
    <row r="427" spans="1:6" s="728" customFormat="1">
      <c r="A427" s="763">
        <v>4</v>
      </c>
      <c r="B427" s="764" t="s">
        <v>1884</v>
      </c>
      <c r="C427" s="768" t="s">
        <v>214</v>
      </c>
      <c r="D427" s="766">
        <v>60</v>
      </c>
      <c r="E427" s="733">
        <v>5.25</v>
      </c>
      <c r="F427" s="767">
        <f t="shared" ref="F427:F435" si="6">E427*D427</f>
        <v>315</v>
      </c>
    </row>
    <row r="428" spans="1:6">
      <c r="A428" s="775"/>
      <c r="B428" s="764"/>
      <c r="C428" s="768"/>
      <c r="D428" s="766"/>
      <c r="E428" s="733"/>
      <c r="F428" s="767"/>
    </row>
    <row r="429" spans="1:6" s="728" customFormat="1">
      <c r="A429" s="763">
        <v>5</v>
      </c>
      <c r="B429" s="764" t="s">
        <v>1885</v>
      </c>
      <c r="C429" s="768" t="s">
        <v>214</v>
      </c>
      <c r="D429" s="766">
        <v>800</v>
      </c>
      <c r="E429" s="733">
        <v>3.8</v>
      </c>
      <c r="F429" s="767">
        <f t="shared" si="6"/>
        <v>3040</v>
      </c>
    </row>
    <row r="430" spans="1:6">
      <c r="A430" s="775"/>
      <c r="B430" s="764"/>
      <c r="C430" s="768"/>
      <c r="D430" s="766"/>
      <c r="E430" s="733"/>
      <c r="F430" s="767"/>
    </row>
    <row r="431" spans="1:6" s="728" customFormat="1" ht="26.4">
      <c r="A431" s="775"/>
      <c r="B431" s="764" t="s">
        <v>1886</v>
      </c>
      <c r="C431" s="768"/>
      <c r="D431" s="766"/>
      <c r="E431" s="733"/>
      <c r="F431" s="767"/>
    </row>
    <row r="432" spans="1:6">
      <c r="A432" s="775"/>
      <c r="B432" s="764"/>
      <c r="C432" s="768"/>
      <c r="D432" s="766"/>
      <c r="E432" s="733"/>
      <c r="F432" s="767"/>
    </row>
    <row r="433" spans="1:6" s="728" customFormat="1">
      <c r="A433" s="763">
        <v>6</v>
      </c>
      <c r="B433" s="764" t="s">
        <v>1887</v>
      </c>
      <c r="C433" s="768" t="s">
        <v>214</v>
      </c>
      <c r="D433" s="766">
        <v>950</v>
      </c>
      <c r="E433" s="733">
        <v>0.45</v>
      </c>
      <c r="F433" s="767">
        <f t="shared" si="6"/>
        <v>427.5</v>
      </c>
    </row>
    <row r="434" spans="1:6">
      <c r="A434" s="775"/>
      <c r="B434" s="764"/>
      <c r="C434" s="768"/>
      <c r="D434" s="766"/>
      <c r="E434" s="733"/>
      <c r="F434" s="767"/>
    </row>
    <row r="435" spans="1:6" s="728" customFormat="1" ht="26.4">
      <c r="A435" s="763">
        <v>7</v>
      </c>
      <c r="B435" s="764" t="s">
        <v>1888</v>
      </c>
      <c r="C435" s="768" t="s">
        <v>31</v>
      </c>
      <c r="D435" s="766">
        <v>7</v>
      </c>
      <c r="E435" s="733">
        <v>4</v>
      </c>
      <c r="F435" s="767">
        <f t="shared" si="6"/>
        <v>28</v>
      </c>
    </row>
    <row r="436" spans="1:6">
      <c r="A436" s="763"/>
      <c r="B436" s="764"/>
      <c r="C436" s="768"/>
      <c r="D436" s="823"/>
      <c r="E436" s="733"/>
      <c r="F436" s="767"/>
    </row>
    <row r="437" spans="1:6">
      <c r="A437" s="824" t="s">
        <v>83</v>
      </c>
      <c r="B437" s="825"/>
      <c r="C437" s="826"/>
      <c r="D437" s="827"/>
      <c r="E437" s="828"/>
      <c r="F437" s="829">
        <f>SUM(F407:F435)</f>
        <v>6200.5</v>
      </c>
    </row>
    <row r="438" spans="1:6" s="728" customFormat="1">
      <c r="A438" s="716">
        <v>5</v>
      </c>
      <c r="B438" s="830" t="s">
        <v>1889</v>
      </c>
      <c r="C438" s="817"/>
      <c r="D438" s="719"/>
      <c r="E438" s="720"/>
      <c r="F438" s="721"/>
    </row>
    <row r="439" spans="1:6" s="728" customFormat="1">
      <c r="A439" s="729"/>
      <c r="B439" s="730"/>
      <c r="C439" s="735"/>
      <c r="D439" s="732"/>
      <c r="E439" s="733"/>
      <c r="F439" s="734"/>
    </row>
    <row r="440" spans="1:6" s="728" customFormat="1" ht="105.75" customHeight="1">
      <c r="A440" s="729">
        <v>1</v>
      </c>
      <c r="B440" s="730" t="s">
        <v>1890</v>
      </c>
      <c r="C440" s="735" t="s">
        <v>214</v>
      </c>
      <c r="D440" s="732">
        <v>650</v>
      </c>
      <c r="E440" s="733">
        <v>5.9</v>
      </c>
      <c r="F440" s="734">
        <f>E440*D440</f>
        <v>3835.0000000000005</v>
      </c>
    </row>
    <row r="441" spans="1:6" s="728" customFormat="1">
      <c r="A441" s="729"/>
      <c r="B441" s="730"/>
      <c r="C441" s="735"/>
      <c r="D441" s="732"/>
      <c r="E441" s="733"/>
      <c r="F441" s="734"/>
    </row>
    <row r="442" spans="1:6" s="728" customFormat="1" ht="52.8">
      <c r="A442" s="729">
        <v>2</v>
      </c>
      <c r="B442" s="730" t="s">
        <v>1891</v>
      </c>
      <c r="C442" s="735" t="s">
        <v>31</v>
      </c>
      <c r="D442" s="732">
        <v>35</v>
      </c>
      <c r="E442" s="733">
        <v>22.8</v>
      </c>
      <c r="F442" s="734">
        <f t="shared" ref="F442:F458" si="7">E442*D442</f>
        <v>798</v>
      </c>
    </row>
    <row r="443" spans="1:6" s="728" customFormat="1">
      <c r="A443" s="729"/>
      <c r="B443" s="730"/>
      <c r="C443" s="735"/>
      <c r="D443" s="732"/>
      <c r="E443" s="733"/>
      <c r="F443" s="734"/>
    </row>
    <row r="444" spans="1:6" s="728" customFormat="1" ht="81" customHeight="1">
      <c r="A444" s="729">
        <v>3</v>
      </c>
      <c r="B444" s="730" t="s">
        <v>1892</v>
      </c>
      <c r="C444" s="735" t="s">
        <v>31</v>
      </c>
      <c r="D444" s="732">
        <v>20</v>
      </c>
      <c r="E444" s="733">
        <v>22.1</v>
      </c>
      <c r="F444" s="734">
        <f t="shared" si="7"/>
        <v>442</v>
      </c>
    </row>
    <row r="445" spans="1:6" s="728" customFormat="1">
      <c r="A445" s="729"/>
      <c r="B445" s="730"/>
      <c r="C445" s="735"/>
      <c r="D445" s="732"/>
      <c r="E445" s="733"/>
      <c r="F445" s="734"/>
    </row>
    <row r="446" spans="1:6" s="728" customFormat="1" ht="79.2">
      <c r="A446" s="729">
        <v>4</v>
      </c>
      <c r="B446" s="730" t="s">
        <v>1893</v>
      </c>
      <c r="C446" s="735" t="s">
        <v>31</v>
      </c>
      <c r="D446" s="732">
        <v>20</v>
      </c>
      <c r="E446" s="733">
        <v>13.9</v>
      </c>
      <c r="F446" s="734">
        <f t="shared" si="7"/>
        <v>278</v>
      </c>
    </row>
    <row r="447" spans="1:6" s="728" customFormat="1">
      <c r="A447" s="729"/>
      <c r="B447" s="730"/>
      <c r="C447" s="735"/>
      <c r="D447" s="732"/>
      <c r="E447" s="733"/>
      <c r="F447" s="734"/>
    </row>
    <row r="448" spans="1:6" s="728" customFormat="1" ht="26.4">
      <c r="A448" s="729">
        <v>5</v>
      </c>
      <c r="B448" s="730" t="s">
        <v>1894</v>
      </c>
      <c r="C448" s="735" t="s">
        <v>214</v>
      </c>
      <c r="D448" s="732">
        <v>200</v>
      </c>
      <c r="E448" s="733">
        <v>5.5</v>
      </c>
      <c r="F448" s="734">
        <f t="shared" si="7"/>
        <v>1100</v>
      </c>
    </row>
    <row r="449" spans="1:6" s="728" customFormat="1">
      <c r="A449" s="729"/>
      <c r="B449" s="730"/>
      <c r="C449" s="735"/>
      <c r="D449" s="732"/>
      <c r="E449" s="733"/>
      <c r="F449" s="734"/>
    </row>
    <row r="450" spans="1:6" s="728" customFormat="1" ht="52.8">
      <c r="A450" s="729">
        <v>6</v>
      </c>
      <c r="B450" s="730" t="s">
        <v>1895</v>
      </c>
      <c r="C450" s="735" t="s">
        <v>31</v>
      </c>
      <c r="D450" s="732">
        <v>2</v>
      </c>
      <c r="E450" s="733">
        <v>23.9</v>
      </c>
      <c r="F450" s="734">
        <f t="shared" si="7"/>
        <v>47.8</v>
      </c>
    </row>
    <row r="451" spans="1:6" s="728" customFormat="1">
      <c r="A451" s="729"/>
      <c r="B451" s="730"/>
      <c r="C451" s="735"/>
      <c r="D451" s="732"/>
      <c r="E451" s="733"/>
      <c r="F451" s="734"/>
    </row>
    <row r="452" spans="1:6" s="728" customFormat="1" ht="39" customHeight="1">
      <c r="A452" s="729">
        <v>7</v>
      </c>
      <c r="B452" s="730" t="s">
        <v>1896</v>
      </c>
      <c r="C452" s="735" t="s">
        <v>214</v>
      </c>
      <c r="D452" s="732">
        <v>690</v>
      </c>
      <c r="E452" s="733">
        <v>10</v>
      </c>
      <c r="F452" s="734">
        <f t="shared" si="7"/>
        <v>6900</v>
      </c>
    </row>
    <row r="453" spans="1:6" s="728" customFormat="1">
      <c r="A453" s="729"/>
      <c r="B453" s="730"/>
      <c r="C453" s="735"/>
      <c r="D453" s="732"/>
      <c r="E453" s="733"/>
      <c r="F453" s="734"/>
    </row>
    <row r="454" spans="1:6" s="728" customFormat="1" ht="39.6">
      <c r="A454" s="729">
        <v>8</v>
      </c>
      <c r="B454" s="730" t="s">
        <v>1897</v>
      </c>
      <c r="C454" s="735" t="s">
        <v>31</v>
      </c>
      <c r="D454" s="735">
        <v>90</v>
      </c>
      <c r="E454" s="733">
        <v>6.9</v>
      </c>
      <c r="F454" s="734">
        <f t="shared" si="7"/>
        <v>621</v>
      </c>
    </row>
    <row r="455" spans="1:6" s="728" customFormat="1">
      <c r="A455" s="729"/>
      <c r="B455" s="730"/>
      <c r="C455" s="735"/>
      <c r="D455" s="732"/>
      <c r="E455" s="733"/>
      <c r="F455" s="734"/>
    </row>
    <row r="456" spans="1:6" s="728" customFormat="1" ht="52.8">
      <c r="A456" s="729">
        <v>9</v>
      </c>
      <c r="B456" s="730" t="s">
        <v>1898</v>
      </c>
      <c r="C456" s="735" t="s">
        <v>31</v>
      </c>
      <c r="D456" s="732">
        <v>10</v>
      </c>
      <c r="E456" s="733">
        <v>72.5</v>
      </c>
      <c r="F456" s="734">
        <f t="shared" si="7"/>
        <v>725</v>
      </c>
    </row>
    <row r="457" spans="1:6" s="728" customFormat="1">
      <c r="A457" s="729"/>
      <c r="B457" s="730"/>
      <c r="C457" s="735"/>
      <c r="D457" s="732"/>
      <c r="E457" s="733"/>
      <c r="F457" s="734"/>
    </row>
    <row r="458" spans="1:6" s="728" customFormat="1" ht="66">
      <c r="A458" s="729">
        <v>10</v>
      </c>
      <c r="B458" s="730" t="s">
        <v>1899</v>
      </c>
      <c r="C458" s="735" t="s">
        <v>31</v>
      </c>
      <c r="D458" s="732">
        <v>17</v>
      </c>
      <c r="E458" s="733">
        <v>45.15</v>
      </c>
      <c r="F458" s="734">
        <f t="shared" si="7"/>
        <v>767.55</v>
      </c>
    </row>
    <row r="459" spans="1:6" s="728" customFormat="1">
      <c r="A459" s="729"/>
      <c r="B459" s="730"/>
      <c r="C459" s="735"/>
      <c r="D459" s="732"/>
      <c r="E459" s="733"/>
      <c r="F459" s="734"/>
    </row>
    <row r="460" spans="1:6" s="728" customFormat="1" ht="92.4">
      <c r="A460" s="729">
        <v>11</v>
      </c>
      <c r="B460" s="730" t="s">
        <v>1900</v>
      </c>
      <c r="C460" s="735" t="s">
        <v>213</v>
      </c>
      <c r="D460" s="732">
        <v>1</v>
      </c>
      <c r="E460" s="733">
        <v>180</v>
      </c>
      <c r="F460" s="734">
        <f>E460*D460</f>
        <v>180</v>
      </c>
    </row>
    <row r="461" spans="1:6" s="728" customFormat="1">
      <c r="A461" s="743"/>
      <c r="B461" s="730" t="s">
        <v>0</v>
      </c>
      <c r="C461" s="735"/>
      <c r="D461" s="732"/>
      <c r="E461" s="733"/>
      <c r="F461" s="734"/>
    </row>
    <row r="462" spans="1:6">
      <c r="A462" s="824" t="s">
        <v>83</v>
      </c>
      <c r="B462" s="825"/>
      <c r="C462" s="826"/>
      <c r="D462" s="827"/>
      <c r="E462" s="828"/>
      <c r="F462" s="829">
        <f>SUM(F440:F461)</f>
        <v>15694.349999999999</v>
      </c>
    </row>
    <row r="463" spans="1:6" s="728" customFormat="1" ht="26.4">
      <c r="A463" s="716">
        <v>6</v>
      </c>
      <c r="B463" s="830" t="s">
        <v>1901</v>
      </c>
      <c r="C463" s="817"/>
      <c r="D463" s="719"/>
      <c r="E463" s="720"/>
      <c r="F463" s="721"/>
    </row>
    <row r="464" spans="1:6" s="715" customFormat="1">
      <c r="A464" s="729"/>
      <c r="B464" s="730"/>
      <c r="C464" s="731"/>
      <c r="D464" s="732"/>
      <c r="E464" s="733"/>
      <c r="F464" s="734"/>
    </row>
    <row r="465" spans="1:6" s="728" customFormat="1" ht="105.6">
      <c r="A465" s="729">
        <v>1</v>
      </c>
      <c r="B465" s="736" t="s">
        <v>1902</v>
      </c>
      <c r="C465" s="735" t="s">
        <v>1903</v>
      </c>
      <c r="D465" s="732">
        <v>200</v>
      </c>
      <c r="E465" s="1151">
        <v>20</v>
      </c>
      <c r="F465" s="734">
        <f>E465*D465</f>
        <v>4000</v>
      </c>
    </row>
    <row r="466" spans="1:6">
      <c r="C466" s="735"/>
      <c r="E466" s="733"/>
    </row>
    <row r="467" spans="1:6" s="728" customFormat="1" ht="105.6">
      <c r="A467" s="729">
        <v>2</v>
      </c>
      <c r="B467" s="736" t="s">
        <v>1904</v>
      </c>
      <c r="C467" s="735" t="s">
        <v>1903</v>
      </c>
      <c r="D467" s="732">
        <v>40</v>
      </c>
      <c r="E467" s="1151">
        <v>50</v>
      </c>
      <c r="F467" s="734">
        <f>E467*D467</f>
        <v>2000</v>
      </c>
    </row>
    <row r="468" spans="1:6" s="715" customFormat="1">
      <c r="A468" s="729"/>
      <c r="B468" s="730"/>
      <c r="C468" s="735"/>
      <c r="D468" s="732"/>
      <c r="E468" s="733"/>
      <c r="F468" s="734"/>
    </row>
    <row r="469" spans="1:6" s="728" customFormat="1" ht="118.8">
      <c r="A469" s="729">
        <v>3</v>
      </c>
      <c r="B469" s="831" t="s">
        <v>1905</v>
      </c>
      <c r="C469" s="735" t="s">
        <v>1903</v>
      </c>
      <c r="D469" s="732">
        <v>65</v>
      </c>
      <c r="E469" s="1151">
        <v>50</v>
      </c>
      <c r="F469" s="734">
        <f>E469*D469</f>
        <v>3250</v>
      </c>
    </row>
    <row r="470" spans="1:6" s="728" customFormat="1">
      <c r="A470" s="729"/>
      <c r="B470" s="832"/>
      <c r="C470" s="735"/>
      <c r="D470" s="732"/>
      <c r="E470" s="733"/>
      <c r="F470" s="734"/>
    </row>
    <row r="471" spans="1:6" s="728" customFormat="1" ht="105.6">
      <c r="A471" s="729">
        <v>4</v>
      </c>
      <c r="B471" s="730" t="s">
        <v>1906</v>
      </c>
      <c r="C471" s="735" t="s">
        <v>213</v>
      </c>
      <c r="D471" s="732">
        <v>2</v>
      </c>
      <c r="E471" s="1151">
        <v>2000</v>
      </c>
      <c r="F471" s="734">
        <f>E471*D471</f>
        <v>4000</v>
      </c>
    </row>
    <row r="472" spans="1:6" s="728" customFormat="1">
      <c r="A472" s="729"/>
      <c r="B472" s="832"/>
      <c r="C472" s="735"/>
      <c r="D472" s="732"/>
      <c r="E472" s="733"/>
      <c r="F472" s="734"/>
    </row>
    <row r="473" spans="1:6" s="728" customFormat="1" ht="26.4">
      <c r="A473" s="743"/>
      <c r="B473" s="730" t="s">
        <v>1907</v>
      </c>
      <c r="C473" s="735"/>
      <c r="D473" s="732"/>
      <c r="E473" s="733"/>
      <c r="F473" s="734"/>
    </row>
    <row r="474" spans="1:6" s="728" customFormat="1">
      <c r="A474" s="729"/>
      <c r="B474" s="832"/>
      <c r="C474" s="735"/>
      <c r="D474" s="732"/>
      <c r="E474" s="733"/>
      <c r="F474" s="734"/>
    </row>
    <row r="475" spans="1:6" s="728" customFormat="1">
      <c r="A475" s="729">
        <v>5</v>
      </c>
      <c r="B475" s="730" t="s">
        <v>1908</v>
      </c>
      <c r="C475" s="735" t="s">
        <v>214</v>
      </c>
      <c r="D475" s="732">
        <v>350</v>
      </c>
      <c r="E475" s="733">
        <v>5.85</v>
      </c>
      <c r="F475" s="734">
        <f>E475*D475</f>
        <v>2047.4999999999998</v>
      </c>
    </row>
    <row r="476" spans="1:6" s="728" customFormat="1">
      <c r="A476" s="729"/>
      <c r="B476" s="832"/>
      <c r="C476" s="735"/>
      <c r="D476" s="732"/>
      <c r="E476" s="733"/>
      <c r="F476" s="734"/>
    </row>
    <row r="477" spans="1:6" s="728" customFormat="1">
      <c r="A477" s="729">
        <v>6</v>
      </c>
      <c r="B477" s="730" t="s">
        <v>1909</v>
      </c>
      <c r="C477" s="735" t="s">
        <v>214</v>
      </c>
      <c r="D477" s="732">
        <v>215</v>
      </c>
      <c r="E477" s="733">
        <v>11.2</v>
      </c>
      <c r="F477" s="734">
        <f>E477*D477</f>
        <v>2408</v>
      </c>
    </row>
    <row r="478" spans="1:6" s="728" customFormat="1">
      <c r="A478" s="729"/>
      <c r="B478" s="730"/>
      <c r="C478" s="735"/>
      <c r="D478" s="732"/>
      <c r="E478" s="733"/>
      <c r="F478" s="734"/>
    </row>
    <row r="479" spans="1:6" s="715" customFormat="1" ht="39.6">
      <c r="A479" s="729">
        <v>7</v>
      </c>
      <c r="B479" s="730" t="s">
        <v>1910</v>
      </c>
      <c r="C479" s="735" t="s">
        <v>214</v>
      </c>
      <c r="D479" s="732">
        <v>60</v>
      </c>
      <c r="E479" s="733">
        <v>0.35</v>
      </c>
      <c r="F479" s="734">
        <f>E479*D479</f>
        <v>21</v>
      </c>
    </row>
    <row r="480" spans="1:6">
      <c r="C480" s="735"/>
      <c r="E480" s="784"/>
      <c r="F480" s="833"/>
    </row>
    <row r="481" spans="1:6" s="715" customFormat="1" ht="26.4">
      <c r="A481" s="729">
        <v>8</v>
      </c>
      <c r="B481" s="730" t="s">
        <v>1911</v>
      </c>
      <c r="C481" s="735" t="s">
        <v>214</v>
      </c>
      <c r="D481" s="732">
        <v>360</v>
      </c>
      <c r="E481" s="733">
        <v>0.35</v>
      </c>
      <c r="F481" s="734">
        <f>E481*D481</f>
        <v>125.99999999999999</v>
      </c>
    </row>
    <row r="482" spans="1:6" s="715" customFormat="1">
      <c r="A482" s="729"/>
      <c r="B482" s="730"/>
      <c r="C482" s="735"/>
      <c r="D482" s="732"/>
      <c r="E482" s="784"/>
      <c r="F482" s="833"/>
    </row>
    <row r="483" spans="1:6" s="715" customFormat="1">
      <c r="A483" s="729">
        <v>9</v>
      </c>
      <c r="B483" s="730" t="s">
        <v>1912</v>
      </c>
      <c r="C483" s="735" t="s">
        <v>214</v>
      </c>
      <c r="D483" s="732">
        <v>380</v>
      </c>
      <c r="E483" s="733">
        <v>0.85</v>
      </c>
      <c r="F483" s="734">
        <f>E483*D483</f>
        <v>323</v>
      </c>
    </row>
    <row r="484" spans="1:6" s="715" customFormat="1" ht="15" customHeight="1">
      <c r="A484" s="729"/>
      <c r="B484" s="730"/>
      <c r="C484" s="735"/>
      <c r="D484" s="732"/>
      <c r="E484" s="733"/>
      <c r="F484" s="734"/>
    </row>
    <row r="485" spans="1:6" s="715" customFormat="1" ht="52.8">
      <c r="A485" s="729">
        <v>10</v>
      </c>
      <c r="B485" s="730" t="s">
        <v>1913</v>
      </c>
      <c r="C485" s="735" t="s">
        <v>214</v>
      </c>
      <c r="D485" s="732">
        <v>360</v>
      </c>
      <c r="E485" s="1151">
        <v>5</v>
      </c>
      <c r="F485" s="734">
        <f>E485*D485</f>
        <v>1800</v>
      </c>
    </row>
    <row r="486" spans="1:6" s="728" customFormat="1">
      <c r="A486" s="834"/>
      <c r="B486" s="835"/>
      <c r="C486" s="836"/>
      <c r="D486" s="837"/>
      <c r="E486" s="838"/>
      <c r="F486" s="839"/>
    </row>
    <row r="487" spans="1:6" s="728" customFormat="1">
      <c r="A487" s="716" t="s">
        <v>83</v>
      </c>
      <c r="B487" s="717"/>
      <c r="C487" s="817"/>
      <c r="D487" s="719"/>
      <c r="E487" s="720"/>
      <c r="F487" s="721">
        <f>SUM(F465:F486)</f>
        <v>19975.5</v>
      </c>
    </row>
    <row r="488" spans="1:6" s="845" customFormat="1">
      <c r="A488" s="840">
        <v>7</v>
      </c>
      <c r="B488" s="841" t="s">
        <v>1914</v>
      </c>
      <c r="C488" s="842"/>
      <c r="D488" s="843"/>
      <c r="E488" s="720"/>
      <c r="F488" s="844"/>
    </row>
    <row r="489" spans="1:6" s="715" customFormat="1">
      <c r="A489" s="729"/>
      <c r="B489" s="730"/>
      <c r="C489" s="735"/>
      <c r="D489" s="732"/>
      <c r="E489" s="733"/>
      <c r="F489" s="734"/>
    </row>
    <row r="490" spans="1:6" s="715" customFormat="1" ht="39.6">
      <c r="A490" s="729">
        <v>1</v>
      </c>
      <c r="B490" s="730" t="s">
        <v>1575</v>
      </c>
      <c r="C490" s="735" t="s">
        <v>213</v>
      </c>
      <c r="D490" s="732">
        <v>1</v>
      </c>
      <c r="E490" s="1151">
        <v>5000</v>
      </c>
      <c r="F490" s="734">
        <f>E490*D490</f>
        <v>5000</v>
      </c>
    </row>
    <row r="491" spans="1:6">
      <c r="C491" s="735"/>
      <c r="E491" s="733"/>
    </row>
    <row r="492" spans="1:6" s="845" customFormat="1">
      <c r="A492" s="840" t="s">
        <v>83</v>
      </c>
      <c r="B492" s="841"/>
      <c r="C492" s="842"/>
      <c r="D492" s="843"/>
      <c r="E492" s="720"/>
      <c r="F492" s="844">
        <f>SUM(F490:F491)</f>
        <v>5000</v>
      </c>
    </row>
    <row r="493" spans="1:6" s="728" customFormat="1">
      <c r="A493" s="716" t="s">
        <v>143</v>
      </c>
      <c r="B493" s="717"/>
      <c r="C493" s="718"/>
      <c r="D493" s="719"/>
      <c r="E493" s="720"/>
      <c r="F493" s="721"/>
    </row>
    <row r="494" spans="1:6">
      <c r="E494" s="733"/>
    </row>
    <row r="495" spans="1:6" s="728" customFormat="1">
      <c r="A495" s="729">
        <v>1</v>
      </c>
      <c r="B495" s="730" t="s">
        <v>1700</v>
      </c>
      <c r="C495" s="731"/>
      <c r="D495" s="732"/>
      <c r="E495" s="733"/>
      <c r="F495" s="733">
        <f>F259</f>
        <v>134362.69999999998</v>
      </c>
    </row>
    <row r="496" spans="1:6" s="728" customFormat="1">
      <c r="A496" s="729"/>
      <c r="B496" s="730"/>
      <c r="C496" s="731"/>
      <c r="D496" s="732"/>
      <c r="E496" s="733"/>
      <c r="F496" s="733"/>
    </row>
    <row r="497" spans="1:6" s="728" customFormat="1">
      <c r="A497" s="729">
        <v>2</v>
      </c>
      <c r="B497" s="730" t="s">
        <v>1810</v>
      </c>
      <c r="C497" s="731"/>
      <c r="D497" s="732"/>
      <c r="E497" s="733"/>
      <c r="F497" s="733">
        <f>F328</f>
        <v>76866.600000000006</v>
      </c>
    </row>
    <row r="498" spans="1:6" s="728" customFormat="1">
      <c r="A498" s="729"/>
      <c r="B498" s="730"/>
      <c r="C498" s="731"/>
      <c r="D498" s="732"/>
      <c r="E498" s="733"/>
      <c r="F498" s="733"/>
    </row>
    <row r="499" spans="1:6" s="728" customFormat="1">
      <c r="A499" s="729">
        <v>3</v>
      </c>
      <c r="B499" s="730" t="s">
        <v>1844</v>
      </c>
      <c r="C499" s="731"/>
      <c r="D499" s="732"/>
      <c r="E499" s="733"/>
      <c r="F499" s="733">
        <f>F403</f>
        <v>24427.5</v>
      </c>
    </row>
    <row r="500" spans="1:6" s="728" customFormat="1">
      <c r="A500" s="729"/>
      <c r="B500" s="730"/>
      <c r="C500" s="731"/>
      <c r="D500" s="732"/>
      <c r="E500" s="733"/>
      <c r="F500" s="733"/>
    </row>
    <row r="501" spans="1:6" s="728" customFormat="1">
      <c r="A501" s="729">
        <v>4</v>
      </c>
      <c r="B501" s="730" t="s">
        <v>1876</v>
      </c>
      <c r="C501" s="731"/>
      <c r="D501" s="732"/>
      <c r="E501" s="733"/>
      <c r="F501" s="733">
        <f>F437</f>
        <v>6200.5</v>
      </c>
    </row>
    <row r="502" spans="1:6" s="728" customFormat="1">
      <c r="A502" s="729"/>
      <c r="B502" s="730"/>
      <c r="C502" s="731"/>
      <c r="D502" s="732"/>
      <c r="E502" s="733"/>
      <c r="F502" s="733"/>
    </row>
    <row r="503" spans="1:6" s="728" customFormat="1">
      <c r="A503" s="729">
        <v>5</v>
      </c>
      <c r="B503" s="730" t="s">
        <v>1889</v>
      </c>
      <c r="C503" s="731"/>
      <c r="D503" s="732"/>
      <c r="E503" s="733"/>
      <c r="F503" s="733">
        <f>F462</f>
        <v>15694.349999999999</v>
      </c>
    </row>
    <row r="504" spans="1:6">
      <c r="E504" s="733"/>
      <c r="F504" s="733"/>
    </row>
    <row r="505" spans="1:6" s="728" customFormat="1" ht="26.4">
      <c r="A505" s="729">
        <v>6</v>
      </c>
      <c r="B505" s="730" t="s">
        <v>1901</v>
      </c>
      <c r="C505" s="731"/>
      <c r="D505" s="732"/>
      <c r="E505" s="846"/>
      <c r="F505" s="846">
        <f>F487</f>
        <v>19975.5</v>
      </c>
    </row>
    <row r="506" spans="1:6">
      <c r="E506" s="733"/>
      <c r="F506" s="733"/>
    </row>
    <row r="507" spans="1:6" s="728" customFormat="1">
      <c r="A507" s="729">
        <v>7</v>
      </c>
      <c r="B507" s="730" t="s">
        <v>1914</v>
      </c>
      <c r="C507" s="731"/>
      <c r="D507" s="732"/>
      <c r="E507" s="733"/>
      <c r="F507" s="733">
        <f>F492</f>
        <v>5000</v>
      </c>
    </row>
    <row r="508" spans="1:6">
      <c r="E508" s="733"/>
    </row>
    <row r="509" spans="1:6">
      <c r="A509" s="716" t="s">
        <v>83</v>
      </c>
      <c r="B509" s="717"/>
      <c r="C509" s="718"/>
      <c r="D509" s="719"/>
      <c r="E509" s="1142">
        <f>SUM(F494:F508)</f>
        <v>282527.15000000002</v>
      </c>
      <c r="F509" s="1143"/>
    </row>
  </sheetData>
  <mergeCells count="2">
    <mergeCell ref="B3:E3"/>
    <mergeCell ref="E509:F509"/>
  </mergeCells>
  <pageMargins left="0.98425196850393704" right="0.39370078740157483" top="0.39370078740157483" bottom="0.39370078740157483" header="0.39370078740157483" footer="0"/>
  <pageSetup paperSize="9" scale="91" orientation="portrait" r:id="rId1"/>
  <headerFooter alignWithMargins="0">
    <oddHeader>&amp;R&amp;8&amp;P</oddHeader>
    <oddFooter>&amp;C&amp;8iC artprojekt d.o.o. Varaždinska, odvojak I, Jalkovec, Varaždin, tel: 042/314-466, fax: 042/314-465, e-mail: ic-artprojekt@ic-group.org</oddFooter>
  </headerFooter>
  <rowBreaks count="10" manualBreakCount="10">
    <brk id="161" max="5" man="1"/>
    <brk id="198" max="5" man="1"/>
    <brk id="259" max="5" man="1"/>
    <brk id="329" max="5" man="1"/>
    <brk id="405" max="16383" man="1"/>
    <brk id="437" max="5" man="1"/>
    <brk id="459" max="5" man="1"/>
    <brk id="462" max="5" man="1"/>
    <brk id="487" max="5" man="1"/>
    <brk id="492" max="5"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7643-3B1C-4930-A937-472A1EFFA751}">
  <dimension ref="A1:F47"/>
  <sheetViews>
    <sheetView topLeftCell="A36" zoomScaleNormal="100" workbookViewId="0">
      <selection activeCell="E28" sqref="E28"/>
    </sheetView>
  </sheetViews>
  <sheetFormatPr defaultColWidth="8.77734375" defaultRowHeight="13.8"/>
  <cols>
    <col min="1" max="1" width="6.5546875" style="693" customWidth="1"/>
    <col min="2" max="2" width="57.21875" style="644" customWidth="1"/>
    <col min="3" max="3" width="7.77734375" style="693" customWidth="1"/>
    <col min="4" max="4" width="10.21875" style="693" customWidth="1"/>
    <col min="5" max="5" width="13.21875" style="694" customWidth="1"/>
    <col min="6" max="6" width="10.33203125" style="694" bestFit="1" customWidth="1"/>
    <col min="7" max="16384" width="8.77734375" style="644"/>
  </cols>
  <sheetData>
    <row r="1" spans="1:6" s="634" customFormat="1" ht="27.6">
      <c r="A1" s="630" t="s">
        <v>1497</v>
      </c>
      <c r="B1" s="631" t="s">
        <v>1498</v>
      </c>
      <c r="C1" s="631" t="s">
        <v>1499</v>
      </c>
      <c r="D1" s="632" t="s">
        <v>1236</v>
      </c>
      <c r="E1" s="633" t="s">
        <v>1500</v>
      </c>
      <c r="F1" s="633" t="s">
        <v>1501</v>
      </c>
    </row>
    <row r="2" spans="1:6" s="302" customFormat="1">
      <c r="A2" s="635" t="s">
        <v>1502</v>
      </c>
      <c r="B2" s="636" t="s">
        <v>1503</v>
      </c>
      <c r="C2" s="637"/>
      <c r="D2" s="638"/>
      <c r="E2" s="639"/>
      <c r="F2" s="639"/>
    </row>
    <row r="3" spans="1:6" ht="151.80000000000001">
      <c r="A3" s="640" t="s">
        <v>1504</v>
      </c>
      <c r="B3" s="641" t="s">
        <v>1505</v>
      </c>
      <c r="C3" s="642" t="s">
        <v>31</v>
      </c>
      <c r="D3" s="642">
        <v>1</v>
      </c>
      <c r="E3" s="639">
        <v>1120</v>
      </c>
      <c r="F3" s="643">
        <f t="shared" ref="F3:F19" si="0">E3*D3</f>
        <v>1120</v>
      </c>
    </row>
    <row r="4" spans="1:6">
      <c r="A4" s="640" t="s">
        <v>1506</v>
      </c>
      <c r="B4" s="641" t="s">
        <v>1507</v>
      </c>
      <c r="C4" s="642" t="s">
        <v>31</v>
      </c>
      <c r="D4" s="642">
        <v>2</v>
      </c>
      <c r="E4" s="639">
        <v>41.2</v>
      </c>
      <c r="F4" s="643">
        <f t="shared" si="0"/>
        <v>82.4</v>
      </c>
    </row>
    <row r="5" spans="1:6" ht="27.6">
      <c r="A5" s="640" t="s">
        <v>1508</v>
      </c>
      <c r="B5" s="641" t="s">
        <v>1509</v>
      </c>
      <c r="C5" s="642" t="s">
        <v>31</v>
      </c>
      <c r="D5" s="642">
        <v>1</v>
      </c>
      <c r="E5" s="639">
        <v>265</v>
      </c>
      <c r="F5" s="643">
        <f t="shared" si="0"/>
        <v>265</v>
      </c>
    </row>
    <row r="6" spans="1:6" ht="41.4">
      <c r="A6" s="640" t="s">
        <v>1510</v>
      </c>
      <c r="B6" s="641" t="s">
        <v>1511</v>
      </c>
      <c r="C6" s="642" t="s">
        <v>31</v>
      </c>
      <c r="D6" s="642">
        <v>1</v>
      </c>
      <c r="E6" s="639">
        <v>507</v>
      </c>
      <c r="F6" s="643">
        <f t="shared" si="0"/>
        <v>507</v>
      </c>
    </row>
    <row r="7" spans="1:6" s="289" customFormat="1" ht="179.4">
      <c r="A7" s="640" t="s">
        <v>1512</v>
      </c>
      <c r="B7" s="645" t="s">
        <v>1513</v>
      </c>
      <c r="C7" s="637" t="s">
        <v>31</v>
      </c>
      <c r="D7" s="642">
        <v>1</v>
      </c>
      <c r="E7" s="639">
        <v>2010</v>
      </c>
      <c r="F7" s="643">
        <f t="shared" si="0"/>
        <v>2010</v>
      </c>
    </row>
    <row r="8" spans="1:6" ht="151.80000000000001">
      <c r="A8" s="640" t="s">
        <v>1514</v>
      </c>
      <c r="B8" s="646" t="s">
        <v>1515</v>
      </c>
      <c r="C8" s="642" t="s">
        <v>31</v>
      </c>
      <c r="D8" s="642">
        <v>62</v>
      </c>
      <c r="E8" s="639">
        <v>33.299999999999997</v>
      </c>
      <c r="F8" s="643">
        <f t="shared" si="0"/>
        <v>2064.6</v>
      </c>
    </row>
    <row r="9" spans="1:6" ht="220.8">
      <c r="A9" s="640" t="s">
        <v>1516</v>
      </c>
      <c r="B9" s="647" t="s">
        <v>1517</v>
      </c>
      <c r="C9" s="648" t="s">
        <v>31</v>
      </c>
      <c r="D9" s="642">
        <v>5</v>
      </c>
      <c r="E9" s="639">
        <v>150.1</v>
      </c>
      <c r="F9" s="643">
        <f t="shared" si="0"/>
        <v>750.5</v>
      </c>
    </row>
    <row r="10" spans="1:6" ht="234.6">
      <c r="A10" s="640" t="s">
        <v>1518</v>
      </c>
      <c r="B10" s="649" t="s">
        <v>1519</v>
      </c>
      <c r="C10" s="642" t="s">
        <v>31</v>
      </c>
      <c r="D10" s="642">
        <v>6</v>
      </c>
      <c r="E10" s="639">
        <v>52.7</v>
      </c>
      <c r="F10" s="643">
        <f t="shared" si="0"/>
        <v>316.20000000000005</v>
      </c>
    </row>
    <row r="11" spans="1:6" ht="55.2">
      <c r="A11" s="640" t="s">
        <v>1520</v>
      </c>
      <c r="B11" s="645" t="s">
        <v>1521</v>
      </c>
      <c r="C11" s="642" t="s">
        <v>31</v>
      </c>
      <c r="D11" s="642">
        <v>73</v>
      </c>
      <c r="E11" s="639">
        <v>3.7</v>
      </c>
      <c r="F11" s="643">
        <f t="shared" si="0"/>
        <v>270.10000000000002</v>
      </c>
    </row>
    <row r="12" spans="1:6">
      <c r="A12" s="640" t="s">
        <v>1522</v>
      </c>
      <c r="B12" s="645" t="s">
        <v>1523</v>
      </c>
      <c r="C12" s="642" t="s">
        <v>31</v>
      </c>
      <c r="D12" s="642">
        <v>22</v>
      </c>
      <c r="E12" s="639">
        <v>9.8000000000000007</v>
      </c>
      <c r="F12" s="643">
        <f t="shared" si="0"/>
        <v>215.60000000000002</v>
      </c>
    </row>
    <row r="13" spans="1:6" ht="124.2">
      <c r="A13" s="640" t="s">
        <v>1524</v>
      </c>
      <c r="B13" s="645" t="s">
        <v>1525</v>
      </c>
      <c r="C13" s="642" t="s">
        <v>31</v>
      </c>
      <c r="D13" s="642">
        <v>9</v>
      </c>
      <c r="E13" s="639">
        <v>66.5</v>
      </c>
      <c r="F13" s="643">
        <f t="shared" si="0"/>
        <v>598.5</v>
      </c>
    </row>
    <row r="14" spans="1:6" ht="55.2">
      <c r="A14" s="640" t="s">
        <v>1526</v>
      </c>
      <c r="B14" s="645" t="s">
        <v>1527</v>
      </c>
      <c r="C14" s="642" t="s">
        <v>31</v>
      </c>
      <c r="D14" s="642">
        <v>2</v>
      </c>
      <c r="E14" s="639">
        <v>105.7</v>
      </c>
      <c r="F14" s="643">
        <f t="shared" si="0"/>
        <v>211.4</v>
      </c>
    </row>
    <row r="15" spans="1:6" ht="110.4">
      <c r="A15" s="640" t="s">
        <v>1528</v>
      </c>
      <c r="B15" s="645" t="s">
        <v>1529</v>
      </c>
      <c r="C15" s="642" t="s">
        <v>31</v>
      </c>
      <c r="D15" s="642">
        <v>9</v>
      </c>
      <c r="E15" s="639">
        <v>46.25</v>
      </c>
      <c r="F15" s="643">
        <f t="shared" si="0"/>
        <v>416.25</v>
      </c>
    </row>
    <row r="16" spans="1:6" ht="55.2">
      <c r="A16" s="640" t="s">
        <v>1530</v>
      </c>
      <c r="B16" s="645" t="s">
        <v>1531</v>
      </c>
      <c r="C16" s="642" t="s">
        <v>31</v>
      </c>
      <c r="D16" s="642">
        <v>1</v>
      </c>
      <c r="E16" s="639">
        <v>191.45</v>
      </c>
      <c r="F16" s="643">
        <f t="shared" si="0"/>
        <v>191.45</v>
      </c>
    </row>
    <row r="17" spans="1:6" ht="69">
      <c r="A17" s="640" t="s">
        <v>1532</v>
      </c>
      <c r="B17" s="645" t="s">
        <v>1533</v>
      </c>
      <c r="C17" s="642" t="s">
        <v>31</v>
      </c>
      <c r="D17" s="642">
        <v>2</v>
      </c>
      <c r="E17" s="639">
        <v>96</v>
      </c>
      <c r="F17" s="643">
        <f t="shared" si="0"/>
        <v>192</v>
      </c>
    </row>
    <row r="18" spans="1:6" s="302" customFormat="1">
      <c r="A18" s="640" t="s">
        <v>1534</v>
      </c>
      <c r="B18" s="645" t="s">
        <v>1535</v>
      </c>
      <c r="C18" s="642" t="s">
        <v>31</v>
      </c>
      <c r="D18" s="642">
        <v>1</v>
      </c>
      <c r="E18" s="639">
        <v>41.4</v>
      </c>
      <c r="F18" s="643">
        <f t="shared" si="0"/>
        <v>41.4</v>
      </c>
    </row>
    <row r="19" spans="1:6" s="302" customFormat="1" ht="27.6">
      <c r="A19" s="640" t="s">
        <v>1536</v>
      </c>
      <c r="B19" s="645" t="s">
        <v>1537</v>
      </c>
      <c r="C19" s="642" t="s">
        <v>31</v>
      </c>
      <c r="D19" s="642">
        <v>6</v>
      </c>
      <c r="E19" s="639">
        <v>9.1999999999999993</v>
      </c>
      <c r="F19" s="643">
        <f t="shared" si="0"/>
        <v>55.199999999999996</v>
      </c>
    </row>
    <row r="20" spans="1:6" s="302" customFormat="1">
      <c r="A20" s="650" t="s">
        <v>1502</v>
      </c>
      <c r="B20" s="651" t="s">
        <v>1538</v>
      </c>
      <c r="C20" s="652"/>
      <c r="D20" s="653"/>
      <c r="E20" s="654"/>
      <c r="F20" s="655">
        <f>SUM(F3:F19)</f>
        <v>9307.6000000000022</v>
      </c>
    </row>
    <row r="21" spans="1:6" s="302" customFormat="1">
      <c r="A21" s="635" t="s">
        <v>1539</v>
      </c>
      <c r="B21" s="636" t="s">
        <v>1503</v>
      </c>
      <c r="C21" s="637"/>
      <c r="D21" s="638"/>
      <c r="E21" s="639"/>
      <c r="F21" s="639"/>
    </row>
    <row r="22" spans="1:6" s="302" customFormat="1" ht="27.6">
      <c r="A22" s="640" t="s">
        <v>1540</v>
      </c>
      <c r="B22" s="656" t="s">
        <v>1541</v>
      </c>
      <c r="C22" s="657" t="s">
        <v>214</v>
      </c>
      <c r="D22" s="658">
        <v>1500</v>
      </c>
      <c r="E22" s="659">
        <v>1.95</v>
      </c>
      <c r="F22" s="659">
        <f>E22*D22</f>
        <v>2925</v>
      </c>
    </row>
    <row r="23" spans="1:6" s="302" customFormat="1" ht="27.6">
      <c r="A23" s="640" t="s">
        <v>1542</v>
      </c>
      <c r="B23" s="656" t="s">
        <v>2340</v>
      </c>
      <c r="C23" s="657" t="s">
        <v>214</v>
      </c>
      <c r="D23" s="658">
        <v>100</v>
      </c>
      <c r="E23" s="660">
        <v>2.6</v>
      </c>
      <c r="F23" s="639">
        <f>E23*D23</f>
        <v>260</v>
      </c>
    </row>
    <row r="24" spans="1:6" s="302" customFormat="1" ht="27.6">
      <c r="A24" s="640" t="s">
        <v>1543</v>
      </c>
      <c r="B24" s="656" t="s">
        <v>1544</v>
      </c>
      <c r="C24" s="657" t="s">
        <v>214</v>
      </c>
      <c r="D24" s="658">
        <v>100</v>
      </c>
      <c r="E24" s="660">
        <v>2.9</v>
      </c>
      <c r="F24" s="639">
        <f>E24*D24</f>
        <v>290</v>
      </c>
    </row>
    <row r="25" spans="1:6" s="302" customFormat="1" ht="41.4">
      <c r="A25" s="640" t="s">
        <v>1545</v>
      </c>
      <c r="B25" s="661" t="s">
        <v>1546</v>
      </c>
      <c r="C25" s="637" t="s">
        <v>214</v>
      </c>
      <c r="D25" s="638">
        <v>1700</v>
      </c>
      <c r="E25" s="639">
        <v>4.3</v>
      </c>
      <c r="F25" s="639">
        <f>E25*D25</f>
        <v>7310</v>
      </c>
    </row>
    <row r="26" spans="1:6" s="302" customFormat="1" ht="27.6">
      <c r="A26" s="640" t="s">
        <v>1547</v>
      </c>
      <c r="B26" s="661" t="s">
        <v>1548</v>
      </c>
      <c r="C26" s="637"/>
      <c r="D26" s="638"/>
      <c r="E26" s="659"/>
      <c r="F26" s="639"/>
    </row>
    <row r="27" spans="1:6" s="302" customFormat="1" ht="80.55" customHeight="1">
      <c r="A27" s="640"/>
      <c r="B27" s="661" t="s">
        <v>1549</v>
      </c>
      <c r="C27" s="637"/>
      <c r="D27" s="638"/>
      <c r="E27" s="659"/>
      <c r="F27" s="639"/>
    </row>
    <row r="28" spans="1:6" s="302" customFormat="1" ht="15.6">
      <c r="A28" s="640"/>
      <c r="B28" s="661" t="s">
        <v>1550</v>
      </c>
      <c r="C28" s="637" t="s">
        <v>31</v>
      </c>
      <c r="D28" s="638">
        <v>5</v>
      </c>
      <c r="E28" s="659">
        <v>250</v>
      </c>
      <c r="F28" s="639">
        <f>E28*D28</f>
        <v>1250</v>
      </c>
    </row>
    <row r="29" spans="1:6" s="302" customFormat="1">
      <c r="A29" s="635" t="s">
        <v>1539</v>
      </c>
      <c r="B29" s="662" t="s">
        <v>1551</v>
      </c>
      <c r="C29" s="663"/>
      <c r="D29" s="664"/>
      <c r="E29" s="654"/>
      <c r="F29" s="665">
        <f>SUM(F22:F28)</f>
        <v>12035</v>
      </c>
    </row>
    <row r="30" spans="1:6" s="302" customFormat="1">
      <c r="A30" s="640" t="s">
        <v>1552</v>
      </c>
      <c r="B30" s="666" t="s">
        <v>1553</v>
      </c>
      <c r="C30" s="657"/>
      <c r="D30" s="658"/>
      <c r="E30" s="667"/>
      <c r="F30" s="668"/>
    </row>
    <row r="31" spans="1:6" s="285" customFormat="1">
      <c r="A31" s="669" t="s">
        <v>1554</v>
      </c>
      <c r="B31" s="645" t="s">
        <v>1555</v>
      </c>
      <c r="C31" s="637" t="s">
        <v>31</v>
      </c>
      <c r="D31" s="670">
        <v>1</v>
      </c>
      <c r="E31" s="1117">
        <v>30</v>
      </c>
      <c r="F31" s="671">
        <f t="shared" ref="F31:F41" si="1">E31*D31</f>
        <v>30</v>
      </c>
    </row>
    <row r="32" spans="1:6" s="289" customFormat="1">
      <c r="A32" s="669" t="s">
        <v>1556</v>
      </c>
      <c r="B32" s="645" t="s">
        <v>1557</v>
      </c>
      <c r="C32" s="637" t="s">
        <v>31</v>
      </c>
      <c r="D32" s="670">
        <v>73</v>
      </c>
      <c r="E32" s="671">
        <v>23</v>
      </c>
      <c r="F32" s="671">
        <f t="shared" si="1"/>
        <v>1679</v>
      </c>
    </row>
    <row r="33" spans="1:6" s="289" customFormat="1" ht="27.6">
      <c r="A33" s="669" t="s">
        <v>1558</v>
      </c>
      <c r="B33" s="645" t="s">
        <v>1559</v>
      </c>
      <c r="C33" s="637" t="s">
        <v>31</v>
      </c>
      <c r="D33" s="670">
        <v>9</v>
      </c>
      <c r="E33" s="671">
        <v>18</v>
      </c>
      <c r="F33" s="671">
        <f t="shared" si="1"/>
        <v>162</v>
      </c>
    </row>
    <row r="34" spans="1:6" s="289" customFormat="1">
      <c r="A34" s="669" t="s">
        <v>1560</v>
      </c>
      <c r="B34" s="645" t="s">
        <v>1561</v>
      </c>
      <c r="C34" s="637" t="s">
        <v>31</v>
      </c>
      <c r="D34" s="670">
        <v>11</v>
      </c>
      <c r="E34" s="671">
        <v>18</v>
      </c>
      <c r="F34" s="671">
        <f t="shared" si="1"/>
        <v>198</v>
      </c>
    </row>
    <row r="35" spans="1:6" s="289" customFormat="1">
      <c r="A35" s="669" t="s">
        <v>1562</v>
      </c>
      <c r="B35" s="645" t="s">
        <v>1563</v>
      </c>
      <c r="C35" s="637" t="s">
        <v>31</v>
      </c>
      <c r="D35" s="670">
        <v>3</v>
      </c>
      <c r="E35" s="671">
        <v>23</v>
      </c>
      <c r="F35" s="671">
        <f t="shared" si="1"/>
        <v>69</v>
      </c>
    </row>
    <row r="36" spans="1:6" s="289" customFormat="1" ht="41.4">
      <c r="A36" s="669" t="s">
        <v>1564</v>
      </c>
      <c r="B36" s="645" t="s">
        <v>1565</v>
      </c>
      <c r="C36" s="637" t="s">
        <v>213</v>
      </c>
      <c r="D36" s="670">
        <v>1</v>
      </c>
      <c r="E36" s="671">
        <v>550</v>
      </c>
      <c r="F36" s="671">
        <f t="shared" si="1"/>
        <v>550</v>
      </c>
    </row>
    <row r="37" spans="1:6" s="25" customFormat="1" ht="41.4">
      <c r="A37" s="669" t="s">
        <v>1566</v>
      </c>
      <c r="B37" s="645" t="s">
        <v>1567</v>
      </c>
      <c r="C37" s="637" t="s">
        <v>213</v>
      </c>
      <c r="D37" s="670">
        <v>1</v>
      </c>
      <c r="E37" s="671">
        <v>580</v>
      </c>
      <c r="F37" s="671">
        <f t="shared" si="1"/>
        <v>580</v>
      </c>
    </row>
    <row r="38" spans="1:6" s="289" customFormat="1" ht="41.4">
      <c r="A38" s="669" t="s">
        <v>1568</v>
      </c>
      <c r="B38" s="645" t="s">
        <v>1569</v>
      </c>
      <c r="C38" s="637" t="s">
        <v>31</v>
      </c>
      <c r="D38" s="670">
        <v>1</v>
      </c>
      <c r="E38" s="671">
        <v>30</v>
      </c>
      <c r="F38" s="671">
        <f t="shared" si="1"/>
        <v>30</v>
      </c>
    </row>
    <row r="39" spans="1:6" s="289" customFormat="1" ht="27.6">
      <c r="A39" s="669" t="s">
        <v>1570</v>
      </c>
      <c r="B39" s="645" t="s">
        <v>1571</v>
      </c>
      <c r="C39" s="637" t="s">
        <v>31</v>
      </c>
      <c r="D39" s="670">
        <v>1</v>
      </c>
      <c r="E39" s="671">
        <v>950</v>
      </c>
      <c r="F39" s="671">
        <f t="shared" si="1"/>
        <v>950</v>
      </c>
    </row>
    <row r="40" spans="1:6" s="289" customFormat="1" ht="27.6">
      <c r="A40" s="669" t="s">
        <v>1572</v>
      </c>
      <c r="B40" s="645" t="s">
        <v>1573</v>
      </c>
      <c r="C40" s="637" t="s">
        <v>31</v>
      </c>
      <c r="D40" s="670">
        <v>1</v>
      </c>
      <c r="E40" s="671">
        <v>85</v>
      </c>
      <c r="F40" s="671">
        <f t="shared" si="1"/>
        <v>85</v>
      </c>
    </row>
    <row r="41" spans="1:6" s="289" customFormat="1" ht="27.6">
      <c r="A41" s="669" t="s">
        <v>1574</v>
      </c>
      <c r="B41" s="645" t="s">
        <v>1575</v>
      </c>
      <c r="C41" s="637" t="s">
        <v>31</v>
      </c>
      <c r="D41" s="670">
        <v>1</v>
      </c>
      <c r="E41" s="671">
        <v>580</v>
      </c>
      <c r="F41" s="671">
        <f t="shared" si="1"/>
        <v>580</v>
      </c>
    </row>
    <row r="42" spans="1:6">
      <c r="A42" s="672" t="s">
        <v>1552</v>
      </c>
      <c r="B42" s="673" t="s">
        <v>1576</v>
      </c>
      <c r="C42" s="674"/>
      <c r="D42" s="675"/>
      <c r="E42" s="676"/>
      <c r="F42" s="677">
        <f>SUM(F31:F41)</f>
        <v>4913</v>
      </c>
    </row>
    <row r="43" spans="1:6">
      <c r="A43" s="678"/>
      <c r="B43" s="679" t="s">
        <v>1577</v>
      </c>
      <c r="C43" s="680"/>
      <c r="D43" s="681"/>
      <c r="E43" s="682"/>
      <c r="F43" s="683"/>
    </row>
    <row r="44" spans="1:6">
      <c r="A44" s="684" t="s">
        <v>1502</v>
      </c>
      <c r="B44" s="685" t="s">
        <v>259</v>
      </c>
      <c r="C44" s="680"/>
      <c r="D44" s="681"/>
      <c r="E44" s="682"/>
      <c r="F44" s="686">
        <f>F20</f>
        <v>9307.6000000000022</v>
      </c>
    </row>
    <row r="45" spans="1:6">
      <c r="A45" s="684" t="s">
        <v>1539</v>
      </c>
      <c r="B45" s="685" t="s">
        <v>1578</v>
      </c>
      <c r="C45" s="680"/>
      <c r="D45" s="681"/>
      <c r="E45" s="682"/>
      <c r="F45" s="686">
        <f>F29</f>
        <v>12035</v>
      </c>
    </row>
    <row r="46" spans="1:6">
      <c r="A46" s="684" t="s">
        <v>1552</v>
      </c>
      <c r="B46" s="685" t="s">
        <v>1579</v>
      </c>
      <c r="C46" s="680"/>
      <c r="D46" s="681"/>
      <c r="E46" s="682"/>
      <c r="F46" s="686">
        <f>F42</f>
        <v>4913</v>
      </c>
    </row>
    <row r="47" spans="1:6">
      <c r="A47" s="687"/>
      <c r="B47" s="688" t="s">
        <v>1580</v>
      </c>
      <c r="C47" s="689"/>
      <c r="D47" s="690"/>
      <c r="E47" s="691"/>
      <c r="F47" s="692">
        <f>SUM(F44:F46)</f>
        <v>26255.600000000002</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F729-1FBF-47C5-9D5D-F8B809B7550E}">
  <dimension ref="A1:F157"/>
  <sheetViews>
    <sheetView showZeros="0" topLeftCell="A146" zoomScaleNormal="100" zoomScaleSheetLayoutView="115" workbookViewId="0">
      <selection activeCell="E104" sqref="E104:E150"/>
    </sheetView>
  </sheetViews>
  <sheetFormatPr defaultColWidth="8.88671875" defaultRowHeight="13.8"/>
  <cols>
    <col min="1" max="1" width="6.77734375" style="1019" customWidth="1"/>
    <col min="2" max="2" width="42.77734375" style="1031" customWidth="1"/>
    <col min="3" max="3" width="6.77734375" style="1032" customWidth="1"/>
    <col min="4" max="4" width="6.77734375" style="1033" customWidth="1"/>
    <col min="5" max="5" width="11.77734375" style="1034" customWidth="1"/>
    <col min="6" max="6" width="11.77734375" style="1035" customWidth="1"/>
  </cols>
  <sheetData>
    <row r="1" spans="1:6" s="1024" customFormat="1" ht="13.2" customHeight="1">
      <c r="A1" s="1019"/>
      <c r="B1" s="1020" t="s">
        <v>1581</v>
      </c>
      <c r="C1" s="1021"/>
      <c r="D1" s="1022"/>
      <c r="E1" s="1023"/>
      <c r="F1" s="1023"/>
    </row>
    <row r="2" spans="1:6" s="1030" customFormat="1" ht="13.2" customHeight="1">
      <c r="A2" s="1025" t="s">
        <v>141</v>
      </c>
      <c r="B2" s="1026" t="s">
        <v>216</v>
      </c>
      <c r="C2" s="1027" t="s">
        <v>215</v>
      </c>
      <c r="D2" s="1028" t="s">
        <v>142</v>
      </c>
      <c r="E2" s="1029" t="s">
        <v>845</v>
      </c>
      <c r="F2" s="1029" t="s">
        <v>846</v>
      </c>
    </row>
    <row r="3" spans="1:6" ht="30" customHeight="1">
      <c r="A3" s="1019" t="s">
        <v>0</v>
      </c>
    </row>
    <row r="4" spans="1:6" ht="30" customHeight="1">
      <c r="A4" s="1036" t="s">
        <v>1582</v>
      </c>
      <c r="B4" s="1037"/>
      <c r="C4" s="1037"/>
      <c r="D4" s="1037"/>
      <c r="E4" s="1037"/>
      <c r="F4" s="1038"/>
    </row>
    <row r="5" spans="1:6" ht="12.75" customHeight="1">
      <c r="A5" s="1039"/>
      <c r="B5" s="1149"/>
      <c r="C5" s="1149"/>
      <c r="D5" s="1149"/>
      <c r="E5" s="1149"/>
      <c r="F5" s="1149"/>
    </row>
    <row r="6" spans="1:6" ht="40.5" customHeight="1">
      <c r="A6" s="1039"/>
      <c r="B6" s="1150" t="s">
        <v>1583</v>
      </c>
      <c r="C6" s="1150"/>
      <c r="D6" s="1150"/>
      <c r="E6" s="1150"/>
      <c r="F6" s="1150"/>
    </row>
    <row r="7" spans="1:6" ht="69" customHeight="1">
      <c r="A7" s="1039"/>
      <c r="B7" s="1150" t="s">
        <v>1584</v>
      </c>
      <c r="C7" s="1150"/>
      <c r="D7" s="1150"/>
      <c r="E7" s="1150"/>
      <c r="F7" s="1150"/>
    </row>
    <row r="8" spans="1:6" ht="103.5" customHeight="1">
      <c r="A8" s="1039"/>
      <c r="B8" s="1150" t="s">
        <v>1585</v>
      </c>
      <c r="C8" s="1150"/>
      <c r="D8" s="1150"/>
      <c r="E8" s="1150"/>
      <c r="F8" s="1150"/>
    </row>
    <row r="9" spans="1:6" ht="28.5" customHeight="1">
      <c r="A9" s="1039"/>
      <c r="B9" s="1150" t="s">
        <v>1586</v>
      </c>
      <c r="C9" s="1150"/>
      <c r="D9" s="1150"/>
      <c r="E9" s="1150"/>
      <c r="F9" s="1150"/>
    </row>
    <row r="10" spans="1:6" ht="69.75" customHeight="1">
      <c r="A10" s="1039"/>
      <c r="B10" s="1150" t="s">
        <v>1587</v>
      </c>
      <c r="C10" s="1150"/>
      <c r="D10" s="1150"/>
      <c r="E10" s="1150"/>
      <c r="F10" s="1150"/>
    </row>
    <row r="11" spans="1:6" ht="30" customHeight="1">
      <c r="A11" s="1039"/>
      <c r="B11" s="1150" t="s">
        <v>1588</v>
      </c>
      <c r="C11" s="1150"/>
      <c r="D11" s="1150"/>
      <c r="E11" s="1150"/>
      <c r="F11" s="1150"/>
    </row>
    <row r="12" spans="1:6" ht="13.2">
      <c r="A12" s="1039"/>
      <c r="B12" s="1040"/>
      <c r="C12" s="1041"/>
      <c r="D12" s="1041"/>
      <c r="E12" s="1041"/>
      <c r="F12" s="1042"/>
    </row>
    <row r="13" spans="1:6">
      <c r="A13" s="1043"/>
      <c r="B13" s="1044" t="s">
        <v>1582</v>
      </c>
      <c r="C13" s="1045"/>
      <c r="D13" s="1046"/>
      <c r="E13" s="1047"/>
      <c r="F13" s="1048"/>
    </row>
    <row r="14" spans="1:6">
      <c r="A14" s="1043"/>
      <c r="B14" s="1049"/>
      <c r="C14" s="1045"/>
      <c r="D14" s="1046"/>
      <c r="E14" s="1047"/>
      <c r="F14" s="1048"/>
    </row>
    <row r="15" spans="1:6" ht="28.5" customHeight="1">
      <c r="A15" s="1050" t="s">
        <v>8</v>
      </c>
      <c r="B15" s="1144" t="s">
        <v>1589</v>
      </c>
      <c r="C15" s="1144"/>
      <c r="D15" s="1144"/>
      <c r="E15" s="1144"/>
      <c r="F15" s="1144"/>
    </row>
    <row r="16" spans="1:6">
      <c r="A16" s="1050"/>
      <c r="B16" s="1049"/>
      <c r="C16" s="1051"/>
      <c r="D16" s="1052"/>
      <c r="E16" s="1053"/>
      <c r="F16" s="1048"/>
    </row>
    <row r="17" spans="1:6" ht="15" customHeight="1">
      <c r="A17" s="1050" t="s">
        <v>11</v>
      </c>
      <c r="B17" s="1144" t="s">
        <v>1590</v>
      </c>
      <c r="C17" s="1144"/>
      <c r="D17" s="1144"/>
      <c r="E17" s="1144"/>
      <c r="F17" s="1144"/>
    </row>
    <row r="18" spans="1:6" ht="30" customHeight="1">
      <c r="A18" s="1050"/>
      <c r="B18" s="1144" t="s">
        <v>1591</v>
      </c>
      <c r="C18" s="1144"/>
      <c r="D18" s="1144"/>
      <c r="E18" s="1144"/>
      <c r="F18" s="1144"/>
    </row>
    <row r="19" spans="1:6">
      <c r="A19" s="1050"/>
      <c r="B19" s="1049"/>
      <c r="C19" s="1051"/>
      <c r="D19" s="1052"/>
      <c r="E19" s="1053"/>
      <c r="F19" s="1048"/>
    </row>
    <row r="20" spans="1:6" ht="27.75" customHeight="1">
      <c r="A20" s="1050" t="s">
        <v>12</v>
      </c>
      <c r="B20" s="1144" t="s">
        <v>1592</v>
      </c>
      <c r="C20" s="1144"/>
      <c r="D20" s="1144"/>
      <c r="E20" s="1144"/>
      <c r="F20" s="1144"/>
    </row>
    <row r="21" spans="1:6">
      <c r="A21" s="1050"/>
      <c r="B21" s="1049"/>
      <c r="C21" s="1051"/>
      <c r="D21" s="1052"/>
      <c r="E21" s="1053"/>
      <c r="F21" s="1048"/>
    </row>
    <row r="22" spans="1:6" ht="15" customHeight="1">
      <c r="A22" s="1050" t="s">
        <v>16</v>
      </c>
      <c r="B22" s="1144" t="s">
        <v>1593</v>
      </c>
      <c r="C22" s="1144"/>
      <c r="D22" s="1144"/>
      <c r="E22" s="1144"/>
      <c r="F22" s="1144"/>
    </row>
    <row r="23" spans="1:6" ht="12.75" customHeight="1">
      <c r="A23" s="1050"/>
      <c r="B23" s="1144" t="s">
        <v>1594</v>
      </c>
      <c r="C23" s="1144"/>
      <c r="D23" s="1144"/>
      <c r="E23" s="1144"/>
      <c r="F23" s="1144"/>
    </row>
    <row r="24" spans="1:6">
      <c r="A24" s="1050"/>
      <c r="B24" s="1049"/>
      <c r="C24" s="1051"/>
      <c r="D24" s="1052"/>
      <c r="E24" s="1053"/>
      <c r="F24" s="1048"/>
    </row>
    <row r="25" spans="1:6" ht="39.75" customHeight="1">
      <c r="A25" s="1050" t="s">
        <v>18</v>
      </c>
      <c r="B25" s="1144" t="s">
        <v>1595</v>
      </c>
      <c r="C25" s="1144"/>
      <c r="D25" s="1144"/>
      <c r="E25" s="1144"/>
      <c r="F25" s="1144"/>
    </row>
    <row r="26" spans="1:6">
      <c r="A26" s="1050"/>
      <c r="B26" s="1049"/>
      <c r="C26" s="1051"/>
      <c r="D26" s="1052"/>
      <c r="E26" s="1053"/>
      <c r="F26" s="1048"/>
    </row>
    <row r="27" spans="1:6" ht="25.5" customHeight="1">
      <c r="A27" s="1050" t="s">
        <v>23</v>
      </c>
      <c r="B27" s="1144" t="s">
        <v>1596</v>
      </c>
      <c r="C27" s="1144"/>
      <c r="D27" s="1144"/>
      <c r="E27" s="1144"/>
      <c r="F27" s="1144"/>
    </row>
    <row r="28" spans="1:6">
      <c r="A28" s="1050"/>
      <c r="B28" s="1049"/>
      <c r="C28" s="1051"/>
      <c r="D28" s="1052"/>
      <c r="E28" s="1053"/>
      <c r="F28" s="1048"/>
    </row>
    <row r="29" spans="1:6" ht="31.5" customHeight="1">
      <c r="A29" s="1050" t="s">
        <v>32</v>
      </c>
      <c r="B29" s="1144" t="s">
        <v>1597</v>
      </c>
      <c r="C29" s="1144"/>
      <c r="D29" s="1144"/>
      <c r="E29" s="1144"/>
      <c r="F29" s="1144"/>
    </row>
    <row r="30" spans="1:6" ht="27.75" customHeight="1">
      <c r="A30" s="1050"/>
      <c r="B30" s="1144" t="s">
        <v>1598</v>
      </c>
      <c r="C30" s="1144"/>
      <c r="D30" s="1144"/>
      <c r="E30" s="1144"/>
      <c r="F30" s="1144"/>
    </row>
    <row r="31" spans="1:6">
      <c r="A31" s="1050"/>
      <c r="B31" s="1049"/>
      <c r="C31" s="1051"/>
      <c r="D31" s="1052"/>
      <c r="E31" s="1053"/>
      <c r="F31" s="1048"/>
    </row>
    <row r="32" spans="1:6" ht="14.25" customHeight="1">
      <c r="A32" s="1050" t="s">
        <v>34</v>
      </c>
      <c r="B32" s="1144" t="s">
        <v>1599</v>
      </c>
      <c r="C32" s="1144"/>
      <c r="D32" s="1144"/>
      <c r="E32" s="1144"/>
      <c r="F32" s="1144"/>
    </row>
    <row r="33" spans="1:6">
      <c r="A33" s="1050"/>
      <c r="B33" s="1049"/>
      <c r="C33" s="1051"/>
      <c r="D33" s="1052"/>
      <c r="E33" s="1053"/>
      <c r="F33" s="1048"/>
    </row>
    <row r="34" spans="1:6" ht="25.5" customHeight="1">
      <c r="A34" s="1050" t="s">
        <v>35</v>
      </c>
      <c r="B34" s="1144" t="s">
        <v>1600</v>
      </c>
      <c r="C34" s="1144"/>
      <c r="D34" s="1144"/>
      <c r="E34" s="1144"/>
      <c r="F34" s="1144"/>
    </row>
    <row r="35" spans="1:6" ht="38.25" customHeight="1">
      <c r="A35" s="1050"/>
      <c r="B35" s="1144" t="s">
        <v>1601</v>
      </c>
      <c r="C35" s="1144"/>
      <c r="D35" s="1144"/>
      <c r="E35" s="1144"/>
      <c r="F35" s="1144"/>
    </row>
    <row r="36" spans="1:6" ht="37.5" customHeight="1">
      <c r="A36" s="1050"/>
      <c r="B36" s="1148" t="s">
        <v>1602</v>
      </c>
      <c r="C36" s="1148"/>
      <c r="D36" s="1148"/>
      <c r="E36" s="1148"/>
      <c r="F36" s="1148"/>
    </row>
    <row r="37" spans="1:6" ht="38.25" customHeight="1">
      <c r="A37" s="1050"/>
      <c r="B37" s="1148" t="s">
        <v>1603</v>
      </c>
      <c r="C37" s="1148"/>
      <c r="D37" s="1148"/>
      <c r="E37" s="1148"/>
      <c r="F37" s="1148"/>
    </row>
    <row r="38" spans="1:6" ht="51" customHeight="1">
      <c r="A38" s="1050"/>
      <c r="B38" s="1148" t="s">
        <v>1604</v>
      </c>
      <c r="C38" s="1148"/>
      <c r="D38" s="1148"/>
      <c r="E38" s="1148"/>
      <c r="F38" s="1148"/>
    </row>
    <row r="39" spans="1:6">
      <c r="A39" s="1050"/>
      <c r="B39" s="1054"/>
      <c r="C39" s="1054"/>
      <c r="D39" s="1055"/>
      <c r="E39" s="1056"/>
      <c r="F39" s="1048"/>
    </row>
    <row r="40" spans="1:6" ht="12.75" customHeight="1">
      <c r="A40" s="1050"/>
      <c r="B40" s="1144" t="s">
        <v>1605</v>
      </c>
      <c r="C40" s="1144"/>
      <c r="D40" s="1144"/>
      <c r="E40" s="1144"/>
      <c r="F40" s="1144"/>
    </row>
    <row r="41" spans="1:6">
      <c r="A41" s="1050"/>
      <c r="B41" s="1049"/>
      <c r="C41" s="1057"/>
      <c r="D41" s="1052"/>
      <c r="E41" s="1053"/>
      <c r="F41" s="1048"/>
    </row>
    <row r="42" spans="1:6" ht="26.25" customHeight="1">
      <c r="A42" s="1050" t="s">
        <v>252</v>
      </c>
      <c r="B42" s="1144" t="s">
        <v>1606</v>
      </c>
      <c r="C42" s="1144"/>
      <c r="D42" s="1144"/>
      <c r="E42" s="1144"/>
      <c r="F42" s="1144"/>
    </row>
    <row r="43" spans="1:6">
      <c r="A43" s="1050"/>
      <c r="B43" s="1147" t="s">
        <v>1607</v>
      </c>
      <c r="C43" s="1147"/>
      <c r="D43" s="1147"/>
      <c r="E43" s="1147"/>
      <c r="F43" s="1147"/>
    </row>
    <row r="44" spans="1:6">
      <c r="A44" s="1050"/>
      <c r="B44" s="1049"/>
      <c r="C44" s="1051"/>
      <c r="D44" s="1052"/>
      <c r="E44" s="1053"/>
      <c r="F44" s="1048"/>
    </row>
    <row r="45" spans="1:6">
      <c r="A45" s="1050">
        <v>11</v>
      </c>
      <c r="B45" s="1147" t="s">
        <v>1608</v>
      </c>
      <c r="C45" s="1147"/>
      <c r="D45" s="1147"/>
      <c r="E45" s="1147"/>
      <c r="F45" s="1147"/>
    </row>
    <row r="46" spans="1:6" ht="25.5" customHeight="1">
      <c r="A46" s="1050"/>
      <c r="B46" s="1144" t="s">
        <v>1609</v>
      </c>
      <c r="C46" s="1144"/>
      <c r="D46" s="1144"/>
      <c r="E46" s="1144"/>
      <c r="F46" s="1144"/>
    </row>
    <row r="47" spans="1:6" ht="26.25" customHeight="1">
      <c r="A47" s="1050"/>
      <c r="B47" s="1144" t="s">
        <v>1610</v>
      </c>
      <c r="C47" s="1144"/>
      <c r="D47" s="1144"/>
      <c r="E47" s="1144"/>
      <c r="F47" s="1144"/>
    </row>
    <row r="48" spans="1:6">
      <c r="A48" s="1058"/>
      <c r="B48" s="1059"/>
      <c r="C48" s="1060"/>
      <c r="D48" s="1061"/>
      <c r="E48" s="1053"/>
      <c r="F48" s="1062"/>
    </row>
    <row r="49" spans="1:6" ht="27.75" customHeight="1">
      <c r="A49" s="1050" t="s">
        <v>267</v>
      </c>
      <c r="B49" s="1144" t="s">
        <v>1611</v>
      </c>
      <c r="C49" s="1144"/>
      <c r="D49" s="1144"/>
      <c r="E49" s="1144"/>
      <c r="F49" s="1144"/>
    </row>
    <row r="50" spans="1:6" ht="26.25" customHeight="1">
      <c r="A50" s="1050"/>
      <c r="B50" s="1144" t="s">
        <v>1612</v>
      </c>
      <c r="C50" s="1144"/>
      <c r="D50" s="1144"/>
      <c r="E50" s="1144"/>
      <c r="F50" s="1144"/>
    </row>
    <row r="51" spans="1:6">
      <c r="A51" s="1050"/>
      <c r="B51" s="1049"/>
      <c r="C51" s="1051"/>
      <c r="D51" s="1052"/>
      <c r="E51" s="1053"/>
      <c r="F51" s="1048"/>
    </row>
    <row r="52" spans="1:6" ht="26.25" customHeight="1">
      <c r="A52" s="1050" t="s">
        <v>338</v>
      </c>
      <c r="B52" s="1144" t="s">
        <v>1613</v>
      </c>
      <c r="C52" s="1144"/>
      <c r="D52" s="1144"/>
      <c r="E52" s="1144"/>
      <c r="F52" s="1144"/>
    </row>
    <row r="53" spans="1:6">
      <c r="A53" s="1050"/>
      <c r="B53" s="1049"/>
      <c r="C53" s="1051"/>
      <c r="D53" s="1052"/>
      <c r="E53" s="1053"/>
      <c r="F53" s="1048"/>
    </row>
    <row r="54" spans="1:6" ht="27.75" customHeight="1">
      <c r="A54" s="1050" t="s">
        <v>339</v>
      </c>
      <c r="B54" s="1144" t="s">
        <v>1614</v>
      </c>
      <c r="C54" s="1144"/>
      <c r="D54" s="1144"/>
      <c r="E54" s="1144"/>
      <c r="F54" s="1144"/>
    </row>
    <row r="55" spans="1:6">
      <c r="A55" s="1050"/>
      <c r="B55" s="1049"/>
      <c r="C55" s="1051"/>
      <c r="D55" s="1052"/>
      <c r="E55" s="1053"/>
      <c r="F55" s="1048"/>
    </row>
    <row r="56" spans="1:6" ht="27" customHeight="1">
      <c r="A56" s="1050" t="s">
        <v>386</v>
      </c>
      <c r="B56" s="1144" t="s">
        <v>1615</v>
      </c>
      <c r="C56" s="1144"/>
      <c r="D56" s="1144"/>
      <c r="E56" s="1144"/>
      <c r="F56" s="1144"/>
    </row>
    <row r="57" spans="1:6">
      <c r="A57" s="1050"/>
      <c r="B57" s="1049"/>
      <c r="C57" s="1051"/>
      <c r="D57" s="1052"/>
      <c r="E57" s="1053"/>
      <c r="F57" s="1048"/>
    </row>
    <row r="58" spans="1:6" ht="30.75" customHeight="1">
      <c r="A58" s="1050" t="s">
        <v>387</v>
      </c>
      <c r="B58" s="1144" t="s">
        <v>1616</v>
      </c>
      <c r="C58" s="1144"/>
      <c r="D58" s="1144"/>
      <c r="E58" s="1144"/>
      <c r="F58" s="1144"/>
    </row>
    <row r="59" spans="1:6">
      <c r="A59" s="1050"/>
      <c r="B59" s="1049"/>
      <c r="C59" s="1051"/>
      <c r="D59" s="1052"/>
      <c r="E59" s="1053"/>
      <c r="F59" s="1048"/>
    </row>
    <row r="60" spans="1:6">
      <c r="A60" s="1050" t="s">
        <v>388</v>
      </c>
      <c r="B60" s="1144" t="s">
        <v>1617</v>
      </c>
      <c r="C60" s="1144"/>
      <c r="D60" s="1144"/>
      <c r="E60" s="1144"/>
      <c r="F60" s="1144"/>
    </row>
    <row r="61" spans="1:6" ht="27" customHeight="1">
      <c r="A61" s="1050"/>
      <c r="B61" s="1144" t="s">
        <v>1618</v>
      </c>
      <c r="C61" s="1144"/>
      <c r="D61" s="1144"/>
      <c r="E61" s="1144"/>
      <c r="F61" s="1144"/>
    </row>
    <row r="62" spans="1:6">
      <c r="A62" s="1050"/>
      <c r="B62" s="1049"/>
      <c r="C62" s="1057"/>
      <c r="D62" s="1052"/>
      <c r="E62" s="1053"/>
      <c r="F62" s="1048"/>
    </row>
    <row r="63" spans="1:6" ht="29.25" customHeight="1">
      <c r="A63" s="1050" t="s">
        <v>389</v>
      </c>
      <c r="B63" s="1144" t="s">
        <v>1619</v>
      </c>
      <c r="C63" s="1144"/>
      <c r="D63" s="1144"/>
      <c r="E63" s="1144"/>
      <c r="F63" s="1144"/>
    </row>
    <row r="64" spans="1:6">
      <c r="A64" s="1050"/>
      <c r="B64" s="1049"/>
      <c r="C64" s="1051"/>
      <c r="D64" s="1052"/>
      <c r="E64" s="1053"/>
      <c r="F64" s="1048"/>
    </row>
    <row r="65" spans="1:6" ht="41.25" customHeight="1">
      <c r="A65" s="1050" t="s">
        <v>391</v>
      </c>
      <c r="B65" s="1144" t="s">
        <v>1620</v>
      </c>
      <c r="C65" s="1144"/>
      <c r="D65" s="1144"/>
      <c r="E65" s="1144"/>
      <c r="F65" s="1144"/>
    </row>
    <row r="66" spans="1:6">
      <c r="A66" s="1050"/>
      <c r="B66" s="1049"/>
      <c r="C66" s="1057"/>
      <c r="D66" s="1052"/>
      <c r="E66" s="1053"/>
      <c r="F66" s="1048"/>
    </row>
    <row r="67" spans="1:6" ht="15" customHeight="1">
      <c r="A67" s="1050" t="s">
        <v>392</v>
      </c>
      <c r="B67" s="1144" t="s">
        <v>1621</v>
      </c>
      <c r="C67" s="1144"/>
      <c r="D67" s="1144"/>
      <c r="E67" s="1144"/>
      <c r="F67" s="1144"/>
    </row>
    <row r="68" spans="1:6" ht="27.75" customHeight="1">
      <c r="A68" s="1050"/>
      <c r="B68" s="1144" t="s">
        <v>1622</v>
      </c>
      <c r="C68" s="1144"/>
      <c r="D68" s="1144"/>
      <c r="E68" s="1144"/>
      <c r="F68" s="1144"/>
    </row>
    <row r="69" spans="1:6">
      <c r="A69" s="1050"/>
      <c r="B69" s="1049"/>
      <c r="C69" s="1051"/>
      <c r="D69" s="1052"/>
      <c r="E69" s="1053"/>
      <c r="F69" s="1048"/>
    </row>
    <row r="70" spans="1:6" ht="26.25" customHeight="1">
      <c r="A70" s="1050" t="s">
        <v>393</v>
      </c>
      <c r="B70" s="1144" t="s">
        <v>1623</v>
      </c>
      <c r="C70" s="1144"/>
      <c r="D70" s="1144"/>
      <c r="E70" s="1144"/>
      <c r="F70" s="1144"/>
    </row>
    <row r="71" spans="1:6">
      <c r="A71" s="1050"/>
      <c r="B71" s="1057"/>
      <c r="C71" s="1057"/>
      <c r="D71" s="1052"/>
      <c r="E71" s="1053"/>
      <c r="F71" s="1048"/>
    </row>
    <row r="72" spans="1:6" ht="15" customHeight="1">
      <c r="A72" s="1050" t="s">
        <v>397</v>
      </c>
      <c r="B72" s="1144" t="s">
        <v>1624</v>
      </c>
      <c r="C72" s="1144"/>
      <c r="D72" s="1144"/>
      <c r="E72" s="1144"/>
      <c r="F72" s="1144"/>
    </row>
    <row r="73" spans="1:6">
      <c r="C73" s="1063"/>
      <c r="D73" s="1064"/>
      <c r="E73" s="1031"/>
    </row>
    <row r="74" spans="1:6" ht="15" customHeight="1">
      <c r="A74" s="1050" t="s">
        <v>398</v>
      </c>
      <c r="B74" s="1144" t="s">
        <v>1625</v>
      </c>
      <c r="C74" s="1144"/>
      <c r="D74" s="1144"/>
      <c r="E74" s="1144"/>
      <c r="F74" s="1144"/>
    </row>
    <row r="75" spans="1:6">
      <c r="C75" s="1063"/>
      <c r="D75" s="1064"/>
      <c r="E75" s="1031"/>
    </row>
    <row r="76" spans="1:6" ht="25.5" customHeight="1">
      <c r="A76" s="1050" t="s">
        <v>399</v>
      </c>
      <c r="B76" s="1144" t="s">
        <v>1626</v>
      </c>
      <c r="C76" s="1144"/>
      <c r="D76" s="1144"/>
      <c r="E76" s="1144"/>
      <c r="F76" s="1144"/>
    </row>
    <row r="77" spans="1:6">
      <c r="C77" s="1063"/>
      <c r="D77" s="1064"/>
      <c r="E77" s="1031"/>
    </row>
    <row r="78" spans="1:6" ht="53.25" customHeight="1">
      <c r="A78" s="1050" t="s">
        <v>399</v>
      </c>
      <c r="B78" s="1144" t="s">
        <v>1627</v>
      </c>
      <c r="C78" s="1144"/>
      <c r="D78" s="1144"/>
      <c r="E78" s="1144"/>
      <c r="F78" s="1144"/>
    </row>
    <row r="79" spans="1:6">
      <c r="C79" s="1063"/>
      <c r="D79" s="1064"/>
      <c r="E79" s="1031"/>
    </row>
    <row r="80" spans="1:6" ht="14.25" customHeight="1">
      <c r="A80" s="1050" t="s">
        <v>400</v>
      </c>
      <c r="B80" s="1144" t="s">
        <v>1628</v>
      </c>
      <c r="C80" s="1144"/>
      <c r="D80" s="1144"/>
      <c r="E80" s="1144"/>
      <c r="F80" s="1144"/>
    </row>
    <row r="81" spans="1:6">
      <c r="C81" s="1063"/>
      <c r="D81" s="1064"/>
      <c r="E81" s="1031"/>
    </row>
    <row r="82" spans="1:6" ht="26.25" customHeight="1">
      <c r="A82" s="1050" t="s">
        <v>401</v>
      </c>
      <c r="B82" s="1144" t="s">
        <v>1629</v>
      </c>
      <c r="C82" s="1144"/>
      <c r="D82" s="1144"/>
      <c r="E82" s="1144"/>
      <c r="F82" s="1144"/>
    </row>
    <row r="83" spans="1:6">
      <c r="C83" s="1063"/>
      <c r="D83" s="1064"/>
      <c r="E83" s="1031"/>
    </row>
    <row r="84" spans="1:6" ht="39" customHeight="1">
      <c r="A84" s="1050" t="s">
        <v>402</v>
      </c>
      <c r="B84" s="1144" t="s">
        <v>1630</v>
      </c>
      <c r="C84" s="1144"/>
      <c r="D84" s="1144"/>
      <c r="E84" s="1144"/>
      <c r="F84" s="1144"/>
    </row>
    <row r="85" spans="1:6">
      <c r="C85" s="1063"/>
      <c r="D85" s="1064"/>
      <c r="E85" s="1031"/>
    </row>
    <row r="86" spans="1:6" ht="39" customHeight="1">
      <c r="A86" s="1050" t="s">
        <v>403</v>
      </c>
      <c r="B86" s="1144" t="s">
        <v>1631</v>
      </c>
      <c r="C86" s="1144"/>
      <c r="D86" s="1144"/>
      <c r="E86" s="1144"/>
      <c r="F86" s="1144"/>
    </row>
    <row r="87" spans="1:6">
      <c r="C87" s="1063"/>
      <c r="D87" s="1064"/>
      <c r="E87" s="1031"/>
    </row>
    <row r="88" spans="1:6">
      <c r="A88" s="1050" t="s">
        <v>1632</v>
      </c>
      <c r="B88" s="1144" t="s">
        <v>1633</v>
      </c>
      <c r="C88" s="1144"/>
      <c r="D88" s="1144"/>
      <c r="E88" s="1144"/>
      <c r="F88" s="1144"/>
    </row>
    <row r="89" spans="1:6">
      <c r="C89" s="1063"/>
      <c r="D89" s="1064"/>
      <c r="E89" s="1031"/>
    </row>
    <row r="90" spans="1:6" ht="51" customHeight="1">
      <c r="A90" s="1050" t="s">
        <v>1634</v>
      </c>
      <c r="B90" s="1144" t="s">
        <v>1635</v>
      </c>
      <c r="C90" s="1144"/>
      <c r="D90" s="1144"/>
      <c r="E90" s="1144"/>
      <c r="F90" s="1144"/>
    </row>
    <row r="91" spans="1:6">
      <c r="C91" s="1063"/>
      <c r="D91" s="1064"/>
      <c r="E91" s="1031"/>
    </row>
    <row r="92" spans="1:6">
      <c r="A92" s="1050" t="s">
        <v>1636</v>
      </c>
      <c r="B92" s="1144" t="s">
        <v>1637</v>
      </c>
      <c r="C92" s="1144"/>
      <c r="D92" s="1144"/>
      <c r="E92" s="1144"/>
      <c r="F92" s="1144"/>
    </row>
    <row r="93" spans="1:6">
      <c r="C93" s="1063"/>
      <c r="D93" s="1064"/>
      <c r="E93" s="1031"/>
    </row>
    <row r="94" spans="1:6" ht="25.5" customHeight="1">
      <c r="A94" s="1050" t="s">
        <v>1638</v>
      </c>
      <c r="B94" s="1144" t="s">
        <v>1639</v>
      </c>
      <c r="C94" s="1144"/>
      <c r="D94" s="1144"/>
      <c r="E94" s="1144"/>
      <c r="F94" s="1144"/>
    </row>
    <row r="95" spans="1:6">
      <c r="C95" s="1063"/>
      <c r="D95" s="1064"/>
      <c r="E95" s="1031"/>
    </row>
    <row r="96" spans="1:6" ht="25.5" customHeight="1">
      <c r="A96" s="1050" t="s">
        <v>1640</v>
      </c>
      <c r="B96" s="1144" t="s">
        <v>1641</v>
      </c>
      <c r="C96" s="1144"/>
      <c r="D96" s="1144"/>
      <c r="E96" s="1144"/>
      <c r="F96" s="1144"/>
    </row>
    <row r="97" spans="1:6">
      <c r="C97" s="1063"/>
      <c r="D97" s="1064"/>
      <c r="E97" s="1031"/>
    </row>
    <row r="98" spans="1:6" ht="25.5" customHeight="1">
      <c r="A98" s="1050" t="s">
        <v>1642</v>
      </c>
      <c r="B98" s="1144" t="s">
        <v>1643</v>
      </c>
      <c r="C98" s="1144"/>
      <c r="D98" s="1144"/>
      <c r="E98" s="1144"/>
      <c r="F98" s="1144"/>
    </row>
    <row r="99" spans="1:6">
      <c r="C99" s="1063"/>
      <c r="D99" s="1064"/>
      <c r="E99" s="1031"/>
    </row>
    <row r="100" spans="1:6">
      <c r="A100" s="1065">
        <v>1</v>
      </c>
      <c r="B100" s="1066" t="s">
        <v>1644</v>
      </c>
      <c r="C100" s="1067"/>
      <c r="D100" s="1068"/>
      <c r="E100" s="1068"/>
      <c r="F100" s="1069"/>
    </row>
    <row r="101" spans="1:6" s="975" customFormat="1">
      <c r="A101" s="1019"/>
      <c r="B101" s="1031"/>
      <c r="C101" s="1032"/>
      <c r="D101" s="1033"/>
      <c r="E101" s="1035"/>
      <c r="F101" s="1035"/>
    </row>
    <row r="102" spans="1:6" s="975" customFormat="1" ht="135.75" customHeight="1">
      <c r="A102" s="1070"/>
      <c r="B102" s="1071" t="s">
        <v>1645</v>
      </c>
      <c r="C102" s="1032"/>
      <c r="D102" s="1033"/>
      <c r="E102" s="1035"/>
      <c r="F102" s="1035"/>
    </row>
    <row r="103" spans="1:6" s="975" customFormat="1">
      <c r="A103" s="1070"/>
      <c r="B103" s="1071"/>
      <c r="C103" s="1032"/>
      <c r="D103" s="1033"/>
      <c r="E103" s="1035"/>
      <c r="F103" s="1035"/>
    </row>
    <row r="104" spans="1:6" s="1072" customFormat="1" ht="108.75" customHeight="1">
      <c r="A104" s="1070">
        <v>1</v>
      </c>
      <c r="B104" s="1071" t="s">
        <v>1646</v>
      </c>
      <c r="C104" s="1032" t="s">
        <v>31</v>
      </c>
      <c r="D104" s="1033">
        <v>198</v>
      </c>
      <c r="E104" s="1035">
        <v>111.58</v>
      </c>
      <c r="F104" s="1035">
        <f>E104*D104</f>
        <v>22092.84</v>
      </c>
    </row>
    <row r="105" spans="1:6" s="1072" customFormat="1">
      <c r="A105" s="1070"/>
      <c r="B105" s="1071"/>
      <c r="C105" s="1032"/>
      <c r="D105" s="1033"/>
      <c r="E105" s="1035"/>
      <c r="F105" s="1035"/>
    </row>
    <row r="106" spans="1:6" s="1072" customFormat="1" ht="138">
      <c r="A106" s="1070"/>
      <c r="B106" s="1071" t="s">
        <v>1647</v>
      </c>
      <c r="C106" s="1032"/>
      <c r="D106" s="1033"/>
      <c r="E106" s="1035"/>
      <c r="F106" s="1035"/>
    </row>
    <row r="107" spans="1:6" s="1072" customFormat="1">
      <c r="A107" s="1070"/>
      <c r="B107" s="1071"/>
      <c r="C107" s="1032"/>
      <c r="D107" s="1033"/>
      <c r="E107" s="1034"/>
      <c r="F107" s="1034"/>
    </row>
    <row r="108" spans="1:6" s="1072" customFormat="1" ht="207">
      <c r="A108" s="1070">
        <v>2</v>
      </c>
      <c r="B108" s="1071" t="s">
        <v>1648</v>
      </c>
      <c r="C108" s="1032" t="s">
        <v>31</v>
      </c>
      <c r="D108" s="1033">
        <v>1</v>
      </c>
      <c r="E108" s="1035">
        <v>4800</v>
      </c>
      <c r="F108" s="1035">
        <f>E108*D108</f>
        <v>4800</v>
      </c>
    </row>
    <row r="109" spans="1:6" s="1072" customFormat="1">
      <c r="A109" s="1070"/>
      <c r="B109" s="1071"/>
      <c r="C109" s="1032"/>
      <c r="D109" s="1033"/>
      <c r="E109" s="1035"/>
      <c r="F109" s="1035"/>
    </row>
    <row r="110" spans="1:6" s="1072" customFormat="1" ht="409.6">
      <c r="A110" s="1070">
        <v>3</v>
      </c>
      <c r="B110" s="1071" t="s">
        <v>1649</v>
      </c>
      <c r="C110" s="1032" t="s">
        <v>213</v>
      </c>
      <c r="D110" s="1033">
        <v>1</v>
      </c>
      <c r="E110" s="1035">
        <v>4200</v>
      </c>
      <c r="F110" s="1035">
        <f>E110*D110</f>
        <v>4200</v>
      </c>
    </row>
    <row r="111" spans="1:6" s="1072" customFormat="1">
      <c r="A111" s="1070"/>
      <c r="B111" s="1071"/>
      <c r="C111" s="1032"/>
      <c r="D111" s="1033"/>
      <c r="E111" s="1035"/>
      <c r="F111" s="1035"/>
    </row>
    <row r="112" spans="1:6" s="1072" customFormat="1" ht="27.6">
      <c r="A112" s="1070">
        <v>4</v>
      </c>
      <c r="B112" s="1073" t="s">
        <v>1650</v>
      </c>
      <c r="C112" s="1032" t="s">
        <v>213</v>
      </c>
      <c r="D112" s="1033">
        <v>1</v>
      </c>
      <c r="E112" s="1035">
        <v>160</v>
      </c>
      <c r="F112" s="1035">
        <f>D112*E112</f>
        <v>160</v>
      </c>
    </row>
    <row r="113" spans="1:6" s="1072" customFormat="1">
      <c r="A113" s="1070"/>
      <c r="B113" s="1071"/>
      <c r="C113" s="1032"/>
      <c r="D113" s="1033"/>
      <c r="E113" s="1035"/>
      <c r="F113" s="1035">
        <f t="shared" ref="F113:F114" si="0">D113*E113</f>
        <v>0</v>
      </c>
    </row>
    <row r="114" spans="1:6" s="1072" customFormat="1" ht="41.4">
      <c r="A114" s="1070">
        <v>5</v>
      </c>
      <c r="B114" s="1071" t="s">
        <v>1651</v>
      </c>
      <c r="C114" s="1033" t="s">
        <v>31</v>
      </c>
      <c r="D114" s="1033">
        <v>2</v>
      </c>
      <c r="E114" s="1035">
        <v>60</v>
      </c>
      <c r="F114" s="1035">
        <f t="shared" si="0"/>
        <v>120</v>
      </c>
    </row>
    <row r="115" spans="1:6" s="1072" customFormat="1">
      <c r="A115" s="1070"/>
      <c r="B115" s="1071"/>
      <c r="C115" s="1032"/>
      <c r="D115" s="1033"/>
      <c r="E115" s="1035"/>
      <c r="F115" s="1035"/>
    </row>
    <row r="116" spans="1:6" s="1077" customFormat="1" ht="55.2">
      <c r="A116" s="1070">
        <v>6</v>
      </c>
      <c r="B116" s="1074" t="s">
        <v>1652</v>
      </c>
      <c r="C116" s="1032" t="s">
        <v>31</v>
      </c>
      <c r="D116" s="1075">
        <v>3</v>
      </c>
      <c r="E116" s="1119">
        <v>160</v>
      </c>
      <c r="F116" s="1076">
        <f>D116*E116</f>
        <v>480</v>
      </c>
    </row>
    <row r="117" spans="1:6" s="1072" customFormat="1">
      <c r="A117" s="1070"/>
      <c r="B117" s="1071"/>
      <c r="C117" s="1032"/>
      <c r="D117" s="1033"/>
      <c r="E117" s="1034"/>
      <c r="F117" s="1034"/>
    </row>
    <row r="118" spans="1:6" s="1072" customFormat="1" ht="42" customHeight="1">
      <c r="A118" s="1070">
        <v>7</v>
      </c>
      <c r="B118" s="1071" t="s">
        <v>1653</v>
      </c>
      <c r="C118" s="1032" t="s">
        <v>31</v>
      </c>
      <c r="D118" s="1033">
        <v>60</v>
      </c>
      <c r="E118" s="1035">
        <v>6</v>
      </c>
      <c r="F118" s="1035">
        <f>E118*D118</f>
        <v>360</v>
      </c>
    </row>
    <row r="119" spans="1:6" s="1072" customFormat="1">
      <c r="A119" s="1070"/>
      <c r="B119" s="1071"/>
      <c r="C119" s="1032"/>
      <c r="D119" s="1033"/>
      <c r="E119" s="1035"/>
      <c r="F119" s="1035">
        <f t="shared" ref="F119" si="1">D119*E119</f>
        <v>0</v>
      </c>
    </row>
    <row r="120" spans="1:6" s="1072" customFormat="1" ht="41.4">
      <c r="A120" s="1070">
        <v>8</v>
      </c>
      <c r="B120" s="1071" t="s">
        <v>1654</v>
      </c>
      <c r="C120" s="1033" t="s">
        <v>214</v>
      </c>
      <c r="D120" s="1033">
        <v>210</v>
      </c>
      <c r="E120" s="1035">
        <v>15</v>
      </c>
      <c r="F120" s="1035">
        <f>D120*E120</f>
        <v>3150</v>
      </c>
    </row>
    <row r="121" spans="1:6" s="1072" customFormat="1">
      <c r="A121" s="1070"/>
      <c r="B121" s="1071"/>
      <c r="C121" s="1033"/>
      <c r="D121" s="1033"/>
      <c r="E121" s="1035"/>
      <c r="F121" s="1035"/>
    </row>
    <row r="122" spans="1:6" s="1072" customFormat="1" ht="66" customHeight="1">
      <c r="A122" s="1070">
        <v>9</v>
      </c>
      <c r="B122" s="1071" t="s">
        <v>1655</v>
      </c>
      <c r="C122" s="1032" t="s">
        <v>214</v>
      </c>
      <c r="D122" s="1033">
        <v>300</v>
      </c>
      <c r="E122" s="1035">
        <v>1.7</v>
      </c>
      <c r="F122" s="1035">
        <f>E122*D122</f>
        <v>510</v>
      </c>
    </row>
    <row r="123" spans="1:6" s="1072" customFormat="1">
      <c r="A123" s="1070"/>
      <c r="B123" s="1071"/>
      <c r="C123" s="1032"/>
      <c r="D123" s="1033"/>
      <c r="E123" s="1035"/>
      <c r="F123" s="1034"/>
    </row>
    <row r="124" spans="1:6" s="1072" customFormat="1" ht="27.75" customHeight="1">
      <c r="A124" s="1070">
        <v>10</v>
      </c>
      <c r="B124" s="1071" t="s">
        <v>1656</v>
      </c>
      <c r="C124" s="1032" t="s">
        <v>214</v>
      </c>
      <c r="D124" s="1033">
        <v>90</v>
      </c>
      <c r="E124" s="1035">
        <v>52</v>
      </c>
      <c r="F124" s="1035">
        <f>E124*D124</f>
        <v>4680</v>
      </c>
    </row>
    <row r="125" spans="1:6" s="1072" customFormat="1">
      <c r="A125" s="1070"/>
      <c r="B125" s="1071"/>
      <c r="C125" s="1032"/>
      <c r="D125" s="1033"/>
      <c r="E125" s="1035"/>
      <c r="F125" s="1035"/>
    </row>
    <row r="126" spans="1:6" s="1072" customFormat="1" ht="27.75" customHeight="1">
      <c r="A126" s="1070">
        <v>11</v>
      </c>
      <c r="B126" s="1071" t="s">
        <v>1657</v>
      </c>
      <c r="C126" s="1032" t="s">
        <v>214</v>
      </c>
      <c r="D126" s="1033">
        <v>22.5</v>
      </c>
      <c r="E126" s="1035">
        <v>26</v>
      </c>
      <c r="F126" s="1035">
        <f>E126*D126</f>
        <v>585</v>
      </c>
    </row>
    <row r="127" spans="1:6" s="1072" customFormat="1">
      <c r="A127" s="1070"/>
      <c r="B127" s="1071"/>
      <c r="C127" s="1032"/>
      <c r="D127" s="1033"/>
      <c r="E127" s="1035"/>
      <c r="F127" s="1035"/>
    </row>
    <row r="128" spans="1:6" s="1072" customFormat="1" ht="69">
      <c r="A128" s="1070">
        <v>12</v>
      </c>
      <c r="B128" s="1071" t="s">
        <v>1658</v>
      </c>
      <c r="C128" s="1032" t="s">
        <v>214</v>
      </c>
      <c r="D128" s="1033">
        <v>300</v>
      </c>
      <c r="E128" s="1035">
        <v>2.4</v>
      </c>
      <c r="F128" s="1035">
        <f>E128*D128</f>
        <v>720</v>
      </c>
    </row>
    <row r="129" spans="1:6" s="1072" customFormat="1">
      <c r="A129" s="1070"/>
      <c r="B129" s="1071"/>
      <c r="C129" s="1032"/>
      <c r="D129" s="1033"/>
      <c r="E129" s="1035"/>
      <c r="F129" s="1035">
        <f t="shared" ref="F129:F130" si="2">D129*E129</f>
        <v>0</v>
      </c>
    </row>
    <row r="130" spans="1:6" s="1072" customFormat="1" ht="27.6">
      <c r="A130" s="1070">
        <v>13</v>
      </c>
      <c r="B130" s="1071" t="s">
        <v>1659</v>
      </c>
      <c r="C130" s="1032" t="s">
        <v>214</v>
      </c>
      <c r="D130" s="1033">
        <v>112.5</v>
      </c>
      <c r="E130" s="1035">
        <v>1.5</v>
      </c>
      <c r="F130" s="1035">
        <f t="shared" si="2"/>
        <v>168.75</v>
      </c>
    </row>
    <row r="131" spans="1:6" s="1072" customFormat="1">
      <c r="A131" s="1070"/>
      <c r="B131" s="1071"/>
      <c r="C131" s="1032"/>
      <c r="D131" s="1033"/>
      <c r="E131" s="1035"/>
      <c r="F131" s="1035"/>
    </row>
    <row r="132" spans="1:6" s="1072" customFormat="1">
      <c r="A132" s="1070">
        <v>14</v>
      </c>
      <c r="B132" s="1073" t="s">
        <v>1660</v>
      </c>
      <c r="C132" s="1032" t="s">
        <v>214</v>
      </c>
      <c r="D132" s="1033">
        <v>30</v>
      </c>
      <c r="E132" s="1035">
        <v>10</v>
      </c>
      <c r="F132" s="1035">
        <f t="shared" ref="F132" si="3">D132*E132</f>
        <v>300</v>
      </c>
    </row>
    <row r="133" spans="1:6" s="1072" customFormat="1">
      <c r="A133" s="1070"/>
      <c r="B133" s="1071"/>
      <c r="C133" s="1032"/>
      <c r="D133" s="1033"/>
      <c r="E133" s="1034"/>
      <c r="F133" s="1034"/>
    </row>
    <row r="134" spans="1:6" s="1072" customFormat="1" ht="114.75" customHeight="1">
      <c r="A134" s="1070">
        <v>15</v>
      </c>
      <c r="B134" s="1071" t="s">
        <v>1661</v>
      </c>
      <c r="C134" s="1032" t="s">
        <v>213</v>
      </c>
      <c r="D134" s="1033">
        <v>1</v>
      </c>
      <c r="E134" s="1035">
        <v>21000</v>
      </c>
      <c r="F134" s="1035">
        <f t="shared" ref="F134:F140" si="4">D134*E134</f>
        <v>21000</v>
      </c>
    </row>
    <row r="135" spans="1:6" s="1072" customFormat="1">
      <c r="A135" s="1070"/>
      <c r="B135" s="1071"/>
      <c r="C135" s="1032"/>
      <c r="D135" s="1033"/>
      <c r="E135" s="1035"/>
      <c r="F135" s="1035"/>
    </row>
    <row r="136" spans="1:6" s="1082" customFormat="1" ht="69">
      <c r="A136" s="1078">
        <v>16</v>
      </c>
      <c r="B136" s="1071" t="s">
        <v>1662</v>
      </c>
      <c r="C136" s="1079" t="s">
        <v>213</v>
      </c>
      <c r="D136" s="1080">
        <v>1</v>
      </c>
      <c r="E136" s="1081">
        <v>500</v>
      </c>
      <c r="F136" s="1081">
        <f t="shared" ref="F136" si="5">D136*E136</f>
        <v>500</v>
      </c>
    </row>
    <row r="137" spans="1:6" s="1072" customFormat="1">
      <c r="A137" s="1070"/>
      <c r="B137" s="1071"/>
      <c r="C137" s="1032"/>
      <c r="D137" s="1033"/>
      <c r="E137" s="1035"/>
      <c r="F137" s="1035"/>
    </row>
    <row r="138" spans="1:6" s="1072" customFormat="1" ht="41.4">
      <c r="A138" s="1070">
        <v>17</v>
      </c>
      <c r="B138" s="1071" t="s">
        <v>1663</v>
      </c>
      <c r="C138" s="1032" t="s">
        <v>213</v>
      </c>
      <c r="D138" s="1033">
        <v>305</v>
      </c>
      <c r="E138" s="1035">
        <v>5</v>
      </c>
      <c r="F138" s="1035">
        <f t="shared" ref="F138" si="6">D138*E138</f>
        <v>1525</v>
      </c>
    </row>
    <row r="139" spans="1:6" s="1072" customFormat="1">
      <c r="A139" s="1070"/>
      <c r="B139" s="1071"/>
      <c r="C139" s="1032"/>
      <c r="D139" s="1033"/>
      <c r="E139" s="1035"/>
      <c r="F139" s="1035"/>
    </row>
    <row r="140" spans="1:6" s="1072" customFormat="1" ht="55.2">
      <c r="A140" s="1070">
        <v>18</v>
      </c>
      <c r="B140" s="1071" t="s">
        <v>1664</v>
      </c>
      <c r="C140" s="1032" t="s">
        <v>213</v>
      </c>
      <c r="D140" s="1033">
        <v>1</v>
      </c>
      <c r="E140" s="1035">
        <v>2500</v>
      </c>
      <c r="F140" s="1035">
        <f t="shared" si="4"/>
        <v>2500</v>
      </c>
    </row>
    <row r="141" spans="1:6" s="1072" customFormat="1">
      <c r="A141" s="1070"/>
      <c r="B141" s="1071"/>
      <c r="C141" s="1032"/>
      <c r="D141" s="1033"/>
      <c r="E141" s="1035"/>
      <c r="F141" s="1035">
        <f>E141*D141</f>
        <v>0</v>
      </c>
    </row>
    <row r="142" spans="1:6" s="1072" customFormat="1" ht="83.25" customHeight="1">
      <c r="A142" s="1070">
        <v>19</v>
      </c>
      <c r="B142" s="1071" t="s">
        <v>1665</v>
      </c>
      <c r="C142" s="1032" t="s">
        <v>213</v>
      </c>
      <c r="D142" s="1033">
        <v>1</v>
      </c>
      <c r="E142" s="1035">
        <v>300</v>
      </c>
      <c r="F142" s="1035">
        <f>E142*D142</f>
        <v>300</v>
      </c>
    </row>
    <row r="143" spans="1:6" s="1072" customFormat="1">
      <c r="A143" s="1070"/>
      <c r="B143" s="1071"/>
      <c r="C143" s="1032"/>
      <c r="D143" s="1033"/>
      <c r="E143" s="1035"/>
      <c r="F143" s="1035"/>
    </row>
    <row r="144" spans="1:6" s="1072" customFormat="1" ht="27.6">
      <c r="A144" s="1070">
        <v>20</v>
      </c>
      <c r="B144" s="1071" t="s">
        <v>1666</v>
      </c>
      <c r="C144" s="1032" t="s">
        <v>213</v>
      </c>
      <c r="D144" s="1033">
        <v>1</v>
      </c>
      <c r="E144" s="1035">
        <v>1600</v>
      </c>
      <c r="F144" s="1035">
        <f>E144*D144</f>
        <v>1600</v>
      </c>
    </row>
    <row r="145" spans="1:6" s="1072" customFormat="1">
      <c r="A145" s="1070"/>
      <c r="B145" s="1071"/>
      <c r="C145" s="1032"/>
      <c r="D145" s="1033"/>
      <c r="E145" s="1035"/>
      <c r="F145" s="1035">
        <f t="shared" ref="F145:F146" si="7">D145*E145</f>
        <v>0</v>
      </c>
    </row>
    <row r="146" spans="1:6" s="1072" customFormat="1" ht="138">
      <c r="A146" s="1070">
        <v>21</v>
      </c>
      <c r="B146" s="1071" t="s">
        <v>1667</v>
      </c>
      <c r="C146" s="1032" t="s">
        <v>213</v>
      </c>
      <c r="D146" s="1033">
        <v>1</v>
      </c>
      <c r="E146" s="1035">
        <v>1600</v>
      </c>
      <c r="F146" s="1035">
        <f t="shared" si="7"/>
        <v>1600</v>
      </c>
    </row>
    <row r="147" spans="1:6" s="1077" customFormat="1">
      <c r="A147" s="1083"/>
      <c r="B147" s="1084"/>
      <c r="C147" s="1075"/>
      <c r="D147" s="1075"/>
      <c r="E147" s="1076"/>
      <c r="F147" s="1076"/>
    </row>
    <row r="148" spans="1:6" s="1077" customFormat="1" ht="27.6">
      <c r="A148" s="1070">
        <v>22</v>
      </c>
      <c r="B148" s="1085" t="s">
        <v>1668</v>
      </c>
      <c r="C148" s="1032" t="s">
        <v>213</v>
      </c>
      <c r="D148" s="1075">
        <v>1</v>
      </c>
      <c r="E148" s="1086">
        <v>300</v>
      </c>
      <c r="F148" s="1086">
        <f>D148*E148</f>
        <v>300</v>
      </c>
    </row>
    <row r="149" spans="1:6" s="975" customFormat="1" ht="13.2">
      <c r="A149" s="1087"/>
      <c r="B149" s="1088"/>
      <c r="C149" s="1089"/>
      <c r="D149" s="1090"/>
      <c r="E149" s="1091"/>
      <c r="F149" s="1091"/>
    </row>
    <row r="150" spans="1:6" s="975" customFormat="1" ht="41.4">
      <c r="A150" s="1070">
        <v>23</v>
      </c>
      <c r="B150" s="1085" t="s">
        <v>1575</v>
      </c>
      <c r="C150" s="1032" t="s">
        <v>213</v>
      </c>
      <c r="D150" s="1075">
        <v>1</v>
      </c>
      <c r="E150" s="1086">
        <v>300</v>
      </c>
      <c r="F150" s="1086">
        <f>E150</f>
        <v>300</v>
      </c>
    </row>
    <row r="151" spans="1:6">
      <c r="A151" s="1087"/>
      <c r="B151" s="1088"/>
      <c r="C151" s="1089"/>
      <c r="D151" s="1090"/>
      <c r="E151" s="1035"/>
      <c r="F151" s="1035">
        <f>D151*E151</f>
        <v>0</v>
      </c>
    </row>
    <row r="152" spans="1:6">
      <c r="A152" s="1092" t="s">
        <v>83</v>
      </c>
      <c r="B152" s="1093"/>
      <c r="C152" s="1094"/>
      <c r="D152" s="1095"/>
      <c r="E152" s="1096"/>
      <c r="F152" s="1097">
        <f>SUM(F101:F151)</f>
        <v>71951.59</v>
      </c>
    </row>
    <row r="153" spans="1:6">
      <c r="A153" s="1098" t="s">
        <v>143</v>
      </c>
      <c r="B153" s="1099"/>
      <c r="C153" s="1100"/>
      <c r="D153" s="1101"/>
      <c r="E153" s="1102"/>
      <c r="F153" s="1103"/>
    </row>
    <row r="155" spans="1:6">
      <c r="A155" s="1019">
        <f>A100</f>
        <v>1</v>
      </c>
      <c r="B155" s="1104" t="str">
        <f>B100</f>
        <v>Sunčana elektrana</v>
      </c>
      <c r="C155" s="1032" t="s">
        <v>31</v>
      </c>
      <c r="D155" s="1033">
        <v>1</v>
      </c>
      <c r="F155" s="1035">
        <f>F152</f>
        <v>71951.59</v>
      </c>
    </row>
    <row r="156" spans="1:6">
      <c r="B156" s="1104"/>
    </row>
    <row r="157" spans="1:6">
      <c r="A157" s="1092" t="s">
        <v>83</v>
      </c>
      <c r="B157" s="1093"/>
      <c r="C157" s="1094"/>
      <c r="D157" s="1095"/>
      <c r="E157" s="1145">
        <f>SUM(F154:F156)</f>
        <v>71951.59</v>
      </c>
      <c r="F157" s="1146"/>
    </row>
  </sheetData>
  <mergeCells count="57">
    <mergeCell ref="B22:F22"/>
    <mergeCell ref="B5:F5"/>
    <mergeCell ref="B6:F6"/>
    <mergeCell ref="B7:F7"/>
    <mergeCell ref="B8:F8"/>
    <mergeCell ref="B9:F9"/>
    <mergeCell ref="B10:F10"/>
    <mergeCell ref="B11:F11"/>
    <mergeCell ref="B15:F15"/>
    <mergeCell ref="B17:F17"/>
    <mergeCell ref="B18:F18"/>
    <mergeCell ref="B20:F20"/>
    <mergeCell ref="B40:F40"/>
    <mergeCell ref="B23:F23"/>
    <mergeCell ref="B25:F25"/>
    <mergeCell ref="B27:F27"/>
    <mergeCell ref="B29:F29"/>
    <mergeCell ref="B30:F30"/>
    <mergeCell ref="B32:F32"/>
    <mergeCell ref="B34:F34"/>
    <mergeCell ref="B35:F35"/>
    <mergeCell ref="B36:F36"/>
    <mergeCell ref="B37:F37"/>
    <mergeCell ref="B38:F38"/>
    <mergeCell ref="B60:F60"/>
    <mergeCell ref="B42:F42"/>
    <mergeCell ref="B43:F43"/>
    <mergeCell ref="B45:F45"/>
    <mergeCell ref="B46:F46"/>
    <mergeCell ref="B47:F47"/>
    <mergeCell ref="B49:F49"/>
    <mergeCell ref="B50:F50"/>
    <mergeCell ref="B52:F52"/>
    <mergeCell ref="B54:F54"/>
    <mergeCell ref="B56:F56"/>
    <mergeCell ref="B58:F58"/>
    <mergeCell ref="B82:F82"/>
    <mergeCell ref="B61:F61"/>
    <mergeCell ref="B63:F63"/>
    <mergeCell ref="B65:F65"/>
    <mergeCell ref="B67:F67"/>
    <mergeCell ref="B68:F68"/>
    <mergeCell ref="B70:F70"/>
    <mergeCell ref="B72:F72"/>
    <mergeCell ref="B74:F74"/>
    <mergeCell ref="B76:F76"/>
    <mergeCell ref="B78:F78"/>
    <mergeCell ref="B80:F80"/>
    <mergeCell ref="B96:F96"/>
    <mergeCell ref="B98:F98"/>
    <mergeCell ref="E157:F157"/>
    <mergeCell ref="B84:F84"/>
    <mergeCell ref="B86:F86"/>
    <mergeCell ref="B88:F88"/>
    <mergeCell ref="B90:F90"/>
    <mergeCell ref="B92:F92"/>
    <mergeCell ref="B94:F94"/>
  </mergeCells>
  <pageMargins left="0.98425196850393704" right="0.39370078740157483" top="0.39370078740157483" bottom="0.39370078740157483" header="0.39370078740157483" footer="0"/>
  <pageSetup paperSize="9" orientation="portrait" r:id="rId1"/>
  <headerFooter alignWithMargins="0">
    <oddHeader>&amp;R&amp;8&amp;P</oddHeader>
    <oddFooter>&amp;C&amp;"Calibri,Regular"&amp;8iC artprojekt d.o.o. Cehovska 17, Varaždin, tel: 042/314-466,  e-mail: ic-artprojekt@ic-group.org</oddFooter>
  </headerFooter>
  <rowBreaks count="3" manualBreakCount="3">
    <brk id="95" max="5" man="1"/>
    <brk id="99" max="16383" man="1"/>
    <brk id="152" max="5" man="1"/>
  </rowBreaks>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Radni listovi</vt:lpstr>
      </vt:variant>
      <vt:variant>
        <vt:i4>30</vt:i4>
      </vt:variant>
      <vt:variant>
        <vt:lpstr>Imenovani rasponi</vt:lpstr>
      </vt:variant>
      <vt:variant>
        <vt:i4>24</vt:i4>
      </vt:variant>
    </vt:vector>
  </HeadingPairs>
  <TitlesOfParts>
    <vt:vector size="54" baseType="lpstr">
      <vt:lpstr>NASL</vt:lpstr>
      <vt:lpstr>REKAP SVEUK</vt:lpstr>
      <vt:lpstr>OPĆI UVJETI</vt:lpstr>
      <vt:lpstr>I PRIPR</vt:lpstr>
      <vt:lpstr>II ZEM</vt:lpstr>
      <vt:lpstr>III OPL_KOLNIK</vt:lpstr>
      <vt:lpstr>IV AB RADOVI</vt:lpstr>
      <vt:lpstr>V ZIDARSKI</vt:lpstr>
      <vt:lpstr>VI IZOLAT</vt:lpstr>
      <vt:lpstr>VII KROV</vt:lpstr>
      <vt:lpstr>VIII FASADA</vt:lpstr>
      <vt:lpstr>IX BRAV</vt:lpstr>
      <vt:lpstr>X ALU BRAVARIJA</vt:lpstr>
      <vt:lpstr>XI POŽARNA BRAVARIJA</vt:lpstr>
      <vt:lpstr>XII STOLARIJA</vt:lpstr>
      <vt:lpstr>XIII LIMAR</vt:lpstr>
      <vt:lpstr>XIV GK</vt:lpstr>
      <vt:lpstr>XV KERAMIKA</vt:lpstr>
      <vt:lpstr>XVI PODOPOL</vt:lpstr>
      <vt:lpstr>XVII SOBOSLIK</vt:lpstr>
      <vt:lpstr>XVIII RAZNI RADOVI</vt:lpstr>
      <vt:lpstr>XX HORTIKULTURA</vt:lpstr>
      <vt:lpstr>XXI DOKUMENT</vt:lpstr>
      <vt:lpstr>REKAP-GOR</vt:lpstr>
      <vt:lpstr>OPREMA</vt:lpstr>
      <vt:lpstr>VIK</vt:lpstr>
      <vt:lpstr>STROJ</vt:lpstr>
      <vt:lpstr>ELEKTRO</vt:lpstr>
      <vt:lpstr>VATRODOJAVA</vt:lpstr>
      <vt:lpstr>SE</vt:lpstr>
      <vt:lpstr>ELEKTRO!Ispis_naslova</vt:lpstr>
      <vt:lpstr>'REKAP-GOR'!Ispis_naslova</vt:lpstr>
      <vt:lpstr>SE!Ispis_naslova</vt:lpstr>
      <vt:lpstr>'VII KROV'!Ispis_naslova</vt:lpstr>
      <vt:lpstr>'VIII FASADA'!Ispis_naslova</vt:lpstr>
      <vt:lpstr>VIK!Ispis_naslova</vt:lpstr>
      <vt:lpstr>ELEKTRO!Podrucje_ispisa</vt:lpstr>
      <vt:lpstr>'II ZEM'!Podrucje_ispisa</vt:lpstr>
      <vt:lpstr>'III OPL_KOLNIK'!Podrucje_ispisa</vt:lpstr>
      <vt:lpstr>'IX BRAV'!Podrucje_ispisa</vt:lpstr>
      <vt:lpstr>NASL!Podrucje_ispisa</vt:lpstr>
      <vt:lpstr>'REKAP-GOR'!Podrucje_ispisa</vt:lpstr>
      <vt:lpstr>SE!Podrucje_ispisa</vt:lpstr>
      <vt:lpstr>STROJ!Podrucje_ispisa</vt:lpstr>
      <vt:lpstr>'VII KROV'!Podrucje_ispisa</vt:lpstr>
      <vt:lpstr>'VIII FASADA'!Podrucje_ispisa</vt:lpstr>
      <vt:lpstr>VIK!Podrucje_ispisa</vt:lpstr>
      <vt:lpstr>'X ALU BRAVARIJA'!Podrucje_ispisa</vt:lpstr>
      <vt:lpstr>'XII STOLARIJA'!Podrucje_ispisa</vt:lpstr>
      <vt:lpstr>'XIII LIMAR'!Podrucje_ispisa</vt:lpstr>
      <vt:lpstr>'XVI PODOPOL'!Podrucje_ispisa</vt:lpstr>
      <vt:lpstr>'XVIII RAZNI RADOVI'!Podrucje_ispisa</vt:lpstr>
      <vt:lpstr>'XX HORTIKULTURA'!Podrucje_ispisa</vt:lpstr>
      <vt:lpstr>'XXI DOKUMENT'!Podrucje_ispisa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Marko</dc:creator>
  <cp:lastModifiedBy>office</cp:lastModifiedBy>
  <cp:lastPrinted>2024-07-21T07:20:43Z</cp:lastPrinted>
  <dcterms:created xsi:type="dcterms:W3CDTF">1996-10-14T23:33:28Z</dcterms:created>
  <dcterms:modified xsi:type="dcterms:W3CDTF">2025-07-04T20:40:31Z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1033-10.2.0.6020</vt:lpwstr>
  </property>
</Properties>
</file>